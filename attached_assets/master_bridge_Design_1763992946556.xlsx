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kumar\Downloads\"/>
    </mc:Choice>
  </mc:AlternateContent>
  <bookViews>
    <workbookView xWindow="32760" yWindow="32760" windowWidth="9570" windowHeight="9030" tabRatio="940" firstSheet="4" activeTab="8"/>
  </bookViews>
  <sheets>
    <sheet name="INDEX" sheetId="44" r:id="rId1"/>
    <sheet name="INSERT- HYDRAULICS" sheetId="68" r:id="rId2"/>
    <sheet name="afflux calculation" sheetId="19" r:id="rId3"/>
    <sheet name="HYDRAULICS" sheetId="4" r:id="rId4"/>
    <sheet name="Deck Anchorage" sheetId="24" r:id="rId5"/>
    <sheet name="CROSS SECTION" sheetId="16" r:id="rId6"/>
    <sheet name="Bed Slope" sheetId="18" r:id="rId7"/>
    <sheet name="SBC" sheetId="47" r:id="rId8"/>
    <sheet name="STABILITY CHECK FOR PIER" sheetId="2" r:id="rId9"/>
    <sheet name="abstract of stresses" sheetId="20" r:id="rId10"/>
    <sheet name="STEEL IN FLARED  PIER BASE " sheetId="7" r:id="rId11"/>
    <sheet name="STEEL IN PIER" sheetId="17" r:id="rId12"/>
    <sheet name="FOOTING DESIGN" sheetId="21" r:id="rId13"/>
    <sheet name="Footing STRESS DIAGRAM" sheetId="22" r:id="rId14"/>
    <sheet name="Pier Cap LL tracked vehicle" sheetId="33" r:id="rId15"/>
    <sheet name="Pier Cap" sheetId="34" r:id="rId16"/>
    <sheet name="LLOAD" sheetId="28" r:id="rId17"/>
    <sheet name="loadsumm " sheetId="29" r:id="rId18"/>
    <sheet name="LL-ABSTRACT" sheetId="30" r:id="rId19"/>
    <sheet name="TYPE1-AbutMENT Drawing" sheetId="35" r:id="rId20"/>
    <sheet name="TYPE1-STABILITY CHECK ABUTMENT" sheetId="36" r:id="rId21"/>
    <sheet name="TYPE1-ABUTMENT FOOTING DESIGN" sheetId="37" r:id="rId22"/>
    <sheet name="TYPE1- Abut Footing STRESS" sheetId="38" r:id="rId23"/>
    <sheet name="TYPE1-STEEL IN ABUTMENT" sheetId="39" r:id="rId24"/>
    <sheet name="TYPE1-Abutment Cap" sheetId="40" r:id="rId25"/>
    <sheet name="TYPE1-DIRT WALL REINFORCEMENT" sheetId="41" r:id="rId26"/>
    <sheet name="TYPE1-DIRT DirectLoad_BM" sheetId="42" r:id="rId27"/>
    <sheet name="TYPE1-DIRT LL_BM" sheetId="43" r:id="rId28"/>
    <sheet name="TechNote" sheetId="45" r:id="rId29"/>
    <sheet name="INSERT C1-ABUT" sheetId="48" r:id="rId30"/>
    <sheet name="C1-AbutMENT Drawing" sheetId="49" r:id="rId31"/>
    <sheet name="C1-STABILITY CHECK ABUTMENT" sheetId="50" r:id="rId32"/>
    <sheet name="C1-ABUTMENT FOOTING DESIGN" sheetId="51" r:id="rId33"/>
    <sheet name="C1-Abut Footing STRESS DIAGRAM" sheetId="52" r:id="rId34"/>
    <sheet name="CAN-RETURN FOOTING DESIGN" sheetId="53" r:id="rId35"/>
    <sheet name="STEEL IN CANT-ABUTMENT" sheetId="54" r:id="rId36"/>
    <sheet name="STEEL IN CANT-RETURNS" sheetId="55" r:id="rId37"/>
    <sheet name="C1-Abutment Cap" sheetId="56" r:id="rId38"/>
    <sheet name="C1-DIRT WALL REINFORCEMENT" sheetId="57" r:id="rId39"/>
    <sheet name="C1-DIRT DirectLoad_BM" sheetId="58" r:id="rId40"/>
    <sheet name="C1-DIRT LL_BM" sheetId="59" r:id="rId41"/>
    <sheet name="INSERT ESTIMATE" sheetId="60" r:id="rId42"/>
    <sheet name="Tech Report" sheetId="61" r:id="rId43"/>
    <sheet name="General Abs. " sheetId="62" r:id="rId44"/>
    <sheet name="Abstract" sheetId="63" r:id="rId45"/>
    <sheet name="Bridge measurements" sheetId="64"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a">#REF!</definedName>
    <definedName name="aa">#REF!</definedName>
    <definedName name="B">[10]Abstract!#REF!</definedName>
    <definedName name="Cft">0.583333333333333</definedName>
    <definedName name="CUM">#REF!</definedName>
    <definedName name="_xlnm.Database">#REF!</definedName>
    <definedName name="Dslab" localSheetId="17">[4]dlvoid!$H$25</definedName>
    <definedName name="G509a55">#REF!</definedName>
    <definedName name="_HFL1" localSheetId="44">#N/A</definedName>
    <definedName name="_HFL1" localSheetId="45">#N/A</definedName>
    <definedName name="_HFL1" localSheetId="33">#N/A</definedName>
    <definedName name="_HFL1" localSheetId="37">#N/A</definedName>
    <definedName name="_HFL1" localSheetId="30">#N/A</definedName>
    <definedName name="_HFL1" localSheetId="32">#N/A</definedName>
    <definedName name="_HFL1" localSheetId="39">#N/A</definedName>
    <definedName name="_HFL1" localSheetId="40">#N/A</definedName>
    <definedName name="_HFL1" localSheetId="38">#N/A</definedName>
    <definedName name="_HFL1" localSheetId="31">#N/A</definedName>
    <definedName name="_HFL1" localSheetId="34">#N/A</definedName>
    <definedName name="_HFL1" localSheetId="43">#N/A</definedName>
    <definedName name="_HFL1" localSheetId="0">#N/A</definedName>
    <definedName name="_HFL1" localSheetId="29">#N/A</definedName>
    <definedName name="_HFL1" localSheetId="41">#N/A</definedName>
    <definedName name="_HFL1" localSheetId="7">#N/A</definedName>
    <definedName name="_HFL1" localSheetId="35">#N/A</definedName>
    <definedName name="_HFL1" localSheetId="36">#N/A</definedName>
    <definedName name="_HFL1" localSheetId="42">#N/A</definedName>
    <definedName name="_HFL1" localSheetId="28">#N/A</definedName>
    <definedName name="_HFL1">#REF!</definedName>
    <definedName name="HLB" localSheetId="44">#N/A</definedName>
    <definedName name="HLB" localSheetId="45">#N/A</definedName>
    <definedName name="HLB" localSheetId="33">#N/A</definedName>
    <definedName name="HLB" localSheetId="37">#N/A</definedName>
    <definedName name="HLB" localSheetId="30">#N/A</definedName>
    <definedName name="HLB" localSheetId="32">#N/A</definedName>
    <definedName name="HLB" localSheetId="39">#N/A</definedName>
    <definedName name="HLB" localSheetId="40">#N/A</definedName>
    <definedName name="HLB" localSheetId="38">#N/A</definedName>
    <definedName name="HLB" localSheetId="31">#N/A</definedName>
    <definedName name="HLB" localSheetId="34">#N/A</definedName>
    <definedName name="HLB" localSheetId="43">#N/A</definedName>
    <definedName name="HLB" localSheetId="0">#N/A</definedName>
    <definedName name="HLB" localSheetId="29">#N/A</definedName>
    <definedName name="HLB" localSheetId="41">#N/A</definedName>
    <definedName name="HLB" localSheetId="7">#N/A</definedName>
    <definedName name="HLB" localSheetId="35">#N/A</definedName>
    <definedName name="HLB" localSheetId="36">#N/A</definedName>
    <definedName name="HLB" localSheetId="42">#N/A</definedName>
    <definedName name="HLB" localSheetId="28">#N/A</definedName>
    <definedName name="HLB">#REF!</definedName>
    <definedName name="L_Bhisti">[11]Labour!$D$3</definedName>
    <definedName name="L_BitumenSprayer">[11]Labour!$D$4</definedName>
    <definedName name="L_Blacksmith">[11]Labour!$D$5</definedName>
    <definedName name="L_Blaster">[11]Labour!$D$6</definedName>
    <definedName name="L_Carpenter_1stClass">[11]Labour!$D$7</definedName>
    <definedName name="L_ChipsSpreader">[11]Labour!$D$8</definedName>
    <definedName name="L_Chiseller">[11]Labour!$D$9</definedName>
    <definedName name="L_Dresser_Skilled">[11]Labour!$D$10</definedName>
    <definedName name="L_Driller">[11]Labour!$D$11</definedName>
    <definedName name="L_Electrician_Lineman">[11]Labour!$D$12</definedName>
    <definedName name="L_Fitter">[11]Labour!$D$13</definedName>
    <definedName name="L_Mason_1stClass">[11]Labour!$D$14</definedName>
    <definedName name="L_Mason_2ndClass">[11]Labour!$D$15</definedName>
    <definedName name="L_Mate">[11]Labour!$D$16</definedName>
    <definedName name="L_Mazdoor">[11]Labour!$D$17</definedName>
    <definedName name="L_Mazdoor_Semi">[11]Labour!$D$18</definedName>
    <definedName name="L_Mazdoor_Skilled">[11]Labour!$D$19</definedName>
    <definedName name="L_Painter_1stClass">[11]Labour!$D$20</definedName>
    <definedName name="L_Plumber">[11]Labour!$D$21</definedName>
    <definedName name="L_Surveyor">[11]Labour!$D$22</definedName>
    <definedName name="L_WhiteWasher">[11]Labour!$D$23</definedName>
    <definedName name="load" localSheetId="44">#N/A</definedName>
    <definedName name="load" localSheetId="45">#N/A</definedName>
    <definedName name="load" localSheetId="33">#N/A</definedName>
    <definedName name="load" localSheetId="37">#N/A</definedName>
    <definedName name="load" localSheetId="30">#N/A</definedName>
    <definedName name="load" localSheetId="32">#N/A</definedName>
    <definedName name="load" localSheetId="39">#N/A</definedName>
    <definedName name="load" localSheetId="40">#N/A</definedName>
    <definedName name="load" localSheetId="38">#N/A</definedName>
    <definedName name="load" localSheetId="31">#N/A</definedName>
    <definedName name="load" localSheetId="34">#N/A</definedName>
    <definedName name="load" localSheetId="43">#N/A</definedName>
    <definedName name="load" localSheetId="0">#N/A</definedName>
    <definedName name="load" localSheetId="29">#N/A</definedName>
    <definedName name="load" localSheetId="41">#N/A</definedName>
    <definedName name="load" localSheetId="16">LLOAD!$E$192</definedName>
    <definedName name="load" localSheetId="7">#N/A</definedName>
    <definedName name="load" localSheetId="35">#N/A</definedName>
    <definedName name="load" localSheetId="36">#N/A</definedName>
    <definedName name="load" localSheetId="42">#N/A</definedName>
    <definedName name="load" localSheetId="28">#N/A</definedName>
    <definedName name="load">#REF!</definedName>
    <definedName name="load1" localSheetId="44">#N/A</definedName>
    <definedName name="load1" localSheetId="45">#N/A</definedName>
    <definedName name="load1" localSheetId="33">#N/A</definedName>
    <definedName name="load1" localSheetId="37">#N/A</definedName>
    <definedName name="load1" localSheetId="30">#N/A</definedName>
    <definedName name="load1" localSheetId="32">#N/A</definedName>
    <definedName name="load1" localSheetId="39">#N/A</definedName>
    <definedName name="load1" localSheetId="40">#N/A</definedName>
    <definedName name="load1" localSheetId="38">#N/A</definedName>
    <definedName name="load1" localSheetId="31">#N/A</definedName>
    <definedName name="load1" localSheetId="34">#N/A</definedName>
    <definedName name="load1" localSheetId="43">#N/A</definedName>
    <definedName name="load1" localSheetId="0">#N/A</definedName>
    <definedName name="load1" localSheetId="29">#N/A</definedName>
    <definedName name="load1" localSheetId="41">#N/A</definedName>
    <definedName name="load1" localSheetId="16">LLOAD!$D$192</definedName>
    <definedName name="load1" localSheetId="7">#N/A</definedName>
    <definedName name="load1" localSheetId="35">#N/A</definedName>
    <definedName name="load1" localSheetId="36">#N/A</definedName>
    <definedName name="load1" localSheetId="42">#N/A</definedName>
    <definedName name="load1" localSheetId="28">#N/A</definedName>
    <definedName name="load1">#REF!</definedName>
    <definedName name="M_ACPipe_100">[11]Material!$D$3</definedName>
    <definedName name="M_Aggregate_10">[11]Material!$D$17</definedName>
    <definedName name="M_Aggregate_20">[11]Material!$D$18</definedName>
    <definedName name="M_Aggregate_224_236m_WMM">[11]Material!$D$26</definedName>
    <definedName name="M_Aggregate_375mmMaximum_224_56mm">[11]Material!$D$4</definedName>
    <definedName name="M_Aggregate_375mmMaximum_45_225mm">[11]Material!$D$5</definedName>
    <definedName name="M_Aggregate_375mmMaximum_Below_56mm">[11]Material!$D$6</definedName>
    <definedName name="M_Aggregate_40">[11]Material!$D$19</definedName>
    <definedName name="M_Aggregate_45_224m_WMM">[11]Material!$D$27</definedName>
    <definedName name="M_Aggregate_53mmMaximum_225_56mm">[11]Material!$D$7</definedName>
    <definedName name="M_Aggregate_53mmMaximum_63_45mm">[11]Material!$D$8</definedName>
    <definedName name="M_Aggregate_53mmMaximum_below_56mm">[11]Material!$D$9</definedName>
    <definedName name="M_Aggregate_Crushable_GradeI">[11]Material!$D$20</definedName>
    <definedName name="M_Aggregate_Crushable_GradeII">[11]Material!$D$21</definedName>
    <definedName name="M_Aggregate_Crushable_GradeIII">[11]Material!$D$22</definedName>
    <definedName name="M_Aggregate_GradeI_40mmNominal_10_5mm">[11]Material!$D$10</definedName>
    <definedName name="M_Aggregate_GradeI_40mmNominal_25_10mm">[11]Material!$D$11</definedName>
    <definedName name="M_Aggregate_GradeI_40mmNominal_3725_25mm">[11]Material!$D$12</definedName>
    <definedName name="M_Aggregate_GradeI_40mmNominal_5mm">[11]Material!$D$13</definedName>
    <definedName name="M_Aggregate_GradeI_90_45mm">[11]Material!$D$23</definedName>
    <definedName name="M_Aggregate_GradeII_19mmNominal_10_5mm">[11]Material!$D$14</definedName>
    <definedName name="M_Aggregate_GradeII_19mmNominal_25_10mm">[11]Material!$D$15</definedName>
    <definedName name="M_Aggregate_GradeII_19mmNominal_5mm_below">[11]Material!$D$16</definedName>
    <definedName name="M_Aggregate_GradeII_63_45mm">[11]Material!$D$24</definedName>
    <definedName name="M_Aggregate_GradeIII_53_224mm">[11]Material!$D$25</definedName>
    <definedName name="M_AluminiumSheeting_15mm">[11]Material!$D$28</definedName>
    <definedName name="M_AluminiumStuds_100_100_Lense">[11]Material!$D$29</definedName>
    <definedName name="M_Bamboo_1stClass_85_100mm_25m_long">[11]Material!$D$31</definedName>
    <definedName name="M_Bamboo_1stClass_85_100mm_2m_long">[11]Material!$D$30</definedName>
    <definedName name="M_Bamboo_1stClass_85_100mm_3m_long">[11]Material!$D$32</definedName>
    <definedName name="M_Bamboo_1stClass_85_100mm_45_55m_long">[11]Material!$D$33</definedName>
    <definedName name="M_Bamboo_2ndClass_75mm_18_25m_long">[11]Material!$D$34</definedName>
    <definedName name="M_Bamboo_2ndClass_75mm_21_30m_long">[11]Material!$D$35</definedName>
    <definedName name="M_BarbedWire">[11]Material!$D$36</definedName>
    <definedName name="M_BindingMaterial">[11]Material!$D$37</definedName>
    <definedName name="M_BindingWire">[11]Material!$D$38</definedName>
    <definedName name="M_Bitumen_CRM">[11]Material!$D$39</definedName>
    <definedName name="M_Bitumen_NRM">[11]Material!$D$40</definedName>
    <definedName name="M_Bitumen_PM">[11]Material!$D$41</definedName>
    <definedName name="M_Bitumen_S65">[11]Material!$D$42</definedName>
    <definedName name="M_Bitumen_S90">[11]Material!$D$43</definedName>
    <definedName name="M_BitumenEmulsion_RS1">[11]Material!$D$44</definedName>
    <definedName name="M_BitumenEmulsion_SS1">[11]Material!$D$45</definedName>
    <definedName name="M_BitumenSealant">[11]Material!$D$46</definedName>
    <definedName name="M_Blasted_Rubble">[11]Material!$D$47</definedName>
    <definedName name="M_BlastingMaterial">[11]Material!$D$48</definedName>
    <definedName name="M_BondStone_400_150_150mm">[11]Material!$D$49</definedName>
    <definedName name="M_Brick_1stClass">[11]Material!$D$50</definedName>
    <definedName name="M_Cement">[11]Material!$D$51</definedName>
    <definedName name="M_CementPrimer">[11]Material!$D$52</definedName>
    <definedName name="M_ChlorpreneElastomer_OR_ClosedCellFoamSealingElement">[11]Material!$D$53</definedName>
    <definedName name="M_CompensationForEarthTakenFromPrivateLand">[11]Material!$D$54</definedName>
    <definedName name="M_CompressibleFibreBoard">[11]Material!$D$55</definedName>
    <definedName name="M_CopperPlate">[11]Material!$D$56</definedName>
    <definedName name="M_CorbellingStones_300_150_150mm">[11]Material!$D$57</definedName>
    <definedName name="M_CorrosionResistantStructuralSteelGrating">[11]Material!$D$58</definedName>
    <definedName name="M_CreditForExcavatedRock">[11]Material!$D$59</definedName>
    <definedName name="M_CrowBars_40mm">[11]Material!$D$60</definedName>
    <definedName name="M_CrushedSand_OR_Grit">[11]Material!$D$61</definedName>
    <definedName name="M_CrushedSlag">[11]Material!$D$62</definedName>
    <definedName name="M_CrushedStoneAggregate_265_75">[11]Material!$D$63</definedName>
    <definedName name="M_CrushedStoneChipping_132">[11]Material!$D$64</definedName>
    <definedName name="M_CrushedStoneChipping_67mm_100Passing_112mm">[11]Material!$D$65</definedName>
    <definedName name="M_CrushedStoneChipping_67mm_100Passing_95mm">[11]Material!$D$66</definedName>
    <definedName name="M_CrushedStoneChipping_95">[11]Material!$D$67</definedName>
    <definedName name="M_CrushedStoneCoarseAggregatePassing_53mm">[11]Material!$D$68</definedName>
    <definedName name="M_CuringCompound">[11]Material!$D$69</definedName>
    <definedName name="M_DebondingStrips">[11]Material!$D$70</definedName>
    <definedName name="M_EdgeStone_450_350_100mm">[11]Material!$D$71</definedName>
    <definedName name="M_EdgeStone_450_350_200mm">[11]Material!$D$72</definedName>
    <definedName name="M_ElastomericBearingAssembly">[11]Material!$D$73</definedName>
    <definedName name="M_ElectricDetonator">[11]Material!$D$74</definedName>
    <definedName name="M_EpoxyPaint">[11]Material!$D$75</definedName>
    <definedName name="M_EpoxyPrimer">#REF!</definedName>
    <definedName name="M_FarmyardManure">[11]Material!$D$77</definedName>
    <definedName name="M_FevicolAdhesive">[11]Material!$D$78</definedName>
    <definedName name="M_FilterMedia">[11]Material!$D$79</definedName>
    <definedName name="M_FineAggregate_CrushedSand">[11]Material!$D$80</definedName>
    <definedName name="M_GalvanisedAngle">[11]Material!$D$81</definedName>
    <definedName name="M_GalvanisedAngleSection_100_100mm_12mm">#REF!</definedName>
    <definedName name="M_Gelatine_80">[11]Material!$D$83</definedName>
    <definedName name="M_GIPipe_100mm">[11]Material!$D$84</definedName>
    <definedName name="M_GIPipe_50mm">[11]Material!$D$85</definedName>
    <definedName name="M_GIWires">[11]Material!$D$86</definedName>
    <definedName name="M_GradedStoneAggregate">[11]Material!$D$87</definedName>
    <definedName name="M_GranularMaterial">[11]Material!$D$88</definedName>
    <definedName name="M_HandBrokenMetal_40mm">[11]Material!$D$89</definedName>
    <definedName name="M_Indigo">[11]Material!$D$90</definedName>
    <definedName name="M_InterlockingBlocks_60mm">[11]Material!$D$91</definedName>
    <definedName name="M_InterlockingBlocks_80mm">[11]Material!$D$92</definedName>
    <definedName name="M_JointFillerBoard">[11]Material!$D$93</definedName>
    <definedName name="M_JuteNetting_OpenWeave_25mm">[11]Material!$D$94</definedName>
    <definedName name="M_JuteRope_12mm">[11]Material!$D$95</definedName>
    <definedName name="M_KeyAggregatesPassing_224mm">[11]Material!$D$96</definedName>
    <definedName name="M_Lime">[11]Material!$D$97</definedName>
    <definedName name="M_LimePutty">#REF!</definedName>
    <definedName name="M_LocalWoodPiles_1stClass">[11]Material!$D$99</definedName>
    <definedName name="M_LocalWoodPiles_1stClass_100_75mm">[11]Material!$D$100</definedName>
    <definedName name="M_LooseStone">[11]Material!$D$101</definedName>
    <definedName name="M_MS_Sheet_15mm">[11]Material!$D$105</definedName>
    <definedName name="M_MS_Sheet_2mm">[11]Material!$D$106</definedName>
    <definedName name="M_MSClamps">[11]Material!$D$102</definedName>
    <definedName name="M_MSFlat_StructuralSteel">[11]Material!$D$103</definedName>
    <definedName name="M_MSSheetTube_47_47mm_12_SWG">[11]Material!$D$104</definedName>
    <definedName name="M_Nuts_Bolts_Rivets">[11]Material!$D$107</definedName>
    <definedName name="M_Paint_SyntheticEnamel">[11]Material!$D$108</definedName>
    <definedName name="M_Plasticizer">[11]Material!$D$109</definedName>
    <definedName name="M_PolytheneSheet_125">[11]Material!$D$110</definedName>
    <definedName name="M_PolytheneSheething">[11]Material!$D$111</definedName>
    <definedName name="M_QuarriedStone_150_200mm">[11]Material!$D$112</definedName>
    <definedName name="M_RCCPipeNP3_1000mm">[11]Material!$D$114</definedName>
    <definedName name="M_RCCPipeNP3_1200mm">[11]Material!$D$113</definedName>
    <definedName name="M_RCCPipeNP3_500mm">[11]Material!$D$117</definedName>
    <definedName name="M_RCCPipeNP3_600mm">#REF!</definedName>
    <definedName name="M_RCCPipeNP3_750mm">[11]Material!$D$115</definedName>
    <definedName name="M_RCCPipeNP4_1000mm">[11]Material!$D$119</definedName>
    <definedName name="M_RCCPipeNP4_1200mm">[11]Material!$D$118</definedName>
    <definedName name="M_RCCPipeNP4_500mm">[11]Material!$D$122</definedName>
    <definedName name="M_RCCPipeNP4_750mm">[11]Material!$D$120</definedName>
    <definedName name="M_RedOxidePrimer">[11]Material!$D$123</definedName>
    <definedName name="M_RoadMarkingPaint">[11]Material!$D$124</definedName>
    <definedName name="M_Sand_Coarse">[11]Material!$D$125</definedName>
    <definedName name="M_Sand_Fine">[11]Material!$D$126</definedName>
    <definedName name="M_Seeds">[11]Material!$D$127</definedName>
    <definedName name="M_SteelPipe_500mm">[11]Material!$D$128</definedName>
    <definedName name="M_SteelReinforcement_HYSDBars">[11]Material!$D$129</definedName>
    <definedName name="M_SteelReinforcement_MSRoundBars">[11]Material!$D$130</definedName>
    <definedName name="M_SteelReinforcement_TMTBars">[11]Material!$D$131</definedName>
    <definedName name="M_StoneBoulder_150mm_below">[11]Material!$D$132</definedName>
    <definedName name="M_StoneChips_12mm">[11]Material!$D$133</definedName>
    <definedName name="M_StoneChips_132_56mm">#REF!</definedName>
    <definedName name="M_StoneCrushedAggregate_112_009mm">[11]Material!$D$135</definedName>
    <definedName name="M_StoneForCoarseRubbleMasonry_1stSort">[11]Material!$D$136</definedName>
    <definedName name="M_StoneForCoarseRubbleMasonry_2ndSort">[11]Material!$D$137</definedName>
    <definedName name="M_StoneForRandomRubbleMasonry">[11]Material!$D$138</definedName>
    <definedName name="M_StoneForStoneSetPavement">[11]Material!$D$139</definedName>
    <definedName name="M_StoneScreening_TypeA_132mm_Grade1">[11]Material!$D$140</definedName>
    <definedName name="M_StoneScreening_TypeA_132mm_Grade2">#REF!</definedName>
    <definedName name="M_StoneScreening_TypeB_112mm_Grade2">[11]Material!$D$142</definedName>
    <definedName name="M_StoneScreening_TypeB_112mm_Grade3">[11]Material!$D$143</definedName>
    <definedName name="M_StoneSpalls">[11]Material!$D$144</definedName>
    <definedName name="M_TrafficCones">[11]Material!$D$145</definedName>
    <definedName name="M_Water">[11]Material!$D$146</definedName>
    <definedName name="M_WellGradedGranularBaseMaterial_GradeA_236mm">[11]Material!$D$147</definedName>
    <definedName name="M_WellGradedGranularBaseMaterial_GradeA_265_475mm">[11]Material!$D$148</definedName>
    <definedName name="M_WellGradedGranularBaseMaterial_GradeA_53_265mm">[11]Material!$D$149</definedName>
    <definedName name="M_WellGradedGranularBaseMaterial_GradeB_236mm_below">[11]Material!$D$150</definedName>
    <definedName name="M_WellGradedGranularBaseMaterial_GradeB_265_475mm">[11]Material!$D$151</definedName>
    <definedName name="M_WellGradedGranularBaseMaterial_GradeC_236mm_below">[11]Material!$D$152</definedName>
    <definedName name="M_WellGradedGranularBaseMaterial_GradeC_95_475mm">[11]Material!$D$153</definedName>
    <definedName name="M_WellGradedMateralForSubbase_GradeI_236mm_below">[11]Material!$D$154</definedName>
    <definedName name="M_WellGradedMateralForSubbase_GradeI_53_95mm">[11]Material!$D$155</definedName>
    <definedName name="M_WellGradedMateralForSubbase_GradeI_95_236mm">[11]Material!$D$156</definedName>
    <definedName name="M_WellGradedMateralForSubbase_GradeII_236mm_below">[11]Material!$D$157</definedName>
    <definedName name="M_WellGradedMateralForSubbase_GradeII_265_95mm">[11]Material!$D$158</definedName>
    <definedName name="M_WellGradedMateralForSubbase_GradeII_95_236mm">[11]Material!$D$159</definedName>
    <definedName name="M_WellGradedMateralForSubbase_GradeIII_236mm_below">[11]Material!$D$160</definedName>
    <definedName name="M_WellGradedMateralForSubbase_GradeIII_475_236mm">[11]Material!$D$161</definedName>
    <definedName name="M_WellGradedMateralForSubbase_GradeIII_95_475mm">[11]Material!$D$162</definedName>
    <definedName name="M_WoodenSleepers">[11]Material!$D$163</definedName>
    <definedName name="Mtr">#REF!</definedName>
    <definedName name="n">#REF!</definedName>
    <definedName name="OLE_LINK1" localSheetId="2">'afflux calculation'!$A$1</definedName>
    <definedName name="PM_AirCompressor_210cfm">'[11]Plant &amp;  Machinery'!$G$4</definedName>
    <definedName name="PM_BatchMixHMP_46_60THP">'[11]Plant &amp;  Machinery'!$G$5</definedName>
    <definedName name="PM_BatchTypeHMP_30_40">'[11]Plant &amp;  Machinery'!$G$6</definedName>
    <definedName name="PM_BitumenBoilerOilFired_1000">'[11]Plant &amp;  Machinery'!$G$9</definedName>
    <definedName name="PM_BitumenBoilerOilFired_200">'[11]Plant &amp;  Machinery'!$G$8</definedName>
    <definedName name="PM_BitumenEmulsionPressureDistributor">'[11]Plant &amp;  Machinery'!$G$10</definedName>
    <definedName name="PM_ConcreteMixer">'[11]Plant &amp;  Machinery'!$G$11</definedName>
    <definedName name="PM_Crane">'[11]Plant &amp;  Machinery'!$G$12</definedName>
    <definedName name="PM_Dozer_D50">'[11]Plant &amp;  Machinery'!$G$13</definedName>
    <definedName name="PM_Dozer_D50_1">#REF!</definedName>
    <definedName name="PM_ElectricGeneratorSet_125">'[11]Plant &amp;  Machinery'!$G$15</definedName>
    <definedName name="PM_EmulsionSprayer">#REF!</definedName>
    <definedName name="PM_FrontEndLoader_1cum">'[11]Plant &amp;  Machinery'!$G$17</definedName>
    <definedName name="PM_FrontEndLoader_1cum_Soil">#REF!</definedName>
    <definedName name="PM_HydraulicBroom">'[11]Plant &amp;  Machinery'!$G$19</definedName>
    <definedName name="PM_HydraulicExcavator_09cum">'[11]Plant &amp;  Machinery'!$G$20</definedName>
    <definedName name="PM_HydraulicSelfPropelledChipSpreader">'[11]Plant &amp;  Machinery'!$G$21</definedName>
    <definedName name="PM_JackHammer">'[11]Plant &amp;  Machinery'!$G$22</definedName>
    <definedName name="PM_JointCuttingMachine">'[11]Plant &amp;  Machinery'!$G$23</definedName>
    <definedName name="PM_Mixall_6_10t">'[11]Plant &amp;  Machinery'!$G$24</definedName>
    <definedName name="PM_MotorGrader">'[11]Plant &amp;  Machinery'!$G$25</definedName>
    <definedName name="PM_MotorGrader_1">#REF!</definedName>
    <definedName name="PM_NeedleVibrator">'[11]Plant &amp;  Machinery'!$G$27</definedName>
    <definedName name="PM_PaverFinisher">'[11]Plant &amp;  Machinery'!$G$28</definedName>
    <definedName name="PM_PlateCompactor">'[11]Plant &amp;  Machinery'!$G$29</definedName>
    <definedName name="PM_PlateVibrator">'[11]Plant &amp;  Machinery'!$G$30</definedName>
    <definedName name="PM_ScreedVibrator">'[11]Plant &amp;  Machinery'!$G$31</definedName>
    <definedName name="PM_SmoothWheeled_80_100kN_TandemRoller">#REF!</definedName>
    <definedName name="PM_StoneCrusher_200TPH">'[11]Plant &amp;  Machinery'!$G$33</definedName>
    <definedName name="PM_ThreeWheeled_80_100kN_StaticRoller">'[11]Plant &amp;  Machinery'!$G$34</definedName>
    <definedName name="PM_Tipper_55">'[11]Plant &amp;  Machinery'!$G$45</definedName>
    <definedName name="PM_Tractor_DiscHarrows">'[11]Plant &amp;  Machinery'!$G$46</definedName>
    <definedName name="PM_Tractor_Ripper">'[11]Plant &amp;  Machinery'!$G$47</definedName>
    <definedName name="PM_Tractor_Rotavator">'[11]Plant &amp;  Machinery'!$G$49</definedName>
    <definedName name="PM_Tractor_Trolley">'[11]Plant &amp;  Machinery'!$G$48</definedName>
    <definedName name="PM_Truck">'[11]Plant &amp;  Machinery'!$G$50</definedName>
    <definedName name="PM_VibratoryRoller_80_100kN">'[11]Plant &amp;  Machinery'!$G$51</definedName>
    <definedName name="PM_VibratoryRoller_80_100kN_1">#REF!</definedName>
    <definedName name="PM_WaterTanker_6kl">'[11]Plant &amp;  Machinery'!$G$53</definedName>
    <definedName name="PM_WetMixPlant_or_PugMill">'[11]Plant &amp;  Machinery'!$G$54</definedName>
    <definedName name="_xlnm.Print_Area" localSheetId="44">#N/A</definedName>
    <definedName name="_xlnm.Print_Area" localSheetId="45">#N/A</definedName>
    <definedName name="_xlnm.Print_Titles" localSheetId="44">#N/A</definedName>
    <definedName name="_xlnm.Print_Titles" localSheetId="45">#N/A</definedName>
    <definedName name="_xlnm.Print_Titles" localSheetId="12">'FOOTING DESIGN'!#REF!</definedName>
    <definedName name="_xlnm.Print_Titles" localSheetId="43">#N/A</definedName>
    <definedName name="_xlnm.Print_Titles" localSheetId="3">HYDRAULICS!$5:$5</definedName>
    <definedName name="_xlnm.Print_Titles" localSheetId="8">'STABILITY CHECK FOR PIER'!#REF!</definedName>
    <definedName name="_xlnm.Print_Titles" localSheetId="35">#N/A</definedName>
    <definedName name="_xlnm.Print_Titles" localSheetId="36">#N/A</definedName>
    <definedName name="_xlnm.Print_Titles" localSheetId="10">'STEEL IN FLARED  PIER BASE '!#REF!</definedName>
    <definedName name="_xlnm.Print_Titles" localSheetId="11">'STEEL IN PIER'!#REF!</definedName>
    <definedName name="_xlnm.Print_Titles" localSheetId="21">'TYPE1-ABUTMENT FOOTING DESIGN'!#REF!</definedName>
    <definedName name="_xlnm.Print_Titles" localSheetId="20">'TYPE1-STABILITY CHECK ABUTMENT'!#REF!</definedName>
    <definedName name="_xlnm.Print_Titles" localSheetId="23">'TYPE1-STEEL IN ABUTMENT'!#REF!</definedName>
    <definedName name="rkc">'[13]Plant &amp;  Machinery'!#REF!</definedName>
    <definedName name="RWC" localSheetId="44">#N/A</definedName>
    <definedName name="RWC" localSheetId="45">#N/A</definedName>
    <definedName name="RWC" localSheetId="33">#N/A</definedName>
    <definedName name="RWC" localSheetId="37">#N/A</definedName>
    <definedName name="RWC" localSheetId="30">#N/A</definedName>
    <definedName name="RWC" localSheetId="32">#N/A</definedName>
    <definedName name="RWC" localSheetId="39">#N/A</definedName>
    <definedName name="RWC" localSheetId="40">#N/A</definedName>
    <definedName name="RWC" localSheetId="38">#N/A</definedName>
    <definedName name="RWC" localSheetId="31">#N/A</definedName>
    <definedName name="RWC" localSheetId="34">#N/A</definedName>
    <definedName name="RWC" localSheetId="43">#N/A</definedName>
    <definedName name="RWC" localSheetId="0">#N/A</definedName>
    <definedName name="RWC" localSheetId="29">#N/A</definedName>
    <definedName name="RWC" localSheetId="41">#N/A</definedName>
    <definedName name="RWC" localSheetId="7">#N/A</definedName>
    <definedName name="RWC" localSheetId="35">#N/A</definedName>
    <definedName name="RWC" localSheetId="36">#N/A</definedName>
    <definedName name="RWC" localSheetId="42">#N/A</definedName>
    <definedName name="RWC" localSheetId="28">#N/A</definedName>
    <definedName name="RWC">#REF!</definedName>
    <definedName name="sadf">[14]Estimate!$C$5</definedName>
    <definedName name="span" localSheetId="44">#N/A</definedName>
    <definedName name="span" localSheetId="45">#N/A</definedName>
    <definedName name="span" localSheetId="33">#N/A</definedName>
    <definedName name="span" localSheetId="37">#N/A</definedName>
    <definedName name="span" localSheetId="30">#N/A</definedName>
    <definedName name="span" localSheetId="32">#N/A</definedName>
    <definedName name="span" localSheetId="39">#N/A</definedName>
    <definedName name="span" localSheetId="40">#N/A</definedName>
    <definedName name="span" localSheetId="38">#N/A</definedName>
    <definedName name="span" localSheetId="31">#N/A</definedName>
    <definedName name="span" localSheetId="34">#N/A</definedName>
    <definedName name="span" localSheetId="43">#N/A</definedName>
    <definedName name="span" localSheetId="0">#N/A</definedName>
    <definedName name="span" localSheetId="29">#N/A</definedName>
    <definedName name="span" localSheetId="41">#N/A</definedName>
    <definedName name="span" localSheetId="16">LLOAD!$C$25</definedName>
    <definedName name="span" localSheetId="7">#N/A</definedName>
    <definedName name="span" localSheetId="35">#N/A</definedName>
    <definedName name="span" localSheetId="36">#N/A</definedName>
    <definedName name="span" localSheetId="42">#N/A</definedName>
    <definedName name="span" localSheetId="28">#N/A</definedName>
    <definedName name="span">#REF!</definedName>
    <definedName name="Sqm">#REF!</definedName>
    <definedName name="two_span_length" localSheetId="44">#N/A</definedName>
    <definedName name="two_span_length" localSheetId="45">#N/A</definedName>
    <definedName name="two_span_length" localSheetId="33">#N/A</definedName>
    <definedName name="two_span_length" localSheetId="37">#N/A</definedName>
    <definedName name="two_span_length" localSheetId="30">#N/A</definedName>
    <definedName name="two_span_length" localSheetId="32">#N/A</definedName>
    <definedName name="two_span_length" localSheetId="39">#N/A</definedName>
    <definedName name="two_span_length" localSheetId="40">#N/A</definedName>
    <definedName name="two_span_length" localSheetId="38">#N/A</definedName>
    <definedName name="two_span_length" localSheetId="31">#N/A</definedName>
    <definedName name="two_span_length" localSheetId="34">#N/A</definedName>
    <definedName name="two_span_length" localSheetId="43">#N/A</definedName>
    <definedName name="two_span_length" localSheetId="0">#N/A</definedName>
    <definedName name="two_span_length" localSheetId="29">#N/A</definedName>
    <definedName name="two_span_length" localSheetId="41">#N/A</definedName>
    <definedName name="two_span_length" localSheetId="16">LLOAD!$T$200</definedName>
    <definedName name="two_span_length" localSheetId="7">#N/A</definedName>
    <definedName name="two_span_length" localSheetId="35">#N/A</definedName>
    <definedName name="two_span_length" localSheetId="36">#N/A</definedName>
    <definedName name="two_span_length" localSheetId="42">#N/A</definedName>
    <definedName name="two_span_length" localSheetId="28">#N/A</definedName>
    <definedName name="two_span_length">#REF!</definedName>
    <definedName name="v">#REF!</definedName>
    <definedName name="W" localSheetId="44">#N/A</definedName>
    <definedName name="W" localSheetId="45">#N/A</definedName>
    <definedName name="W" localSheetId="33">#N/A</definedName>
    <definedName name="W" localSheetId="37">#N/A</definedName>
    <definedName name="W" localSheetId="30">#N/A</definedName>
    <definedName name="W" localSheetId="32">#N/A</definedName>
    <definedName name="W" localSheetId="39">#N/A</definedName>
    <definedName name="W" localSheetId="40">#N/A</definedName>
    <definedName name="W" localSheetId="38">#N/A</definedName>
    <definedName name="W" localSheetId="31">#N/A</definedName>
    <definedName name="W" localSheetId="34">#N/A</definedName>
    <definedName name="W" localSheetId="43">#N/A</definedName>
    <definedName name="W" localSheetId="0">#N/A</definedName>
    <definedName name="W" localSheetId="29">#N/A</definedName>
    <definedName name="W" localSheetId="41">#N/A</definedName>
    <definedName name="W" localSheetId="7">#N/A</definedName>
    <definedName name="W" localSheetId="35">#N/A</definedName>
    <definedName name="W" localSheetId="36">#N/A</definedName>
    <definedName name="W" localSheetId="42">#N/A</definedName>
    <definedName name="W" localSheetId="28">#N/A</definedName>
    <definedName name="W">#REF!</definedName>
    <definedName name="WS" localSheetId="44">#N/A</definedName>
    <definedName name="WS" localSheetId="45">#N/A</definedName>
    <definedName name="WS" localSheetId="33">#N/A</definedName>
    <definedName name="WS" localSheetId="37">#N/A</definedName>
    <definedName name="WS" localSheetId="30">#N/A</definedName>
    <definedName name="WS" localSheetId="32">#N/A</definedName>
    <definedName name="WS" localSheetId="39">#N/A</definedName>
    <definedName name="WS" localSheetId="40">#N/A</definedName>
    <definedName name="WS" localSheetId="38">#N/A</definedName>
    <definedName name="WS" localSheetId="31">#N/A</definedName>
    <definedName name="WS" localSheetId="34">#N/A</definedName>
    <definedName name="WS" localSheetId="43">#N/A</definedName>
    <definedName name="WS" localSheetId="0">#N/A</definedName>
    <definedName name="WS" localSheetId="29">#N/A</definedName>
    <definedName name="WS" localSheetId="41">#N/A</definedName>
    <definedName name="WS" localSheetId="7">#N/A</definedName>
    <definedName name="WS" localSheetId="35">#N/A</definedName>
    <definedName name="WS" localSheetId="36">#N/A</definedName>
    <definedName name="WS" localSheetId="42">#N/A</definedName>
    <definedName name="WS" localSheetId="28">#N/A</definedName>
    <definedName name="WS">#REF!</definedName>
    <definedName name="z">#REF!</definedName>
  </definedNames>
  <calcPr calcId="152511" fullCalcOnLoad="1"/>
</workbook>
</file>

<file path=xl/calcChain.xml><?xml version="1.0" encoding="utf-8"?>
<calcChain xmlns="http://schemas.openxmlformats.org/spreadsheetml/2006/main">
  <c r="B116" i="59" l="1"/>
  <c r="B128" i="59"/>
  <c r="J93" i="59"/>
  <c r="C46" i="59"/>
  <c r="C43" i="59"/>
  <c r="G47" i="59"/>
  <c r="H41" i="59"/>
  <c r="E34" i="59"/>
  <c r="G34" i="59"/>
  <c r="C31" i="59"/>
  <c r="C18" i="59"/>
  <c r="A18" i="59"/>
  <c r="F10" i="59"/>
  <c r="B9" i="59"/>
  <c r="F9" i="59"/>
  <c r="F11" i="59"/>
  <c r="H6" i="59"/>
  <c r="F6" i="59"/>
  <c r="D6" i="59"/>
  <c r="B6" i="59"/>
  <c r="F86" i="58"/>
  <c r="D86" i="58"/>
  <c r="E72" i="58"/>
  <c r="E65" i="58"/>
  <c r="G62" i="58"/>
  <c r="N25" i="58"/>
  <c r="E1" i="52"/>
  <c r="D76" i="47"/>
  <c r="J117" i="2"/>
  <c r="H117" i="2"/>
  <c r="H116" i="2"/>
  <c r="F116" i="2"/>
  <c r="D116" i="2"/>
  <c r="J115" i="2"/>
  <c r="H115" i="2"/>
  <c r="H114" i="2"/>
  <c r="F114" i="2"/>
  <c r="D114" i="2"/>
  <c r="J113" i="2"/>
  <c r="H113" i="2"/>
  <c r="H112" i="2"/>
  <c r="F112" i="2"/>
  <c r="D112" i="2"/>
  <c r="J109" i="2"/>
  <c r="H109" i="2"/>
  <c r="F109" i="2"/>
  <c r="D109" i="2"/>
  <c r="F108" i="2"/>
  <c r="D108" i="2"/>
  <c r="H108" i="2"/>
  <c r="J108" i="2"/>
  <c r="F107" i="2"/>
  <c r="D107" i="2"/>
  <c r="H107" i="2"/>
  <c r="J107" i="2"/>
  <c r="J106" i="2"/>
  <c r="H106" i="2"/>
  <c r="D106" i="2"/>
  <c r="H103" i="2"/>
  <c r="F103" i="2"/>
  <c r="D103" i="2"/>
  <c r="H102" i="2"/>
  <c r="D102" i="2"/>
  <c r="J100" i="2"/>
  <c r="H100" i="2"/>
  <c r="F100" i="2"/>
  <c r="D100" i="2"/>
  <c r="F99" i="2"/>
  <c r="D99" i="2"/>
  <c r="H99" i="2"/>
  <c r="J99" i="2"/>
  <c r="F98" i="2"/>
  <c r="D98" i="2"/>
  <c r="H98" i="2"/>
  <c r="J98" i="2"/>
  <c r="J97" i="2"/>
  <c r="H97" i="2"/>
  <c r="D97" i="2"/>
  <c r="H94" i="2"/>
  <c r="D94" i="2"/>
  <c r="H93" i="2"/>
  <c r="F93" i="2"/>
  <c r="D93" i="2"/>
  <c r="J91" i="2"/>
  <c r="H91" i="2"/>
  <c r="F91" i="2"/>
  <c r="D91" i="2"/>
  <c r="F90" i="2"/>
  <c r="D90" i="2"/>
  <c r="H90" i="2"/>
  <c r="J90" i="2"/>
  <c r="F89" i="2"/>
  <c r="D89" i="2"/>
  <c r="H89" i="2"/>
  <c r="J89" i="2"/>
  <c r="J88" i="2"/>
  <c r="H88" i="2"/>
  <c r="D88" i="2"/>
  <c r="H85" i="2"/>
  <c r="D85" i="2"/>
  <c r="H84" i="2"/>
  <c r="F84" i="2"/>
  <c r="D84" i="2"/>
  <c r="H82" i="2"/>
  <c r="G82" i="2"/>
  <c r="F82" i="2"/>
  <c r="D82" i="2"/>
  <c r="D81" i="2"/>
  <c r="D80" i="2"/>
  <c r="P147" i="2"/>
  <c r="P138" i="2"/>
  <c r="P129" i="2"/>
  <c r="P106" i="2"/>
  <c r="P97" i="2"/>
  <c r="P88" i="2"/>
  <c r="G8" i="35"/>
  <c r="S32" i="35"/>
  <c r="G7" i="35"/>
  <c r="G32" i="35"/>
  <c r="E40" i="4"/>
  <c r="G2" i="35"/>
  <c r="Y14" i="35"/>
  <c r="B11" i="18"/>
  <c r="B12" i="18"/>
  <c r="B13" i="18"/>
  <c r="B14" i="18"/>
  <c r="E20" i="18"/>
  <c r="I23" i="18"/>
  <c r="B5" i="18"/>
  <c r="B6" i="18"/>
  <c r="B7" i="18"/>
  <c r="B8" i="18"/>
  <c r="D25" i="4"/>
  <c r="C25" i="4"/>
  <c r="D24" i="4"/>
  <c r="C24" i="4"/>
  <c r="E24" i="4"/>
  <c r="D23" i="4"/>
  <c r="C23" i="4"/>
  <c r="D22" i="4"/>
  <c r="C22" i="4"/>
  <c r="D21" i="4"/>
  <c r="C21" i="4"/>
  <c r="E21" i="4"/>
  <c r="F21" i="4"/>
  <c r="D20" i="4"/>
  <c r="C20" i="4"/>
  <c r="D19" i="4"/>
  <c r="C19" i="4"/>
  <c r="D18" i="4"/>
  <c r="G18" i="4"/>
  <c r="C18" i="4"/>
  <c r="D17" i="4"/>
  <c r="C17" i="4"/>
  <c r="D16" i="4"/>
  <c r="C16" i="4"/>
  <c r="D15" i="4"/>
  <c r="C15" i="4"/>
  <c r="D14" i="4"/>
  <c r="C14" i="4"/>
  <c r="D13" i="4"/>
  <c r="C13" i="4"/>
  <c r="D12" i="4"/>
  <c r="C12" i="4"/>
  <c r="D11" i="4"/>
  <c r="C11" i="4"/>
  <c r="D10" i="4"/>
  <c r="C10" i="4"/>
  <c r="D9" i="4"/>
  <c r="C9" i="4"/>
  <c r="D8" i="4"/>
  <c r="C8" i="4"/>
  <c r="D7" i="4"/>
  <c r="C7" i="4"/>
  <c r="C6" i="4"/>
  <c r="E19" i="18"/>
  <c r="D19" i="18"/>
  <c r="D20" i="18"/>
  <c r="A29" i="16"/>
  <c r="A28" i="16"/>
  <c r="D25" i="16"/>
  <c r="D24" i="16"/>
  <c r="D23" i="16"/>
  <c r="D22" i="16"/>
  <c r="D21" i="16"/>
  <c r="D20" i="16"/>
  <c r="D19" i="16"/>
  <c r="D18" i="16"/>
  <c r="D17" i="16"/>
  <c r="D16" i="16"/>
  <c r="D15" i="16"/>
  <c r="D14" i="16"/>
  <c r="D13" i="16"/>
  <c r="D12" i="16"/>
  <c r="D11" i="16"/>
  <c r="D10" i="16"/>
  <c r="D9" i="16"/>
  <c r="D8" i="16"/>
  <c r="D7" i="16"/>
  <c r="E35" i="36"/>
  <c r="E138" i="36"/>
  <c r="G4" i="35"/>
  <c r="W17" i="35"/>
  <c r="B116" i="43"/>
  <c r="B128" i="43"/>
  <c r="B134" i="43"/>
  <c r="J93" i="43"/>
  <c r="C46" i="43"/>
  <c r="C47" i="43"/>
  <c r="C43" i="43"/>
  <c r="G47" i="43"/>
  <c r="H41" i="43"/>
  <c r="E34" i="43"/>
  <c r="G34" i="43"/>
  <c r="C31" i="43"/>
  <c r="C18" i="43"/>
  <c r="A18" i="43"/>
  <c r="F10" i="43"/>
  <c r="B9" i="43"/>
  <c r="F9" i="43"/>
  <c r="F11" i="43"/>
  <c r="H6" i="43"/>
  <c r="F6" i="43"/>
  <c r="D6" i="43"/>
  <c r="B6" i="43"/>
  <c r="F86" i="42"/>
  <c r="D86" i="42"/>
  <c r="E72" i="42"/>
  <c r="E65" i="42"/>
  <c r="G62" i="42"/>
  <c r="N25" i="42"/>
  <c r="F2" i="41"/>
  <c r="H42" i="41"/>
  <c r="H36" i="41"/>
  <c r="H37" i="41"/>
  <c r="D29" i="41"/>
  <c r="J29" i="41"/>
  <c r="J32" i="41"/>
  <c r="G26" i="41"/>
  <c r="F18" i="41"/>
  <c r="F19" i="41"/>
  <c r="F20" i="41"/>
  <c r="F21" i="41"/>
  <c r="F22" i="41"/>
  <c r="F10" i="41"/>
  <c r="F11" i="41"/>
  <c r="F5" i="41"/>
  <c r="F26" i="41"/>
  <c r="F27" i="41"/>
  <c r="F31" i="41"/>
  <c r="L31" i="41"/>
  <c r="I4" i="41"/>
  <c r="I3" i="41"/>
  <c r="F6" i="41"/>
  <c r="F13" i="41"/>
  <c r="E106" i="40"/>
  <c r="E100" i="40"/>
  <c r="C93" i="40"/>
  <c r="E91" i="40"/>
  <c r="E88" i="40"/>
  <c r="D76" i="40"/>
  <c r="J72" i="40"/>
  <c r="G58" i="40"/>
  <c r="E58" i="40"/>
  <c r="I58" i="40"/>
  <c r="F59" i="40"/>
  <c r="I49" i="40"/>
  <c r="I48" i="40"/>
  <c r="I50" i="40"/>
  <c r="E52" i="40"/>
  <c r="I52" i="40"/>
  <c r="D59" i="40"/>
  <c r="I59" i="40"/>
  <c r="E44" i="40"/>
  <c r="E45" i="40"/>
  <c r="C43" i="40"/>
  <c r="C44" i="40"/>
  <c r="E41" i="40"/>
  <c r="E35" i="40"/>
  <c r="E38" i="40"/>
  <c r="E29" i="40"/>
  <c r="E31" i="40"/>
  <c r="E32" i="40"/>
  <c r="E33" i="40"/>
  <c r="E34" i="40"/>
  <c r="E39" i="40"/>
  <c r="H22" i="40"/>
  <c r="E23" i="40"/>
  <c r="E22" i="40"/>
  <c r="D20" i="40"/>
  <c r="G16" i="40"/>
  <c r="I11" i="40"/>
  <c r="E16" i="40"/>
  <c r="I16" i="40"/>
  <c r="F18" i="40"/>
  <c r="I6" i="40"/>
  <c r="I5" i="40"/>
  <c r="I7" i="40"/>
  <c r="E9" i="40"/>
  <c r="I9" i="40"/>
  <c r="D18" i="40"/>
  <c r="I18" i="40"/>
  <c r="C23" i="40"/>
  <c r="H23" i="40"/>
  <c r="C24" i="40"/>
  <c r="G24" i="40"/>
  <c r="E26" i="40"/>
  <c r="F10" i="39"/>
  <c r="F11" i="39"/>
  <c r="C8" i="39"/>
  <c r="C9" i="39"/>
  <c r="E7" i="39"/>
  <c r="E6" i="39"/>
  <c r="F8" i="38"/>
  <c r="E21" i="37"/>
  <c r="E24" i="37"/>
  <c r="B8" i="38"/>
  <c r="C69" i="37"/>
  <c r="E67" i="37"/>
  <c r="E64" i="37"/>
  <c r="E46" i="37"/>
  <c r="C43" i="37"/>
  <c r="E41" i="37"/>
  <c r="E38" i="37"/>
  <c r="E29" i="37"/>
  <c r="E31" i="37"/>
  <c r="E32" i="37"/>
  <c r="E33" i="37"/>
  <c r="D5" i="37"/>
  <c r="C59" i="36"/>
  <c r="D57" i="36"/>
  <c r="B57" i="36"/>
  <c r="C54" i="36"/>
  <c r="H57" i="36"/>
  <c r="C53" i="36"/>
  <c r="G52" i="36"/>
  <c r="E39" i="36"/>
  <c r="C132" i="36"/>
  <c r="E33" i="36"/>
  <c r="E34" i="36"/>
  <c r="C30" i="36"/>
  <c r="E31" i="36"/>
  <c r="G31" i="36"/>
  <c r="C29" i="36"/>
  <c r="G29" i="36"/>
  <c r="C31" i="36"/>
  <c r="C28" i="36"/>
  <c r="E29" i="36"/>
  <c r="E24" i="36"/>
  <c r="G21" i="36"/>
  <c r="C23" i="36"/>
  <c r="G23" i="36"/>
  <c r="C24" i="36"/>
  <c r="G24" i="36"/>
  <c r="D133" i="36"/>
  <c r="O32" i="35"/>
  <c r="W30" i="35"/>
  <c r="U28" i="35"/>
  <c r="C28" i="35"/>
  <c r="J20" i="35"/>
  <c r="C116" i="36"/>
  <c r="F116" i="36"/>
  <c r="K17" i="35"/>
  <c r="A15" i="35"/>
  <c r="M13" i="35"/>
  <c r="B119" i="36"/>
  <c r="E104" i="34"/>
  <c r="E98" i="34"/>
  <c r="C91" i="34"/>
  <c r="E89" i="34"/>
  <c r="E86" i="34"/>
  <c r="D74" i="34"/>
  <c r="J70" i="34"/>
  <c r="G56" i="34"/>
  <c r="I56" i="34"/>
  <c r="F57" i="34"/>
  <c r="E56" i="34"/>
  <c r="I47" i="34"/>
  <c r="I46" i="34"/>
  <c r="I48" i="34"/>
  <c r="E50" i="34"/>
  <c r="I50" i="34"/>
  <c r="D57" i="34"/>
  <c r="I57" i="34"/>
  <c r="E42" i="34"/>
  <c r="E43" i="34"/>
  <c r="C41" i="34"/>
  <c r="C42" i="34"/>
  <c r="E39" i="34"/>
  <c r="E36" i="34"/>
  <c r="E33" i="34"/>
  <c r="E27" i="34"/>
  <c r="E29" i="34"/>
  <c r="E30" i="34"/>
  <c r="E31" i="34"/>
  <c r="G14" i="34"/>
  <c r="I9" i="34"/>
  <c r="E14" i="34"/>
  <c r="I14" i="34"/>
  <c r="F16" i="34"/>
  <c r="C4" i="34"/>
  <c r="E3" i="34"/>
  <c r="C3" i="34"/>
  <c r="D18" i="34"/>
  <c r="E20" i="34"/>
  <c r="H20" i="34"/>
  <c r="E21" i="34"/>
  <c r="D94" i="33"/>
  <c r="D92" i="33"/>
  <c r="E87" i="33"/>
  <c r="D64" i="33"/>
  <c r="D62" i="33"/>
  <c r="E56" i="33"/>
  <c r="B38" i="33"/>
  <c r="E43" i="4"/>
  <c r="E45" i="4"/>
  <c r="B28" i="16"/>
  <c r="B29" i="16"/>
  <c r="F4" i="16"/>
  <c r="C21" i="16"/>
  <c r="C14" i="16"/>
  <c r="E30" i="7"/>
  <c r="L36" i="7"/>
  <c r="C30" i="7"/>
  <c r="J33" i="7"/>
  <c r="E52" i="2"/>
  <c r="D53" i="2"/>
  <c r="D209" i="2"/>
  <c r="M66" i="2"/>
  <c r="G13" i="29"/>
  <c r="G9" i="29"/>
  <c r="G8" i="29"/>
  <c r="G7" i="29"/>
  <c r="G6" i="29"/>
  <c r="H5" i="29"/>
  <c r="H290" i="28"/>
  <c r="H289" i="28"/>
  <c r="H278" i="28"/>
  <c r="E262" i="28"/>
  <c r="H266" i="28"/>
  <c r="G16" i="29"/>
  <c r="H255" i="28"/>
  <c r="H253" i="28"/>
  <c r="D253" i="28"/>
  <c r="E240" i="28"/>
  <c r="D237" i="28"/>
  <c r="H241" i="28"/>
  <c r="H230" i="28"/>
  <c r="I217" i="28"/>
  <c r="G14" i="29"/>
  <c r="I206" i="28"/>
  <c r="T199" i="28"/>
  <c r="E199" i="28"/>
  <c r="T198" i="28"/>
  <c r="A198" i="28"/>
  <c r="T197" i="28"/>
  <c r="T196" i="28"/>
  <c r="T195" i="28"/>
  <c r="D182" i="28"/>
  <c r="I175" i="28"/>
  <c r="I149" i="28"/>
  <c r="I148" i="28"/>
  <c r="I137" i="28"/>
  <c r="E121" i="28"/>
  <c r="I125" i="28"/>
  <c r="I114" i="28"/>
  <c r="I112" i="28"/>
  <c r="D112" i="28"/>
  <c r="E99" i="28"/>
  <c r="D96" i="28"/>
  <c r="I100" i="28"/>
  <c r="I89" i="28"/>
  <c r="E75" i="28"/>
  <c r="D72" i="28"/>
  <c r="I76" i="28"/>
  <c r="I65" i="28"/>
  <c r="I64" i="28"/>
  <c r="D64" i="28"/>
  <c r="E58" i="28"/>
  <c r="C61" i="28"/>
  <c r="J57" i="28"/>
  <c r="J198" i="28"/>
  <c r="C57" i="28"/>
  <c r="C60" i="28"/>
  <c r="A57" i="28"/>
  <c r="D41" i="28"/>
  <c r="C25" i="28"/>
  <c r="F9" i="24"/>
  <c r="F11" i="24"/>
  <c r="F12" i="24"/>
  <c r="A2" i="20"/>
  <c r="A2" i="2"/>
  <c r="A2" i="7"/>
  <c r="A2" i="17"/>
  <c r="A2" i="21"/>
  <c r="A1" i="35"/>
  <c r="A2" i="36"/>
  <c r="A2" i="4"/>
  <c r="A2" i="24"/>
  <c r="A2" i="16"/>
  <c r="A2" i="18"/>
  <c r="B29" i="19"/>
  <c r="F37" i="4"/>
  <c r="B53" i="19"/>
  <c r="D54" i="19"/>
  <c r="A6" i="18"/>
  <c r="A7" i="18"/>
  <c r="A8" i="18"/>
  <c r="A9" i="18"/>
  <c r="A10" i="18"/>
  <c r="A11" i="18"/>
  <c r="A12" i="18"/>
  <c r="A13" i="18"/>
  <c r="D16" i="17"/>
  <c r="E26" i="21"/>
  <c r="E6" i="2"/>
  <c r="D27" i="2"/>
  <c r="H53" i="2"/>
  <c r="H54" i="2"/>
  <c r="F39" i="2"/>
  <c r="P39" i="2"/>
  <c r="J39" i="2"/>
  <c r="F34" i="2"/>
  <c r="F40" i="2"/>
  <c r="P40" i="2"/>
  <c r="P34" i="2"/>
  <c r="L40" i="2"/>
  <c r="H42" i="2"/>
  <c r="J42" i="2"/>
  <c r="P43" i="2"/>
  <c r="H44" i="2"/>
  <c r="P44" i="2"/>
  <c r="P45" i="2"/>
  <c r="P32" i="2"/>
  <c r="J33" i="2"/>
  <c r="P33" i="2"/>
  <c r="P37" i="2"/>
  <c r="D56" i="2"/>
  <c r="D59" i="2"/>
  <c r="P35" i="2"/>
  <c r="P36" i="2"/>
  <c r="J367" i="2"/>
  <c r="F380" i="2"/>
  <c r="F424" i="2"/>
  <c r="E8" i="2"/>
  <c r="D24" i="24"/>
  <c r="I24" i="24"/>
  <c r="E369" i="2"/>
  <c r="G369" i="2"/>
  <c r="H370" i="2"/>
  <c r="M163" i="2"/>
  <c r="D166" i="2"/>
  <c r="M171" i="2"/>
  <c r="D174" i="2"/>
  <c r="M172" i="2"/>
  <c r="H174" i="2"/>
  <c r="F433" i="2"/>
  <c r="L343" i="2"/>
  <c r="B57" i="19"/>
  <c r="B61" i="19"/>
  <c r="F61" i="19"/>
  <c r="D62" i="19"/>
  <c r="B68" i="19"/>
  <c r="B49" i="19"/>
  <c r="B20" i="19"/>
  <c r="F20" i="19"/>
  <c r="F21" i="19"/>
  <c r="C10" i="19"/>
  <c r="D20" i="19"/>
  <c r="B62" i="19"/>
  <c r="G52" i="2"/>
  <c r="E80" i="19"/>
  <c r="D29" i="24"/>
  <c r="E24" i="24"/>
  <c r="M33" i="24"/>
  <c r="F35" i="24"/>
  <c r="D35" i="24"/>
  <c r="J33" i="24"/>
  <c r="G33" i="24"/>
  <c r="E34" i="21"/>
  <c r="E37" i="21"/>
  <c r="E28" i="21"/>
  <c r="E30" i="21"/>
  <c r="E31" i="21"/>
  <c r="E32" i="21"/>
  <c r="E40" i="21"/>
  <c r="C42" i="21"/>
  <c r="E43" i="21"/>
  <c r="E45" i="21"/>
  <c r="E46" i="21"/>
  <c r="E47" i="21"/>
  <c r="C47" i="21"/>
  <c r="E64" i="21"/>
  <c r="E67" i="21"/>
  <c r="C69" i="21"/>
  <c r="D1" i="22"/>
  <c r="D144" i="2"/>
  <c r="H144" i="2"/>
  <c r="J147" i="2"/>
  <c r="F144" i="2"/>
  <c r="H135" i="2"/>
  <c r="J138" i="2"/>
  <c r="D147" i="2"/>
  <c r="D138" i="2"/>
  <c r="D129" i="2"/>
  <c r="A6" i="2"/>
  <c r="A7" i="2"/>
  <c r="A8" i="2"/>
  <c r="A9" i="2"/>
  <c r="A10" i="2"/>
  <c r="A11" i="2"/>
  <c r="A12" i="2"/>
  <c r="A13" i="2"/>
  <c r="A14" i="2"/>
  <c r="A15" i="2"/>
  <c r="A16" i="2"/>
  <c r="A17" i="2"/>
  <c r="A18" i="2"/>
  <c r="A19" i="2"/>
  <c r="A20" i="2"/>
  <c r="A21" i="2"/>
  <c r="A22" i="2"/>
  <c r="A23" i="2"/>
  <c r="G17" i="2"/>
  <c r="F49" i="2"/>
  <c r="D51" i="2"/>
  <c r="E54" i="2"/>
  <c r="G54" i="2"/>
  <c r="I54" i="2"/>
  <c r="O54" i="2"/>
  <c r="Q54" i="2"/>
  <c r="P57" i="2"/>
  <c r="F77" i="2"/>
  <c r="F119" i="2"/>
  <c r="H55" i="7"/>
  <c r="H36" i="7"/>
  <c r="H33" i="7"/>
  <c r="D32" i="7"/>
  <c r="C94" i="7"/>
  <c r="C76" i="7"/>
  <c r="D88" i="7"/>
  <c r="D81" i="7"/>
  <c r="D69" i="7"/>
  <c r="E61" i="7"/>
  <c r="B14" i="7"/>
  <c r="B12" i="7"/>
  <c r="B6" i="7"/>
  <c r="C6" i="7"/>
  <c r="E6" i="7"/>
  <c r="B7" i="7"/>
  <c r="C7" i="7"/>
  <c r="E7" i="7"/>
  <c r="F7" i="7"/>
  <c r="B8" i="7"/>
  <c r="C8" i="7"/>
  <c r="E8" i="7"/>
  <c r="F8" i="7"/>
  <c r="B9" i="7"/>
  <c r="C9" i="7"/>
  <c r="E9" i="7"/>
  <c r="B10" i="7"/>
  <c r="C10" i="7"/>
  <c r="E10" i="7"/>
  <c r="B11" i="7"/>
  <c r="C11" i="7"/>
  <c r="E11" i="7"/>
  <c r="D15" i="7"/>
  <c r="D13" i="7"/>
  <c r="F13" i="7"/>
  <c r="F15" i="7"/>
  <c r="C90" i="7"/>
  <c r="C95" i="7"/>
  <c r="E73" i="7"/>
  <c r="G73" i="7"/>
  <c r="H69" i="7"/>
  <c r="G55" i="7"/>
  <c r="F55" i="7"/>
  <c r="I55" i="7"/>
  <c r="E36" i="7"/>
  <c r="E55" i="7"/>
  <c r="C44" i="7"/>
  <c r="F42" i="7"/>
  <c r="H42" i="7"/>
  <c r="E42" i="7"/>
  <c r="F36" i="7"/>
  <c r="G24" i="7"/>
  <c r="F24" i="7"/>
  <c r="E24" i="7"/>
  <c r="D24" i="7"/>
  <c r="G23" i="7"/>
  <c r="F23" i="7"/>
  <c r="E23" i="7"/>
  <c r="D23" i="7"/>
  <c r="B23" i="7"/>
  <c r="G22" i="7"/>
  <c r="E22" i="7"/>
  <c r="D22" i="7"/>
  <c r="B22" i="7"/>
  <c r="B20" i="7"/>
  <c r="B19" i="7"/>
  <c r="B18" i="7"/>
  <c r="G17" i="7"/>
  <c r="F17" i="7"/>
  <c r="B17" i="7"/>
  <c r="B16" i="7"/>
  <c r="E48" i="17"/>
  <c r="G48" i="17"/>
  <c r="E3" i="17"/>
  <c r="B6" i="17"/>
  <c r="C6" i="17"/>
  <c r="E6" i="17"/>
  <c r="B7" i="17"/>
  <c r="C7" i="17"/>
  <c r="E7" i="17"/>
  <c r="F7" i="17"/>
  <c r="B8" i="17"/>
  <c r="C8" i="17"/>
  <c r="E8" i="17"/>
  <c r="F8" i="17"/>
  <c r="B9" i="17"/>
  <c r="C9" i="17"/>
  <c r="E9" i="17"/>
  <c r="B10" i="17"/>
  <c r="C10" i="17"/>
  <c r="E10" i="17"/>
  <c r="B11" i="17"/>
  <c r="C11" i="17"/>
  <c r="E11" i="17"/>
  <c r="B12" i="17"/>
  <c r="D15" i="17"/>
  <c r="D13" i="17"/>
  <c r="F13" i="17"/>
  <c r="B14" i="17"/>
  <c r="F15" i="17"/>
  <c r="B16" i="17"/>
  <c r="B17" i="17"/>
  <c r="F17" i="17"/>
  <c r="G17" i="17"/>
  <c r="B18" i="17"/>
  <c r="B19" i="17"/>
  <c r="B20" i="17"/>
  <c r="B22" i="17"/>
  <c r="D22" i="17"/>
  <c r="E22" i="17"/>
  <c r="G22" i="17"/>
  <c r="B23" i="17"/>
  <c r="D23" i="17"/>
  <c r="E23" i="17"/>
  <c r="F23" i="17"/>
  <c r="G23" i="17"/>
  <c r="D24" i="17"/>
  <c r="E24" i="17"/>
  <c r="F24" i="17"/>
  <c r="G24" i="17"/>
  <c r="D32" i="17"/>
  <c r="H32" i="17"/>
  <c r="F32" i="17"/>
  <c r="H33" i="17"/>
  <c r="J33" i="17"/>
  <c r="L33" i="17"/>
  <c r="E36" i="17"/>
  <c r="E55" i="17"/>
  <c r="F36" i="17"/>
  <c r="H36" i="17"/>
  <c r="J36" i="17"/>
  <c r="L36" i="17"/>
  <c r="E42" i="17"/>
  <c r="F42" i="17"/>
  <c r="H42" i="17"/>
  <c r="C44" i="17"/>
  <c r="F55" i="17"/>
  <c r="G55" i="17"/>
  <c r="H55" i="17"/>
  <c r="I55" i="17"/>
  <c r="E56" i="17"/>
  <c r="G63" i="17"/>
  <c r="G56" i="17"/>
  <c r="I63" i="17"/>
  <c r="C72" i="17"/>
  <c r="E61" i="17"/>
  <c r="D69" i="17"/>
  <c r="H69" i="17"/>
  <c r="E73" i="17"/>
  <c r="G73" i="17"/>
  <c r="C76" i="17"/>
  <c r="D88" i="17"/>
  <c r="D81" i="17"/>
  <c r="C90" i="17"/>
  <c r="C95" i="17"/>
  <c r="C94" i="17"/>
  <c r="E56" i="7"/>
  <c r="G63" i="7"/>
  <c r="E370" i="2"/>
  <c r="M173" i="2"/>
  <c r="J369" i="2"/>
  <c r="J396" i="2"/>
  <c r="F396" i="2"/>
  <c r="F452" i="2"/>
  <c r="F405" i="2"/>
  <c r="F461" i="2"/>
  <c r="G56" i="7"/>
  <c r="I63" i="7"/>
  <c r="C72" i="7"/>
  <c r="J36" i="7"/>
  <c r="U215" i="28"/>
  <c r="AA165" i="28"/>
  <c r="AA39" i="28"/>
  <c r="AC56" i="28"/>
  <c r="E20" i="28"/>
  <c r="AA173" i="28"/>
  <c r="C198" i="28"/>
  <c r="H167" i="28"/>
  <c r="U172" i="28"/>
  <c r="H25" i="28"/>
  <c r="H198" i="28"/>
  <c r="T200" i="28"/>
  <c r="I88" i="28"/>
  <c r="E147" i="28"/>
  <c r="E185" i="28"/>
  <c r="I61" i="28"/>
  <c r="I60" i="28"/>
  <c r="I132" i="28"/>
  <c r="I108" i="28"/>
  <c r="L27" i="2"/>
  <c r="C108" i="28"/>
  <c r="C132" i="28"/>
  <c r="I84" i="28"/>
  <c r="E19" i="28"/>
  <c r="I32" i="28"/>
  <c r="B52" i="19"/>
  <c r="C45" i="19"/>
  <c r="B54" i="19"/>
  <c r="F7" i="41"/>
  <c r="F14" i="41"/>
  <c r="E120" i="36"/>
  <c r="E130" i="36"/>
  <c r="E114" i="36"/>
  <c r="B68" i="36"/>
  <c r="M33" i="35"/>
  <c r="E122" i="36"/>
  <c r="C68" i="36"/>
  <c r="C110" i="36"/>
  <c r="F110" i="36"/>
  <c r="E25" i="4"/>
  <c r="B79" i="19"/>
  <c r="E7" i="4"/>
  <c r="F7" i="4"/>
  <c r="E10" i="4"/>
  <c r="F10" i="4"/>
  <c r="E18" i="4"/>
  <c r="F18" i="4"/>
  <c r="E20" i="4"/>
  <c r="F20" i="4"/>
  <c r="G22" i="4"/>
  <c r="E13" i="4"/>
  <c r="F13" i="4"/>
  <c r="G19" i="4"/>
  <c r="E11" i="4"/>
  <c r="F11" i="4"/>
  <c r="E17" i="4"/>
  <c r="F17" i="4"/>
  <c r="G8" i="4"/>
  <c r="G16" i="4"/>
  <c r="E16" i="4"/>
  <c r="F16" i="4"/>
  <c r="E8" i="4"/>
  <c r="F8" i="4"/>
  <c r="E23" i="4"/>
  <c r="F23" i="4"/>
  <c r="E14" i="4"/>
  <c r="F14" i="4"/>
  <c r="G21" i="4"/>
  <c r="G20" i="4"/>
  <c r="G9" i="4"/>
  <c r="E19" i="4"/>
  <c r="F19" i="4"/>
  <c r="G12" i="4"/>
  <c r="E22" i="4"/>
  <c r="F22" i="4"/>
  <c r="G15" i="4"/>
  <c r="E12" i="4"/>
  <c r="F12" i="4"/>
  <c r="E15" i="4"/>
  <c r="F15" i="4"/>
  <c r="G24" i="4"/>
  <c r="G11" i="4"/>
  <c r="G14" i="4"/>
  <c r="G17" i="4"/>
  <c r="G23" i="4"/>
  <c r="G13" i="4"/>
  <c r="G7" i="4"/>
  <c r="I22" i="18"/>
  <c r="J24" i="18"/>
  <c r="C33" i="4"/>
  <c r="C24" i="16"/>
  <c r="C11" i="16"/>
  <c r="E11" i="16"/>
  <c r="F11" i="16"/>
  <c r="C12" i="16"/>
  <c r="C20" i="16"/>
  <c r="C19" i="16"/>
  <c r="C9" i="16"/>
  <c r="E10" i="16"/>
  <c r="F10" i="16"/>
  <c r="G10" i="16"/>
  <c r="C18" i="16"/>
  <c r="G19" i="16"/>
  <c r="E18" i="16"/>
  <c r="F18" i="16"/>
  <c r="C8" i="16"/>
  <c r="G8" i="16"/>
  <c r="C16" i="16"/>
  <c r="G16" i="16"/>
  <c r="C25" i="16"/>
  <c r="G25" i="16"/>
  <c r="C15" i="16"/>
  <c r="C22" i="16"/>
  <c r="E23" i="16"/>
  <c r="C13" i="16"/>
  <c r="E14" i="16"/>
  <c r="C23" i="16"/>
  <c r="C10" i="16"/>
  <c r="C17" i="16"/>
  <c r="B59" i="19"/>
  <c r="D61" i="19"/>
  <c r="H132" i="2"/>
  <c r="B50" i="19"/>
  <c r="E46" i="4"/>
  <c r="C6" i="16"/>
  <c r="E7" i="16"/>
  <c r="E44" i="4"/>
  <c r="C7" i="16"/>
  <c r="C84" i="36"/>
  <c r="E84" i="36"/>
  <c r="G86" i="36"/>
  <c r="E126" i="36"/>
  <c r="E112" i="36"/>
  <c r="D18" i="38"/>
  <c r="E1" i="38"/>
  <c r="E110" i="36"/>
  <c r="G15" i="16"/>
  <c r="E24" i="16"/>
  <c r="F24" i="16"/>
  <c r="G14" i="16"/>
  <c r="E15" i="16"/>
  <c r="F15" i="16"/>
  <c r="E17" i="16"/>
  <c r="F17" i="16"/>
  <c r="F14" i="16"/>
  <c r="C63" i="19"/>
  <c r="D64" i="19"/>
  <c r="B67" i="19"/>
  <c r="D68" i="19"/>
  <c r="F68" i="19"/>
  <c r="D69" i="19"/>
  <c r="C70" i="19"/>
  <c r="D71" i="19"/>
  <c r="C72" i="19"/>
  <c r="G74" i="19"/>
  <c r="D6" i="37"/>
  <c r="E17" i="37"/>
  <c r="G17" i="37"/>
  <c r="D7" i="37"/>
  <c r="E19" i="16"/>
  <c r="F19" i="16"/>
  <c r="E9" i="16"/>
  <c r="F9" i="16"/>
  <c r="G9" i="16"/>
  <c r="E8" i="16"/>
  <c r="F8" i="16"/>
  <c r="D85" i="17"/>
  <c r="D49" i="17"/>
  <c r="D50" i="17"/>
  <c r="F51" i="17"/>
  <c r="H7" i="29"/>
  <c r="H8" i="29"/>
  <c r="D54" i="2"/>
  <c r="G18" i="16"/>
  <c r="J424" i="2"/>
  <c r="J405" i="2"/>
  <c r="J371" i="2"/>
  <c r="J452" i="2"/>
  <c r="J370" i="2"/>
  <c r="N405" i="2"/>
  <c r="D9" i="24"/>
  <c r="D11" i="24"/>
  <c r="H229" i="28"/>
  <c r="F24" i="4"/>
  <c r="D29" i="19"/>
  <c r="E9" i="4"/>
  <c r="F9" i="4"/>
  <c r="M174" i="2"/>
  <c r="F371" i="2"/>
  <c r="G24" i="16"/>
  <c r="C84" i="28"/>
  <c r="E106" i="36"/>
  <c r="E132" i="36"/>
  <c r="F132" i="36"/>
  <c r="N461" i="2"/>
  <c r="N396" i="2"/>
  <c r="N424" i="2"/>
  <c r="N452" i="2"/>
  <c r="N371" i="2"/>
  <c r="N380" i="2"/>
  <c r="C60" i="19"/>
  <c r="B64" i="19"/>
  <c r="B30" i="19"/>
  <c r="E31" i="19"/>
  <c r="A64" i="19"/>
  <c r="E85" i="40"/>
  <c r="E102" i="40"/>
  <c r="E103" i="40"/>
  <c r="C32" i="36"/>
  <c r="C34" i="36"/>
  <c r="C65" i="17"/>
  <c r="D52" i="17"/>
  <c r="E94" i="17"/>
  <c r="C65" i="19"/>
  <c r="E74" i="19"/>
  <c r="D86" i="17"/>
  <c r="D87" i="17"/>
  <c r="C61" i="34"/>
  <c r="H61" i="34"/>
  <c r="C79" i="34"/>
  <c r="E80" i="34"/>
  <c r="H35" i="24"/>
  <c r="D36" i="24"/>
  <c r="I85" i="28"/>
  <c r="I109" i="28"/>
  <c r="D78" i="28"/>
  <c r="C85" i="28"/>
  <c r="I78" i="28"/>
  <c r="C109" i="28"/>
  <c r="I62" i="28"/>
  <c r="E32" i="36"/>
  <c r="G32" i="36"/>
  <c r="D28" i="2"/>
  <c r="E211" i="2"/>
  <c r="E40" i="40"/>
  <c r="E42" i="40"/>
  <c r="C81" i="40"/>
  <c r="E82" i="40"/>
  <c r="E84" i="40"/>
  <c r="C63" i="40"/>
  <c r="H63" i="40"/>
  <c r="G25" i="4"/>
  <c r="F25" i="4"/>
  <c r="F27" i="4"/>
  <c r="C29" i="4"/>
  <c r="C85" i="19"/>
  <c r="B58" i="19"/>
  <c r="E21" i="2"/>
  <c r="E45" i="19"/>
  <c r="E4" i="34"/>
  <c r="I4" i="34"/>
  <c r="I3" i="34"/>
  <c r="I5" i="34"/>
  <c r="E7" i="34"/>
  <c r="I7" i="34"/>
  <c r="D16" i="34"/>
  <c r="I16" i="34"/>
  <c r="C21" i="34"/>
  <c r="F12" i="43"/>
  <c r="C143" i="43"/>
  <c r="B12" i="43"/>
  <c r="D27" i="16"/>
  <c r="G7" i="16"/>
  <c r="F7" i="16"/>
  <c r="F27" i="16"/>
  <c r="C46" i="19"/>
  <c r="G23" i="16"/>
  <c r="F23" i="16"/>
  <c r="D27" i="4"/>
  <c r="G10" i="4"/>
  <c r="G27" i="4"/>
  <c r="C30" i="4"/>
  <c r="C7" i="19"/>
  <c r="L174" i="2"/>
  <c r="D178" i="2"/>
  <c r="G21" i="16"/>
  <c r="C55" i="19"/>
  <c r="C74" i="19"/>
  <c r="C75" i="19"/>
  <c r="D76" i="19"/>
  <c r="D5" i="21"/>
  <c r="E16" i="21"/>
  <c r="F53" i="2"/>
  <c r="E13" i="16"/>
  <c r="F13" i="16"/>
  <c r="E12" i="16"/>
  <c r="F12" i="16"/>
  <c r="G13" i="16"/>
  <c r="E21" i="16"/>
  <c r="F21" i="16"/>
  <c r="E22" i="16"/>
  <c r="F22" i="16"/>
  <c r="G22" i="16"/>
  <c r="I67" i="28"/>
  <c r="I68" i="28"/>
  <c r="F6" i="29"/>
  <c r="G45" i="19"/>
  <c r="B76" i="19"/>
  <c r="E25" i="16"/>
  <c r="F25" i="16"/>
  <c r="H6" i="29"/>
  <c r="G14" i="2"/>
  <c r="E8" i="19"/>
  <c r="E47" i="4"/>
  <c r="E18" i="2"/>
  <c r="C35" i="43"/>
  <c r="E47" i="43"/>
  <c r="C48" i="43"/>
  <c r="B56" i="43"/>
  <c r="C141" i="43"/>
  <c r="E143" i="43"/>
  <c r="C98" i="43"/>
  <c r="J433" i="2"/>
  <c r="E16" i="2"/>
  <c r="G48" i="7"/>
  <c r="D85" i="7"/>
  <c r="G11" i="16"/>
  <c r="E20" i="16"/>
  <c r="F20" i="16"/>
  <c r="L33" i="7"/>
  <c r="G20" i="16"/>
  <c r="D4" i="21"/>
  <c r="E16" i="16"/>
  <c r="F16" i="16"/>
  <c r="F32" i="7"/>
  <c r="H32" i="7"/>
  <c r="C118" i="36"/>
  <c r="F118" i="36"/>
  <c r="C112" i="36"/>
  <c r="F112" i="36"/>
  <c r="N433" i="2"/>
  <c r="G17" i="16"/>
  <c r="C85" i="36"/>
  <c r="G12" i="16"/>
  <c r="B117" i="36"/>
  <c r="J461" i="2"/>
  <c r="B113" i="36"/>
  <c r="E124" i="36"/>
  <c r="J380" i="2"/>
  <c r="C6" i="19"/>
  <c r="C31" i="4"/>
  <c r="C34" i="4"/>
  <c r="E15" i="2"/>
  <c r="E77" i="2"/>
  <c r="I102" i="28"/>
  <c r="I86" i="28"/>
  <c r="I91" i="28"/>
  <c r="I92" i="28"/>
  <c r="F7" i="29"/>
  <c r="I87" i="28"/>
  <c r="A7" i="29"/>
  <c r="D102" i="28"/>
  <c r="D87" i="28"/>
  <c r="F164" i="2"/>
  <c r="F184" i="2"/>
  <c r="F176" i="2"/>
  <c r="F182" i="2"/>
  <c r="P53" i="2"/>
  <c r="H56" i="2"/>
  <c r="F209" i="2"/>
  <c r="F54" i="2"/>
  <c r="P54" i="2"/>
  <c r="H59" i="2"/>
  <c r="C144" i="43"/>
  <c r="A8" i="29"/>
  <c r="I127" i="28"/>
  <c r="D127" i="28"/>
  <c r="E212" i="2"/>
  <c r="D126" i="2"/>
  <c r="H126" i="2"/>
  <c r="J129" i="2"/>
  <c r="L28" i="2"/>
  <c r="L29" i="2"/>
  <c r="D201" i="2"/>
  <c r="I111" i="28"/>
  <c r="E22" i="2"/>
  <c r="C77" i="19"/>
  <c r="E81" i="19"/>
  <c r="I63" i="28"/>
  <c r="I79" i="28"/>
  <c r="I6" i="29"/>
  <c r="D63" i="28"/>
  <c r="D6" i="29"/>
  <c r="D123" i="2"/>
  <c r="H123" i="2"/>
  <c r="G3" i="35"/>
  <c r="Y31" i="35"/>
  <c r="G6" i="35"/>
  <c r="E20" i="2"/>
  <c r="E92" i="40"/>
  <c r="D111" i="28"/>
  <c r="G27" i="16"/>
  <c r="I126" i="28"/>
  <c r="B8" i="29"/>
  <c r="I116" i="28"/>
  <c r="I117" i="28"/>
  <c r="F8" i="29"/>
  <c r="E126" i="28"/>
  <c r="D233" i="2"/>
  <c r="D6" i="17"/>
  <c r="D259" i="2"/>
  <c r="G211" i="2"/>
  <c r="J209" i="2"/>
  <c r="B442" i="2"/>
  <c r="A14" i="20"/>
  <c r="D189" i="2"/>
  <c r="D181" i="2"/>
  <c r="D180" i="2"/>
  <c r="D179" i="2"/>
  <c r="D169" i="2"/>
  <c r="B198" i="2"/>
  <c r="A3" i="20"/>
  <c r="B356" i="2"/>
  <c r="A11" i="20"/>
  <c r="B414" i="2"/>
  <c r="A13" i="20"/>
  <c r="B388" i="2"/>
  <c r="A12" i="20"/>
  <c r="C3" i="7"/>
  <c r="E3" i="7"/>
  <c r="C3" i="17"/>
  <c r="A24" i="2"/>
  <c r="B285" i="2"/>
  <c r="A6" i="20"/>
  <c r="B257" i="2"/>
  <c r="A5" i="20"/>
  <c r="D141" i="2"/>
  <c r="D140" i="2"/>
  <c r="D139" i="2"/>
  <c r="B231" i="2"/>
  <c r="A4" i="20"/>
  <c r="D157" i="2"/>
  <c r="D155" i="2"/>
  <c r="B319" i="2"/>
  <c r="A7" i="20"/>
  <c r="D132" i="2"/>
  <c r="D150" i="2"/>
  <c r="D149" i="2"/>
  <c r="D148" i="2"/>
  <c r="H148" i="2"/>
  <c r="D182" i="2"/>
  <c r="E23" i="2"/>
  <c r="H41" i="2"/>
  <c r="I101" i="28"/>
  <c r="B7" i="29"/>
  <c r="E101" i="28"/>
  <c r="D8" i="29"/>
  <c r="I128" i="28"/>
  <c r="D7" i="29"/>
  <c r="I103" i="28"/>
  <c r="E119" i="2"/>
  <c r="D120" i="2"/>
  <c r="D121" i="2"/>
  <c r="D122" i="2"/>
  <c r="F123" i="2"/>
  <c r="D79" i="2"/>
  <c r="A6" i="29"/>
  <c r="I77" i="28"/>
  <c r="B6" i="29"/>
  <c r="E77" i="28"/>
  <c r="C13" i="19"/>
  <c r="C14" i="19"/>
  <c r="C35" i="4"/>
  <c r="D125" i="2"/>
  <c r="G123" i="2"/>
  <c r="D134" i="2"/>
  <c r="D416" i="2"/>
  <c r="D287" i="2"/>
  <c r="D359" i="2"/>
  <c r="D444" i="2"/>
  <c r="D390" i="2"/>
  <c r="H212" i="2"/>
  <c r="J212" i="2"/>
  <c r="J211" i="2"/>
  <c r="F329" i="2"/>
  <c r="F222" i="2"/>
  <c r="F239" i="2"/>
  <c r="F213" i="2"/>
  <c r="F295" i="2"/>
  <c r="F276" i="2"/>
  <c r="F343" i="2"/>
  <c r="F267" i="2"/>
  <c r="F309" i="2"/>
  <c r="F248" i="2"/>
  <c r="C47" i="19"/>
  <c r="B78" i="19"/>
  <c r="L42" i="2"/>
  <c r="P42" i="2"/>
  <c r="P41" i="2"/>
  <c r="P46" i="2"/>
  <c r="H140" i="2"/>
  <c r="F183" i="2"/>
  <c r="M183" i="2"/>
  <c r="D186" i="2"/>
  <c r="D184" i="2"/>
  <c r="I7" i="29"/>
  <c r="I8" i="29"/>
  <c r="E37" i="4"/>
  <c r="E13" i="2"/>
  <c r="C31" i="19"/>
  <c r="C32" i="19"/>
  <c r="B33" i="19"/>
  <c r="C17" i="19"/>
  <c r="C81" i="19"/>
  <c r="C82" i="19"/>
  <c r="B83" i="19"/>
  <c r="E20" i="24"/>
  <c r="D21" i="24"/>
  <c r="D22" i="24"/>
  <c r="D23" i="24"/>
  <c r="H29" i="24"/>
  <c r="D131" i="2"/>
  <c r="D168" i="2"/>
  <c r="H150" i="2"/>
  <c r="H149" i="2"/>
  <c r="D153" i="2"/>
  <c r="C15" i="7"/>
  <c r="C13" i="7"/>
  <c r="D195" i="2"/>
  <c r="D188" i="2"/>
  <c r="J295" i="2"/>
  <c r="J267" i="2"/>
  <c r="J222" i="2"/>
  <c r="J276" i="2"/>
  <c r="J343" i="2"/>
  <c r="J239" i="2"/>
  <c r="J248" i="2"/>
  <c r="J309" i="2"/>
  <c r="J213" i="2"/>
  <c r="J329" i="2"/>
  <c r="N267" i="2"/>
  <c r="N239" i="2"/>
  <c r="N295" i="2"/>
  <c r="N213" i="2"/>
  <c r="N329" i="2"/>
  <c r="N222" i="2"/>
  <c r="N276" i="2"/>
  <c r="N343" i="2"/>
  <c r="H344" i="2"/>
  <c r="H345" i="2"/>
  <c r="N248" i="2"/>
  <c r="N309" i="2"/>
  <c r="P49" i="2"/>
  <c r="D13" i="36"/>
  <c r="C106" i="36"/>
  <c r="F106" i="36"/>
  <c r="D49" i="2"/>
  <c r="F56" i="2"/>
  <c r="P56" i="2"/>
  <c r="F26" i="24"/>
  <c r="D7" i="24"/>
  <c r="D8" i="24"/>
  <c r="H8" i="24"/>
  <c r="F10" i="24"/>
  <c r="D79" i="19"/>
  <c r="F79" i="19"/>
  <c r="D167" i="2"/>
  <c r="D193" i="2"/>
  <c r="D187" i="2"/>
  <c r="D191" i="2"/>
  <c r="D130" i="2"/>
  <c r="H131" i="2"/>
  <c r="H189" i="2"/>
  <c r="H184" i="2"/>
  <c r="F185" i="2"/>
  <c r="J185" i="2"/>
  <c r="F186" i="2"/>
  <c r="M186" i="2"/>
  <c r="F187" i="2"/>
  <c r="H188" i="2"/>
  <c r="H141" i="2"/>
  <c r="H139" i="2"/>
  <c r="D6" i="7"/>
  <c r="D321" i="2"/>
  <c r="D202" i="2"/>
  <c r="D360" i="2"/>
  <c r="F51" i="2"/>
  <c r="P51" i="2"/>
  <c r="F59" i="2"/>
  <c r="P59" i="2"/>
  <c r="L6" i="24"/>
  <c r="C84" i="19"/>
  <c r="H348" i="2"/>
  <c r="H350" i="2"/>
  <c r="H353" i="2"/>
  <c r="H187" i="2"/>
  <c r="J187" i="2"/>
  <c r="J191" i="2"/>
  <c r="D7" i="7"/>
  <c r="D445" i="2"/>
  <c r="D391" i="2"/>
  <c r="D394" i="2"/>
  <c r="D405" i="2"/>
  <c r="D406" i="2"/>
  <c r="D407" i="2"/>
  <c r="D417" i="2"/>
  <c r="D260" i="2"/>
  <c r="D288" i="2"/>
  <c r="D7" i="17"/>
  <c r="D234" i="2"/>
  <c r="D237" i="2"/>
  <c r="D248" i="2"/>
  <c r="D249" i="2"/>
  <c r="D250" i="2"/>
  <c r="D361" i="2"/>
  <c r="D203" i="2"/>
  <c r="D322" i="2"/>
  <c r="D325" i="2"/>
  <c r="D343" i="2"/>
  <c r="D344" i="2"/>
  <c r="D345" i="2"/>
  <c r="D291" i="2"/>
  <c r="D309" i="2"/>
  <c r="D310" i="2"/>
  <c r="D311" i="2"/>
  <c r="D392" i="2"/>
  <c r="D395" i="2"/>
  <c r="D396" i="2"/>
  <c r="D397" i="2"/>
  <c r="D398" i="2"/>
  <c r="D8" i="7"/>
  <c r="D446" i="2"/>
  <c r="D418" i="2"/>
  <c r="D410" i="2"/>
  <c r="D8" i="17"/>
  <c r="D261" i="2"/>
  <c r="D289" i="2"/>
  <c r="D235" i="2"/>
  <c r="D238" i="2"/>
  <c r="D239" i="2"/>
  <c r="D240" i="2"/>
  <c r="D241" i="2"/>
  <c r="D253" i="2"/>
  <c r="D401" i="2"/>
  <c r="D292" i="2"/>
  <c r="D295" i="2"/>
  <c r="D296" i="2"/>
  <c r="D297" i="2"/>
  <c r="D323" i="2"/>
  <c r="D326" i="2"/>
  <c r="D329" i="2"/>
  <c r="D330" i="2"/>
  <c r="D331" i="2"/>
  <c r="D314" i="2"/>
  <c r="M7" i="20"/>
  <c r="D350" i="2"/>
  <c r="D348" i="2"/>
  <c r="D244" i="2"/>
  <c r="D336" i="2"/>
  <c r="D334" i="2"/>
  <c r="D300" i="2"/>
  <c r="D303" i="2"/>
  <c r="D353" i="2"/>
  <c r="D306" i="2"/>
  <c r="D339" i="2"/>
  <c r="D176" i="2"/>
  <c r="H176" i="2"/>
  <c r="F177" i="2"/>
  <c r="J177" i="2"/>
  <c r="F178" i="2"/>
  <c r="M178" i="2"/>
  <c r="D143" i="2"/>
  <c r="H143" i="2"/>
  <c r="H147" i="2"/>
  <c r="M147" i="2"/>
  <c r="F134" i="2"/>
  <c r="H134" i="2"/>
  <c r="H138" i="2"/>
  <c r="M138" i="2"/>
  <c r="F125" i="2"/>
  <c r="H125" i="2"/>
  <c r="H129" i="2"/>
  <c r="M129" i="2"/>
  <c r="F179" i="2"/>
  <c r="F180" i="2"/>
  <c r="F181" i="2"/>
  <c r="F188" i="2"/>
  <c r="J188" i="2"/>
  <c r="J193" i="2"/>
  <c r="F189" i="2"/>
  <c r="J189" i="2"/>
  <c r="J195" i="2"/>
  <c r="H180" i="2"/>
  <c r="H179" i="2"/>
  <c r="H181" i="2"/>
  <c r="H130" i="2"/>
  <c r="D164" i="2"/>
  <c r="M106" i="2"/>
  <c r="M88" i="2"/>
  <c r="J179" i="2"/>
  <c r="H191" i="2"/>
  <c r="J181" i="2"/>
  <c r="H195" i="2"/>
  <c r="J180" i="2"/>
  <c r="H193" i="2"/>
  <c r="H167" i="2"/>
  <c r="H168" i="2"/>
  <c r="H169" i="2"/>
  <c r="H164" i="2"/>
  <c r="F165" i="2"/>
  <c r="J165" i="2"/>
  <c r="F166" i="2"/>
  <c r="M166" i="2"/>
  <c r="F148" i="2"/>
  <c r="J148" i="2"/>
  <c r="H154" i="2"/>
  <c r="F150" i="2"/>
  <c r="J150" i="2"/>
  <c r="H158" i="2"/>
  <c r="F149" i="2"/>
  <c r="J149" i="2"/>
  <c r="H156" i="2"/>
  <c r="F132" i="2"/>
  <c r="J132" i="2"/>
  <c r="F157" i="2"/>
  <c r="F131" i="2"/>
  <c r="J131" i="2"/>
  <c r="F155" i="2"/>
  <c r="F130" i="2"/>
  <c r="J130" i="2"/>
  <c r="F153" i="2"/>
  <c r="M97" i="2"/>
  <c r="F167" i="2"/>
  <c r="J167" i="2"/>
  <c r="F191" i="2"/>
  <c r="L192" i="2"/>
  <c r="F169" i="2"/>
  <c r="J169" i="2"/>
  <c r="F195" i="2"/>
  <c r="L196" i="2"/>
  <c r="F168" i="2"/>
  <c r="J168" i="2"/>
  <c r="F193" i="2"/>
  <c r="L194" i="2"/>
  <c r="F140" i="2"/>
  <c r="J140" i="2"/>
  <c r="H155" i="2"/>
  <c r="J156" i="2"/>
  <c r="F141" i="2"/>
  <c r="J141" i="2"/>
  <c r="H157" i="2"/>
  <c r="F139" i="2"/>
  <c r="J139" i="2"/>
  <c r="H153" i="2"/>
  <c r="J158" i="2"/>
  <c r="J154" i="2"/>
  <c r="F423" i="2"/>
  <c r="F451" i="2"/>
  <c r="F266" i="2"/>
  <c r="F294" i="2"/>
  <c r="D422" i="2"/>
  <c r="D450" i="2"/>
  <c r="H452" i="2"/>
  <c r="F453" i="2"/>
  <c r="F454" i="2"/>
  <c r="F457" i="2"/>
  <c r="H405" i="2"/>
  <c r="F406" i="2"/>
  <c r="F407" i="2"/>
  <c r="H461" i="2"/>
  <c r="F462" i="2"/>
  <c r="F463" i="2"/>
  <c r="F466" i="2"/>
  <c r="H396" i="2"/>
  <c r="F397" i="2"/>
  <c r="F398" i="2"/>
  <c r="D365" i="2"/>
  <c r="D207" i="2"/>
  <c r="H343" i="2"/>
  <c r="F344" i="2"/>
  <c r="F345" i="2"/>
  <c r="H295" i="2"/>
  <c r="F296" i="2"/>
  <c r="F297" i="2"/>
  <c r="D265" i="2"/>
  <c r="H239" i="2"/>
  <c r="F240" i="2"/>
  <c r="F241" i="2"/>
  <c r="H248" i="2"/>
  <c r="F249" i="2"/>
  <c r="F250" i="2"/>
  <c r="H309" i="2"/>
  <c r="F310" i="2"/>
  <c r="F311" i="2"/>
  <c r="F314" i="2"/>
  <c r="D293" i="2"/>
  <c r="D327" i="2"/>
  <c r="H329" i="2"/>
  <c r="F330" i="2"/>
  <c r="F331" i="2"/>
  <c r="D451" i="2"/>
  <c r="L405" i="2"/>
  <c r="H406" i="2"/>
  <c r="H407" i="2"/>
  <c r="H410" i="2"/>
  <c r="D366" i="2"/>
  <c r="D423" i="2"/>
  <c r="L396" i="2"/>
  <c r="H397" i="2"/>
  <c r="H398" i="2"/>
  <c r="H401" i="2"/>
  <c r="L239" i="2"/>
  <c r="H240" i="2"/>
  <c r="H241" i="2"/>
  <c r="H244" i="2"/>
  <c r="D294" i="2"/>
  <c r="D328" i="2"/>
  <c r="L248" i="2"/>
  <c r="H249" i="2"/>
  <c r="H250" i="2"/>
  <c r="H253" i="2"/>
  <c r="D266" i="2"/>
  <c r="D208" i="2"/>
  <c r="H451" i="2"/>
  <c r="L452" i="2"/>
  <c r="H453" i="2"/>
  <c r="H454" i="2"/>
  <c r="F328" i="2"/>
  <c r="F334" i="2"/>
  <c r="F336" i="2"/>
  <c r="F339" i="2"/>
  <c r="D242" i="2"/>
  <c r="I4" i="20"/>
  <c r="F244" i="2"/>
  <c r="D245" i="2"/>
  <c r="J4" i="20"/>
  <c r="F401" i="2"/>
  <c r="D402" i="2"/>
  <c r="J12" i="20"/>
  <c r="D399" i="2"/>
  <c r="I12" i="20"/>
  <c r="F253" i="2"/>
  <c r="D251" i="2"/>
  <c r="K4" i="20"/>
  <c r="F348" i="2"/>
  <c r="D349" i="2"/>
  <c r="F350" i="2"/>
  <c r="D346" i="2"/>
  <c r="N351" i="2"/>
  <c r="F300" i="2"/>
  <c r="F303" i="2"/>
  <c r="F306" i="2"/>
  <c r="L461" i="2"/>
  <c r="H462" i="2"/>
  <c r="H463" i="2"/>
  <c r="H466" i="2"/>
  <c r="H294" i="2"/>
  <c r="L295" i="2"/>
  <c r="H296" i="2"/>
  <c r="H297" i="2"/>
  <c r="D254" i="2"/>
  <c r="L4" i="20"/>
  <c r="F410" i="2"/>
  <c r="D411" i="2"/>
  <c r="L12" i="20"/>
  <c r="D408" i="2"/>
  <c r="K12" i="20"/>
  <c r="H328" i="2"/>
  <c r="L329" i="2"/>
  <c r="H330" i="2"/>
  <c r="H331" i="2"/>
  <c r="H457" i="2"/>
  <c r="H336" i="2"/>
  <c r="H334" i="2"/>
  <c r="D335" i="2"/>
  <c r="D332" i="2"/>
  <c r="L309" i="2"/>
  <c r="H310" i="2"/>
  <c r="H311" i="2"/>
  <c r="D351" i="2"/>
  <c r="N346" i="2"/>
  <c r="F353" i="2"/>
  <c r="D354" i="2"/>
  <c r="J346" i="2"/>
  <c r="N7" i="20"/>
  <c r="J351" i="2"/>
  <c r="H339" i="2"/>
  <c r="D340" i="2"/>
  <c r="D337" i="2"/>
  <c r="N337" i="2"/>
  <c r="I7" i="20"/>
  <c r="H314" i="2"/>
  <c r="D315" i="2"/>
  <c r="N311" i="2"/>
  <c r="D312" i="2"/>
  <c r="J311" i="2"/>
  <c r="J337" i="2"/>
  <c r="J7" i="20"/>
  <c r="H303" i="2"/>
  <c r="H300" i="2"/>
  <c r="D301" i="2"/>
  <c r="D298" i="2"/>
  <c r="J332" i="2"/>
  <c r="L7" i="20"/>
  <c r="N304" i="2"/>
  <c r="I6" i="20"/>
  <c r="J6" i="20"/>
  <c r="J304" i="2"/>
  <c r="H306" i="2"/>
  <c r="D307" i="2"/>
  <c r="D304" i="2"/>
  <c r="N316" i="2"/>
  <c r="M6" i="20"/>
  <c r="J316" i="2"/>
  <c r="N6" i="20"/>
  <c r="K7" i="20"/>
  <c r="N332" i="2"/>
  <c r="J298" i="2"/>
  <c r="K6" i="20"/>
  <c r="N298" i="2"/>
  <c r="L6" i="20"/>
  <c r="B12" i="59"/>
  <c r="F12" i="59"/>
  <c r="C143" i="59"/>
  <c r="C35" i="59"/>
  <c r="E47" i="59"/>
  <c r="C98" i="59"/>
  <c r="C48" i="59"/>
  <c r="B56" i="59"/>
  <c r="C141" i="59"/>
  <c r="E143" i="59"/>
  <c r="B134" i="59"/>
  <c r="C47" i="59"/>
  <c r="G193" i="28"/>
  <c r="E192" i="28"/>
  <c r="E193" i="28"/>
  <c r="D135" i="28"/>
  <c r="I135" i="28"/>
  <c r="D276" i="28"/>
  <c r="H276" i="28"/>
  <c r="H57" i="28"/>
  <c r="C167" i="28"/>
  <c r="U165" i="28"/>
  <c r="C162" i="28"/>
  <c r="I28" i="28"/>
  <c r="C28" i="28"/>
  <c r="D32" i="28"/>
  <c r="C144" i="59"/>
  <c r="D162" i="28"/>
  <c r="C170" i="28"/>
  <c r="H161" i="28"/>
  <c r="C133" i="28"/>
  <c r="I46" i="28"/>
  <c r="B5" i="29"/>
  <c r="D291" i="28"/>
  <c r="D31" i="28"/>
  <c r="I31" i="28"/>
  <c r="I133" i="28"/>
  <c r="D47" i="28"/>
  <c r="E46" i="28"/>
  <c r="D205" i="28"/>
  <c r="G195" i="28"/>
  <c r="F195" i="28"/>
  <c r="I205" i="28"/>
  <c r="H192" i="28"/>
  <c r="D192" i="28"/>
  <c r="I30" i="28"/>
  <c r="I36" i="28"/>
  <c r="I37" i="28"/>
  <c r="F5" i="29"/>
  <c r="I170" i="28"/>
  <c r="I110" i="28"/>
  <c r="D195" i="28"/>
  <c r="E195" i="28"/>
  <c r="C202" i="28"/>
  <c r="F164" i="28"/>
  <c r="I171" i="28"/>
  <c r="E161" i="28"/>
  <c r="C201" i="28"/>
  <c r="I201" i="28"/>
  <c r="D152" i="28"/>
  <c r="A9" i="29"/>
  <c r="I152" i="28"/>
  <c r="I134" i="28"/>
  <c r="I139" i="28"/>
  <c r="I140" i="28"/>
  <c r="F9" i="29"/>
  <c r="D150" i="28"/>
  <c r="I150" i="28"/>
  <c r="A5" i="29"/>
  <c r="I47" i="28"/>
  <c r="C171" i="28"/>
  <c r="I202" i="28"/>
  <c r="I172" i="28"/>
  <c r="I177" i="28"/>
  <c r="I173" i="28"/>
  <c r="E187" i="28"/>
  <c r="D173" i="28"/>
  <c r="I188" i="28"/>
  <c r="D188" i="28"/>
  <c r="C249" i="28"/>
  <c r="D204" i="28"/>
  <c r="C273" i="28"/>
  <c r="H249" i="28"/>
  <c r="H273" i="28"/>
  <c r="C17" i="29"/>
  <c r="C225" i="28"/>
  <c r="H225" i="28"/>
  <c r="I204" i="28"/>
  <c r="I151" i="28"/>
  <c r="H9" i="29"/>
  <c r="B9" i="29"/>
  <c r="D9" i="29"/>
  <c r="I153" i="28"/>
  <c r="I9" i="29"/>
  <c r="I174" i="28"/>
  <c r="I178" i="28"/>
  <c r="F13" i="29"/>
  <c r="D174" i="28"/>
  <c r="H274" i="28"/>
  <c r="C250" i="28"/>
  <c r="D219" i="28"/>
  <c r="C274" i="28"/>
  <c r="H226" i="28"/>
  <c r="C226" i="28"/>
  <c r="I219" i="28"/>
  <c r="H250" i="28"/>
  <c r="I203" i="28"/>
  <c r="I208" i="28"/>
  <c r="I209" i="28"/>
  <c r="F14" i="29"/>
  <c r="I48" i="28"/>
  <c r="I5" i="29"/>
  <c r="D5" i="29"/>
  <c r="I218" i="28"/>
  <c r="D14" i="29"/>
  <c r="E218" i="28"/>
  <c r="C14" i="29"/>
  <c r="E14" i="29"/>
  <c r="I220" i="28"/>
  <c r="H14" i="29"/>
  <c r="E13" i="29"/>
  <c r="I189" i="28"/>
  <c r="H13" i="29"/>
  <c r="C13" i="29"/>
  <c r="H291" i="28"/>
  <c r="I187" i="28"/>
  <c r="D13" i="29"/>
  <c r="D228" i="28"/>
  <c r="H228" i="28"/>
  <c r="D268" i="28"/>
  <c r="H268" i="28"/>
  <c r="H251" i="28"/>
  <c r="H252" i="28"/>
  <c r="D252" i="28"/>
  <c r="H243" i="28"/>
  <c r="D243" i="28"/>
  <c r="H227" i="28"/>
  <c r="H232" i="28"/>
  <c r="H233" i="28"/>
  <c r="F15" i="29"/>
  <c r="H293" i="28"/>
  <c r="D293" i="28"/>
  <c r="H275" i="28"/>
  <c r="H280" i="28"/>
  <c r="H281" i="28"/>
  <c r="F17" i="29"/>
  <c r="C15" i="29"/>
  <c r="H2" i="30"/>
  <c r="E242" i="28"/>
  <c r="H242" i="28"/>
  <c r="D15" i="29"/>
  <c r="D17" i="29"/>
  <c r="H6" i="30"/>
  <c r="H292" i="28"/>
  <c r="G17" i="29"/>
  <c r="H257" i="28"/>
  <c r="H258" i="28"/>
  <c r="F16" i="29"/>
  <c r="E267" i="28"/>
  <c r="H267" i="28"/>
  <c r="D16" i="29"/>
  <c r="C16" i="29"/>
  <c r="H269" i="28"/>
  <c r="H16" i="29"/>
  <c r="E16" i="29"/>
  <c r="E15" i="29"/>
  <c r="G15" i="29"/>
  <c r="H244" i="28"/>
  <c r="H15" i="29"/>
  <c r="E17" i="29"/>
  <c r="H294" i="28"/>
  <c r="H17" i="29"/>
  <c r="K6" i="30"/>
  <c r="D72" i="2"/>
  <c r="F73" i="2"/>
  <c r="D71" i="2"/>
  <c r="H71" i="2"/>
  <c r="H4" i="30"/>
  <c r="D63" i="2"/>
  <c r="F63" i="2"/>
  <c r="K2" i="30"/>
  <c r="D14" i="36"/>
  <c r="C130" i="36"/>
  <c r="F130" i="36"/>
  <c r="D62" i="2"/>
  <c r="H62" i="2"/>
  <c r="D204" i="2"/>
  <c r="F208" i="2"/>
  <c r="H208" i="2"/>
  <c r="H266" i="2"/>
  <c r="J266" i="2"/>
  <c r="F366" i="2"/>
  <c r="H366" i="2"/>
  <c r="H423" i="2"/>
  <c r="J423" i="2"/>
  <c r="D67" i="2"/>
  <c r="F68" i="2"/>
  <c r="D66" i="2"/>
  <c r="H66" i="2"/>
  <c r="K4" i="30"/>
  <c r="F365" i="2"/>
  <c r="H365" i="2"/>
  <c r="F265" i="2"/>
  <c r="J265" i="2"/>
  <c r="F422" i="2"/>
  <c r="J422" i="2"/>
  <c r="F207" i="2"/>
  <c r="H207" i="2"/>
  <c r="D9" i="21"/>
  <c r="L267" i="2"/>
  <c r="H268" i="2"/>
  <c r="H269" i="2"/>
  <c r="H272" i="2"/>
  <c r="L276" i="2"/>
  <c r="H277" i="2"/>
  <c r="H278" i="2"/>
  <c r="H281" i="2"/>
  <c r="L424" i="2"/>
  <c r="H425" i="2"/>
  <c r="H426" i="2"/>
  <c r="H429" i="2"/>
  <c r="L433" i="2"/>
  <c r="H434" i="2"/>
  <c r="H435" i="2"/>
  <c r="H438" i="2"/>
  <c r="E15" i="7"/>
  <c r="L380" i="2"/>
  <c r="H381" i="2"/>
  <c r="H382" i="2"/>
  <c r="H385" i="2"/>
  <c r="L371" i="2"/>
  <c r="H372" i="2"/>
  <c r="H373" i="2"/>
  <c r="H376" i="2"/>
  <c r="L222" i="2"/>
  <c r="H223" i="2"/>
  <c r="H224" i="2"/>
  <c r="H227" i="2"/>
  <c r="E15" i="17"/>
  <c r="C61" i="17"/>
  <c r="G61" i="17"/>
  <c r="C63" i="17"/>
  <c r="D64" i="17"/>
  <c r="L213" i="2"/>
  <c r="H214" i="2"/>
  <c r="H215" i="2"/>
  <c r="H218" i="2"/>
  <c r="D9" i="17"/>
  <c r="D205" i="2"/>
  <c r="D206" i="2"/>
  <c r="D262" i="2"/>
  <c r="F27" i="17"/>
  <c r="H27" i="17"/>
  <c r="D55" i="17"/>
  <c r="D57" i="17"/>
  <c r="D8" i="21"/>
  <c r="H276" i="2"/>
  <c r="F277" i="2"/>
  <c r="F278" i="2"/>
  <c r="F281" i="2"/>
  <c r="H267" i="2"/>
  <c r="F268" i="2"/>
  <c r="F269" i="2"/>
  <c r="F272" i="2"/>
  <c r="F27" i="7"/>
  <c r="H27" i="7"/>
  <c r="D55" i="7"/>
  <c r="C61" i="7"/>
  <c r="G61" i="7"/>
  <c r="C63" i="7"/>
  <c r="E13" i="17"/>
  <c r="F26" i="17"/>
  <c r="H26" i="17"/>
  <c r="D36" i="17"/>
  <c r="D37" i="17"/>
  <c r="H213" i="2"/>
  <c r="F214" i="2"/>
  <c r="F215" i="2"/>
  <c r="F218" i="2"/>
  <c r="H222" i="2"/>
  <c r="F223" i="2"/>
  <c r="F224" i="2"/>
  <c r="F227" i="2"/>
  <c r="D419" i="2"/>
  <c r="D362" i="2"/>
  <c r="D447" i="2"/>
  <c r="E13" i="7"/>
  <c r="F26" i="7"/>
  <c r="H26" i="7"/>
  <c r="D36" i="7"/>
  <c r="D37" i="7"/>
  <c r="H433" i="2"/>
  <c r="F434" i="2"/>
  <c r="F435" i="2"/>
  <c r="F438" i="2"/>
  <c r="H424" i="2"/>
  <c r="F425" i="2"/>
  <c r="F426" i="2"/>
  <c r="F429" i="2"/>
  <c r="D264" i="2"/>
  <c r="D267" i="2"/>
  <c r="D268" i="2"/>
  <c r="D269" i="2"/>
  <c r="D213" i="2"/>
  <c r="D214" i="2"/>
  <c r="D215" i="2"/>
  <c r="D11" i="17"/>
  <c r="D42" i="17"/>
  <c r="D43" i="17"/>
  <c r="E44" i="17"/>
  <c r="D45" i="17"/>
  <c r="D222" i="2"/>
  <c r="D223" i="2"/>
  <c r="D224" i="2"/>
  <c r="D263" i="2"/>
  <c r="D10" i="17"/>
  <c r="F25" i="17"/>
  <c r="H25" i="17"/>
  <c r="D33" i="17"/>
  <c r="D34" i="17"/>
  <c r="H371" i="2"/>
  <c r="F372" i="2"/>
  <c r="F373" i="2"/>
  <c r="F376" i="2"/>
  <c r="H380" i="2"/>
  <c r="F381" i="2"/>
  <c r="F382" i="2"/>
  <c r="F385" i="2"/>
  <c r="D276" i="2"/>
  <c r="D277" i="2"/>
  <c r="D278" i="2"/>
  <c r="D7" i="21"/>
  <c r="D449" i="2"/>
  <c r="D452" i="2"/>
  <c r="D453" i="2"/>
  <c r="D454" i="2"/>
  <c r="D448" i="2"/>
  <c r="D461" i="2"/>
  <c r="D462" i="2"/>
  <c r="D463" i="2"/>
  <c r="D270" i="2"/>
  <c r="I5" i="20"/>
  <c r="D272" i="2"/>
  <c r="D273" i="2"/>
  <c r="J5" i="20"/>
  <c r="D421" i="2"/>
  <c r="D424" i="2"/>
  <c r="D425" i="2"/>
  <c r="D426" i="2"/>
  <c r="D420" i="2"/>
  <c r="D433" i="2"/>
  <c r="D434" i="2"/>
  <c r="D435" i="2"/>
  <c r="D227" i="2"/>
  <c r="D228" i="2"/>
  <c r="L3" i="20"/>
  <c r="D225" i="2"/>
  <c r="K3" i="20"/>
  <c r="D363" i="2"/>
  <c r="D364" i="2"/>
  <c r="D9" i="7"/>
  <c r="D218" i="2"/>
  <c r="D219" i="2"/>
  <c r="J3" i="20"/>
  <c r="D216" i="2"/>
  <c r="I3" i="20"/>
  <c r="D10" i="7"/>
  <c r="F25" i="7"/>
  <c r="H25" i="7"/>
  <c r="D33" i="7"/>
  <c r="D380" i="2"/>
  <c r="D381" i="2"/>
  <c r="D382" i="2"/>
  <c r="D438" i="2"/>
  <c r="D439" i="2"/>
  <c r="L13" i="20"/>
  <c r="D436" i="2"/>
  <c r="K13" i="20"/>
  <c r="D466" i="2"/>
  <c r="D467" i="2"/>
  <c r="L14" i="20"/>
  <c r="D464" i="2"/>
  <c r="K14" i="20"/>
  <c r="D371" i="2"/>
  <c r="D372" i="2"/>
  <c r="D373" i="2"/>
  <c r="D11" i="7"/>
  <c r="D42" i="7"/>
  <c r="D43" i="7"/>
  <c r="E44" i="7"/>
  <c r="D45" i="7"/>
  <c r="D429" i="2"/>
  <c r="D430" i="2"/>
  <c r="J13" i="20"/>
  <c r="D427" i="2"/>
  <c r="I13" i="20"/>
  <c r="D455" i="2"/>
  <c r="I14" i="20"/>
  <c r="D457" i="2"/>
  <c r="D458" i="2"/>
  <c r="J14" i="20"/>
  <c r="D279" i="2"/>
  <c r="D281" i="2"/>
  <c r="D282" i="2"/>
  <c r="L5" i="20"/>
  <c r="D376" i="2"/>
  <c r="D377" i="2"/>
  <c r="J11" i="20"/>
  <c r="D374" i="2"/>
  <c r="I11" i="20"/>
  <c r="D385" i="2"/>
  <c r="D386" i="2"/>
  <c r="L11" i="20"/>
  <c r="D383" i="2"/>
  <c r="K11" i="20"/>
  <c r="K5" i="20"/>
  <c r="E17" i="21"/>
  <c r="E18" i="21"/>
  <c r="E19" i="21"/>
  <c r="D11" i="21"/>
  <c r="D13" i="21"/>
  <c r="E48" i="7"/>
  <c r="D49" i="7"/>
  <c r="D50" i="7"/>
  <c r="F51" i="7"/>
  <c r="C65" i="7"/>
  <c r="D34" i="7"/>
  <c r="G34" i="36"/>
  <c r="C35" i="36"/>
  <c r="G35" i="36"/>
  <c r="G36" i="36"/>
  <c r="D107" i="36"/>
  <c r="D64" i="7"/>
  <c r="D57" i="7"/>
  <c r="D10" i="21"/>
  <c r="D12" i="21"/>
  <c r="F16" i="20"/>
  <c r="F9" i="20"/>
  <c r="M69" i="2"/>
  <c r="D9" i="20"/>
  <c r="M68" i="2"/>
  <c r="L11" i="24"/>
  <c r="D12" i="24"/>
  <c r="E55" i="21"/>
  <c r="G26" i="22"/>
  <c r="D52" i="7"/>
  <c r="E94" i="7"/>
  <c r="D86" i="7"/>
  <c r="D87" i="7"/>
  <c r="B21" i="22"/>
  <c r="G16" i="21"/>
  <c r="A2" i="40"/>
  <c r="A2" i="37"/>
  <c r="A2" i="39"/>
  <c r="B121" i="36"/>
  <c r="B127" i="36"/>
  <c r="C70" i="36"/>
  <c r="B21" i="35"/>
  <c r="C55" i="36"/>
  <c r="C126" i="36"/>
  <c r="F126" i="36"/>
  <c r="C122" i="36"/>
  <c r="F122" i="36"/>
  <c r="B123" i="36"/>
  <c r="C120" i="36"/>
  <c r="F120" i="36"/>
  <c r="C13" i="17"/>
  <c r="C15" i="17"/>
  <c r="D16" i="20"/>
  <c r="D18" i="22"/>
  <c r="C4" i="22"/>
  <c r="E20" i="21"/>
  <c r="H9" i="24"/>
  <c r="D10" i="24"/>
  <c r="H10" i="24"/>
  <c r="D15" i="24"/>
  <c r="H21" i="34"/>
  <c r="C22" i="34"/>
  <c r="G22" i="34"/>
  <c r="E24" i="34"/>
  <c r="E32" i="34"/>
  <c r="E37" i="34"/>
  <c r="E63" i="36"/>
  <c r="F57" i="36"/>
  <c r="C58" i="36"/>
  <c r="D108" i="36"/>
  <c r="E64" i="36"/>
  <c r="E59" i="36"/>
  <c r="G59" i="36"/>
  <c r="E108" i="36"/>
  <c r="C66" i="36"/>
  <c r="E109" i="36"/>
  <c r="K23" i="35"/>
  <c r="C124" i="36"/>
  <c r="B125" i="36"/>
  <c r="E133" i="36"/>
  <c r="G133" i="36"/>
  <c r="E107" i="36"/>
  <c r="G107" i="36"/>
  <c r="E23" i="21"/>
  <c r="E21" i="21"/>
  <c r="E24" i="21"/>
  <c r="D26" i="24"/>
  <c r="H26" i="24"/>
  <c r="J29" i="24"/>
  <c r="M29" i="24"/>
  <c r="F36" i="24"/>
  <c r="H36" i="24"/>
  <c r="L13" i="24"/>
  <c r="L12" i="24"/>
  <c r="L14" i="24"/>
  <c r="F15" i="24"/>
  <c r="H15" i="24"/>
  <c r="E101" i="34"/>
  <c r="E82" i="34"/>
  <c r="E83" i="34"/>
  <c r="E100" i="34"/>
  <c r="E90" i="34"/>
  <c r="E38" i="34"/>
  <c r="E40" i="34"/>
  <c r="E70" i="36"/>
  <c r="F124" i="36"/>
  <c r="G108" i="36"/>
  <c r="E25" i="22"/>
  <c r="E22" i="21"/>
  <c r="E25" i="21"/>
  <c r="B115" i="36"/>
  <c r="C114" i="36"/>
  <c r="E65" i="36"/>
  <c r="D109" i="36"/>
  <c r="G109" i="36"/>
  <c r="G128" i="36"/>
  <c r="G134" i="36"/>
  <c r="F114" i="36"/>
  <c r="F128" i="36"/>
  <c r="C128" i="36"/>
  <c r="C134" i="36"/>
  <c r="E33" i="21"/>
  <c r="E38" i="21"/>
  <c r="D134" i="36"/>
  <c r="C142" i="36"/>
  <c r="E144" i="36"/>
  <c r="C89" i="36"/>
  <c r="E91" i="36"/>
  <c r="E143" i="36"/>
  <c r="G143" i="36"/>
  <c r="C144" i="36"/>
  <c r="G144" i="36"/>
  <c r="D8" i="37"/>
  <c r="D12" i="37"/>
  <c r="D14" i="37"/>
  <c r="C97" i="36"/>
  <c r="D98" i="36"/>
  <c r="E53" i="21"/>
  <c r="E54" i="21"/>
  <c r="E56" i="21"/>
  <c r="E57" i="21"/>
  <c r="E58" i="21"/>
  <c r="E60" i="21"/>
  <c r="E39" i="21"/>
  <c r="C90" i="36"/>
  <c r="C91" i="36"/>
  <c r="F134" i="36"/>
  <c r="C94" i="36"/>
  <c r="E94" i="36"/>
  <c r="C77" i="36"/>
  <c r="E79" i="36"/>
  <c r="E136" i="36"/>
  <c r="G91" i="36"/>
  <c r="E82" i="36"/>
  <c r="E85" i="36"/>
  <c r="G85" i="36"/>
  <c r="F100" i="36"/>
  <c r="C82" i="36"/>
  <c r="C136" i="36"/>
  <c r="G136" i="36"/>
  <c r="D9" i="37"/>
  <c r="D11" i="37"/>
  <c r="D13" i="37"/>
  <c r="C78" i="36"/>
  <c r="C79" i="36"/>
  <c r="G79" i="36"/>
  <c r="E61" i="21"/>
  <c r="E41" i="21"/>
  <c r="E68" i="21"/>
  <c r="C138" i="36"/>
  <c r="E18" i="37"/>
  <c r="E19" i="37"/>
  <c r="E20" i="37"/>
  <c r="C100" i="36"/>
  <c r="C101" i="36"/>
  <c r="F101" i="36"/>
  <c r="C139" i="36"/>
  <c r="E22" i="37"/>
  <c r="E25" i="37"/>
  <c r="E55" i="37"/>
  <c r="G26" i="38"/>
  <c r="E23" i="37"/>
  <c r="E26" i="37"/>
  <c r="E34" i="37"/>
  <c r="E39" i="37"/>
  <c r="E40" i="37"/>
  <c r="E42" i="37"/>
  <c r="E61" i="37"/>
  <c r="E44" i="37"/>
  <c r="E47" i="37"/>
  <c r="E48" i="37"/>
  <c r="E53" i="37"/>
  <c r="E54" i="37"/>
  <c r="E56" i="37"/>
  <c r="E57" i="37"/>
  <c r="E58" i="37"/>
  <c r="E25" i="38"/>
  <c r="E60" i="37"/>
  <c r="E68" i="37"/>
  <c r="B101" i="2"/>
  <c r="B83" i="2"/>
  <c r="B92" i="2"/>
  <c r="B133" i="2" l="1"/>
  <c r="B124" i="2"/>
  <c r="B142" i="2"/>
</calcChain>
</file>

<file path=xl/sharedStrings.xml><?xml version="1.0" encoding="utf-8"?>
<sst xmlns="http://schemas.openxmlformats.org/spreadsheetml/2006/main" count="6777" uniqueCount="1532">
  <si>
    <t>m</t>
  </si>
  <si>
    <t>mm</t>
  </si>
  <si>
    <t>=</t>
  </si>
  <si>
    <t>x</t>
  </si>
  <si>
    <t>Total</t>
  </si>
  <si>
    <t>kN-m</t>
  </si>
  <si>
    <t>B</t>
  </si>
  <si>
    <t>+</t>
  </si>
  <si>
    <t>/</t>
  </si>
  <si>
    <r>
      <t>mm</t>
    </r>
    <r>
      <rPr>
        <vertAlign val="superscript"/>
        <sz val="10"/>
        <rFont val="Arial"/>
        <family val="2"/>
      </rPr>
      <t>2</t>
    </r>
  </si>
  <si>
    <t>kN</t>
  </si>
  <si>
    <t>ABSTRACT</t>
  </si>
  <si>
    <t>MM</t>
  </si>
  <si>
    <t>D</t>
  </si>
  <si>
    <t>k</t>
  </si>
  <si>
    <t>)</t>
  </si>
  <si>
    <t>-</t>
  </si>
  <si>
    <t>= (</t>
  </si>
  <si>
    <t>R</t>
  </si>
  <si>
    <t>) /</t>
  </si>
  <si>
    <t>DESIGN DATA</t>
  </si>
  <si>
    <t>SPAN C/C OF PIERS</t>
  </si>
  <si>
    <t>OVERALL WIDTH OF PIER CAP</t>
  </si>
  <si>
    <t>H.F.L.</t>
  </si>
  <si>
    <t>BUOYANCY</t>
  </si>
  <si>
    <t>AT FOOTING LEVEL</t>
  </si>
  <si>
    <t>AT PIER LEVEL</t>
  </si>
  <si>
    <t>%</t>
  </si>
  <si>
    <t>DESIGN VELOCITY</t>
  </si>
  <si>
    <t>M</t>
  </si>
  <si>
    <t>FLOOD DISCHARGE</t>
  </si>
  <si>
    <t>RIVER BED SLOPE</t>
  </si>
  <si>
    <t>IN</t>
  </si>
  <si>
    <t>CUMECS</t>
  </si>
  <si>
    <t>CHAINAGE</t>
  </si>
  <si>
    <t>G.L.</t>
  </si>
  <si>
    <t>DEPTH OF FLOW IN  M</t>
  </si>
  <si>
    <t>LENGTH OF FLOW</t>
  </si>
  <si>
    <t>AVERAGE DEPTH OF FLOW</t>
  </si>
  <si>
    <t>CROSS SECTIONAL AREA OF FLOW</t>
  </si>
  <si>
    <t>WETTED PERIMETER</t>
  </si>
  <si>
    <t>TOTAL</t>
  </si>
  <si>
    <t>A</t>
  </si>
  <si>
    <t>SQM</t>
  </si>
  <si>
    <t>P</t>
  </si>
  <si>
    <t>N</t>
  </si>
  <si>
    <t>S       1 IN</t>
  </si>
  <si>
    <t>V</t>
  </si>
  <si>
    <t>M/SEC</t>
  </si>
  <si>
    <t>Q</t>
  </si>
  <si>
    <t>m/sec</t>
  </si>
  <si>
    <t>EMBEDMENT OF PIER IN HARD ROCK</t>
  </si>
  <si>
    <t>TOP LEVEL OF THE PIER CAP</t>
  </si>
  <si>
    <t>LEVEL DIFFERENCE OF PIER CAP TOP AND FOUNDING LEVEL</t>
  </si>
  <si>
    <t>DEAD LOAD CALCULATION</t>
  </si>
  <si>
    <t>SUPER STRUCTURE</t>
  </si>
  <si>
    <t>SUB STRUCTURE</t>
  </si>
  <si>
    <t>Pier Cap</t>
  </si>
  <si>
    <t>Pier Curved portion</t>
  </si>
  <si>
    <t>Footing</t>
  </si>
  <si>
    <t>Pier Rectangular portion</t>
  </si>
  <si>
    <t>SIZE</t>
  </si>
  <si>
    <t>M x</t>
  </si>
  <si>
    <t>LIVE LOAD CALCULATION</t>
  </si>
  <si>
    <t>C</t>
  </si>
  <si>
    <t>LOADS DUE TO WATER CURRENT</t>
  </si>
  <si>
    <t>As per IRC- II ( 6-1966) clause 213.5</t>
  </si>
  <si>
    <t>For V=</t>
  </si>
  <si>
    <r>
      <t>2v</t>
    </r>
    <r>
      <rPr>
        <vertAlign val="superscript"/>
        <sz val="10"/>
        <rFont val="Arial"/>
        <family val="2"/>
      </rPr>
      <t>2</t>
    </r>
  </si>
  <si>
    <t>Total Height</t>
  </si>
  <si>
    <r>
      <t>v</t>
    </r>
    <r>
      <rPr>
        <vertAlign val="superscript"/>
        <sz val="10"/>
        <rFont val="Arial"/>
        <family val="2"/>
      </rPr>
      <t>2</t>
    </r>
  </si>
  <si>
    <t>Area Obstructed</t>
  </si>
  <si>
    <t>Sqm</t>
  </si>
  <si>
    <t>/ 100</t>
  </si>
  <si>
    <t>Moment @ R. L.</t>
  </si>
  <si>
    <t>M =</t>
  </si>
  <si>
    <t>at R.L.</t>
  </si>
  <si>
    <t>) /2  =</t>
  </si>
  <si>
    <t>Force on Pier</t>
  </si>
  <si>
    <t>AQUEDUCT FALLS UNDER ZONE-II SO SEISMIC CASE IS NOT GOVERNING HERE.</t>
  </si>
  <si>
    <t>FOUNDATION LEVEL OF THE HIGHEST PIER</t>
  </si>
  <si>
    <t>Flared Portion Sides</t>
  </si>
  <si>
    <t>Flared Portion u/s &amp; d/s Sides</t>
  </si>
  <si>
    <t>Flared Portion U/S &amp; D/S Sides</t>
  </si>
  <si>
    <t>Flared Portion Top</t>
  </si>
  <si>
    <t>Flared Portion bottom</t>
  </si>
  <si>
    <t>Weight without Buoyancy</t>
  </si>
  <si>
    <t>Total Weight of Substructure Without Buoyancy</t>
  </si>
  <si>
    <t>Total Weight of Substructure With Buoyancy</t>
  </si>
  <si>
    <t>SEISMIC CONDITION</t>
  </si>
  <si>
    <t>According to clause 222.1 of IRC : 6- 1966 the Aqueduct is situated in the standard Zone- II ; therefore the aqueduct need not to be designed for Seismic Forces.</t>
  </si>
  <si>
    <t>VERTICAL LOADS</t>
  </si>
  <si>
    <t xml:space="preserve">LIVE LOAD </t>
  </si>
  <si>
    <t>Without Buoyancy</t>
  </si>
  <si>
    <t>With Buoyancy</t>
  </si>
  <si>
    <t xml:space="preserve">BASE PRESSURE CALCULATION </t>
  </si>
  <si>
    <t>C.S.A.</t>
  </si>
  <si>
    <r>
      <t>I</t>
    </r>
    <r>
      <rPr>
        <vertAlign val="subscript"/>
        <sz val="10"/>
        <rFont val="Arial"/>
        <family val="2"/>
      </rPr>
      <t>xx</t>
    </r>
  </si>
  <si>
    <r>
      <t>I</t>
    </r>
    <r>
      <rPr>
        <vertAlign val="subscript"/>
        <sz val="10"/>
        <rFont val="Arial"/>
        <family val="2"/>
      </rPr>
      <t>yy</t>
    </r>
  </si>
  <si>
    <t>1/6x</t>
  </si>
  <si>
    <t xml:space="preserve">2  </t>
  </si>
  <si>
    <r>
      <t>m</t>
    </r>
    <r>
      <rPr>
        <vertAlign val="superscript"/>
        <sz val="10"/>
        <rFont val="Arial"/>
        <family val="2"/>
      </rPr>
      <t>3</t>
    </r>
  </si>
  <si>
    <r>
      <t>m</t>
    </r>
    <r>
      <rPr>
        <vertAlign val="superscript"/>
        <sz val="10"/>
        <rFont val="Arial"/>
        <family val="2"/>
      </rPr>
      <t>2</t>
    </r>
  </si>
  <si>
    <t>Total Load without Buoyancy</t>
  </si>
  <si>
    <t>Total Load with Buoyancy</t>
  </si>
  <si>
    <t>+ / -</t>
  </si>
  <si>
    <t>)+ / - (</t>
  </si>
  <si>
    <t>TOTAL TRANSVERSE MOMENT DUE TO WATER CURRENT</t>
  </si>
  <si>
    <r>
      <t>kN/m</t>
    </r>
    <r>
      <rPr>
        <b/>
        <vertAlign val="superscript"/>
        <sz val="10"/>
        <rFont val="Arial"/>
        <family val="2"/>
      </rPr>
      <t>2</t>
    </r>
  </si>
  <si>
    <r>
      <t>P</t>
    </r>
    <r>
      <rPr>
        <vertAlign val="subscript"/>
        <sz val="10"/>
        <rFont val="Arial"/>
        <family val="2"/>
      </rPr>
      <t>max</t>
    </r>
  </si>
  <si>
    <r>
      <t>P</t>
    </r>
    <r>
      <rPr>
        <vertAlign val="subscript"/>
        <sz val="10"/>
        <rFont val="Arial"/>
        <family val="2"/>
      </rPr>
      <t>min</t>
    </r>
  </si>
  <si>
    <t>&gt; 0 Hence O.K.</t>
  </si>
  <si>
    <t>STRESS with Buoyancy</t>
  </si>
  <si>
    <t>STRESS without Buoyancy</t>
  </si>
  <si>
    <t>Weight of Pier Below H.F.L.</t>
  </si>
  <si>
    <t>Weight of Pier Above H.F.L.</t>
  </si>
  <si>
    <t xml:space="preserve">Pier </t>
  </si>
  <si>
    <t>+ (</t>
  </si>
  <si>
    <t>Weight of Sub Structure with 15% Buoyancy</t>
  </si>
  <si>
    <t>E</t>
  </si>
  <si>
    <t>WIND FORCE</t>
  </si>
  <si>
    <t>Area</t>
  </si>
  <si>
    <t xml:space="preserve">According to Clause 212.3 IRC -6 -1966 </t>
  </si>
  <si>
    <t>Wind pressure =</t>
  </si>
  <si>
    <t>Kg/Sqm</t>
  </si>
  <si>
    <t>kN/Sqm</t>
  </si>
  <si>
    <t>Wind Force</t>
  </si>
  <si>
    <t>Area A1</t>
  </si>
  <si>
    <t>Area A2</t>
  </si>
  <si>
    <t>Y</t>
  </si>
  <si>
    <t xml:space="preserve"> )+ (</t>
  </si>
  <si>
    <t>Pier from R.L.</t>
  </si>
  <si>
    <t>to</t>
  </si>
  <si>
    <t xml:space="preserve">Area </t>
  </si>
  <si>
    <t>(I)</t>
  </si>
  <si>
    <t>TOTAL TRANSVERSE MOMENT DUE TO WIND FORCE</t>
  </si>
  <si>
    <t>Total LONGITUDINAL MOMENT</t>
  </si>
  <si>
    <t>Total TRANSVERSE MOMENT</t>
  </si>
  <si>
    <t>Total SUBMERGED Height</t>
  </si>
  <si>
    <t>Maximum velocity being 1.414 x mean velocity</t>
  </si>
  <si>
    <t>(1.414= Root of 2)</t>
  </si>
  <si>
    <t>2v2</t>
  </si>
  <si>
    <r>
      <t>&lt; 8000 kN/m</t>
    </r>
    <r>
      <rPr>
        <b/>
        <vertAlign val="superscript"/>
        <sz val="10"/>
        <rFont val="Arial"/>
        <family val="2"/>
      </rPr>
      <t>2</t>
    </r>
    <r>
      <rPr>
        <b/>
        <sz val="10"/>
        <rFont val="Arial"/>
        <family val="2"/>
      </rPr>
      <t xml:space="preserve"> (that is  8 N/mm</t>
    </r>
    <r>
      <rPr>
        <b/>
        <vertAlign val="superscript"/>
        <sz val="10"/>
        <rFont val="Arial"/>
        <family val="2"/>
      </rPr>
      <t>2</t>
    </r>
    <r>
      <rPr>
        <b/>
        <sz val="10"/>
        <rFont val="Arial"/>
        <family val="2"/>
      </rPr>
      <t xml:space="preserve"> ) Hence O.K.</t>
    </r>
  </si>
  <si>
    <r>
      <t>P</t>
    </r>
    <r>
      <rPr>
        <vertAlign val="subscript"/>
        <sz val="10"/>
        <rFont val="Arial"/>
        <family val="2"/>
      </rPr>
      <t>3</t>
    </r>
  </si>
  <si>
    <r>
      <t>P</t>
    </r>
    <r>
      <rPr>
        <vertAlign val="subscript"/>
        <sz val="10"/>
        <rFont val="Arial"/>
        <family val="2"/>
      </rPr>
      <t>4</t>
    </r>
  </si>
  <si>
    <t>Stress Diagram</t>
  </si>
  <si>
    <t>height of C.G. above Bed level</t>
  </si>
  <si>
    <t>R.L.</t>
  </si>
  <si>
    <t>M TO</t>
  </si>
  <si>
    <t>FOR SERVICE CONDITION</t>
  </si>
  <si>
    <t xml:space="preserve"> mm x</t>
  </si>
  <si>
    <t>Assume cover as</t>
  </si>
  <si>
    <r>
      <t>d</t>
    </r>
    <r>
      <rPr>
        <vertAlign val="superscript"/>
        <sz val="10"/>
        <rFont val="Arial"/>
        <family val="2"/>
      </rPr>
      <t>1</t>
    </r>
    <r>
      <rPr>
        <sz val="10"/>
        <rFont val="Arial"/>
      </rPr>
      <t>/d</t>
    </r>
  </si>
  <si>
    <t>/ (</t>
  </si>
  <si>
    <t xml:space="preserve">x </t>
  </si>
  <si>
    <t>FOR LONGITUDINAL MOMENT</t>
  </si>
  <si>
    <r>
      <t>2</t>
    </r>
    <r>
      <rPr>
        <sz val="10"/>
        <rFont val="Arial"/>
      </rPr>
      <t xml:space="preserve"> )</t>
    </r>
  </si>
  <si>
    <t>CRITERIA 1 FOR MINIMUM STEEL Pt = 0.8 % OF CROSS SECTION AREA OF COLUMN REQUIRED FOR COMPRESSION</t>
  </si>
  <si>
    <t>Area Required due to Compression =</t>
  </si>
  <si>
    <t>Area of steel @ 0.8% =</t>
  </si>
  <si>
    <r>
      <t>mm</t>
    </r>
    <r>
      <rPr>
        <b/>
        <vertAlign val="superscript"/>
        <sz val="10"/>
        <rFont val="Arial"/>
        <family val="2"/>
      </rPr>
      <t>2</t>
    </r>
  </si>
  <si>
    <t xml:space="preserve">CRITERIA 2 FOR MINIMUM STEEL Pt = 0.3 % OF GROSS SECTION AREA OF COLUMN </t>
  </si>
  <si>
    <t>Area of steel @ 0.3% =</t>
  </si>
  <si>
    <t>PROVIDE STEEL AREA</t>
  </si>
  <si>
    <t xml:space="preserve">NO. OF </t>
  </si>
  <si>
    <t>MM BARS</t>
  </si>
  <si>
    <t>SPACING</t>
  </si>
  <si>
    <t>FOR TRANSVERSE MOMENT</t>
  </si>
  <si>
    <t>The point lies below the range of applicability. Hence provide minimum percentage of steel</t>
  </si>
  <si>
    <t>INCREASE WHEN WIND CONDITION IS CONSIDERED</t>
  </si>
  <si>
    <t>Neglecting area of Cut and Ease water parts Rectangular Section considered is</t>
  </si>
  <si>
    <t>Nos.</t>
  </si>
  <si>
    <t>TRANSVERSE REINFORCEMENT</t>
  </si>
  <si>
    <t>According to IRC 21-1987 Clause 306.3</t>
  </si>
  <si>
    <t>Dia of Transverse Reinforcement</t>
  </si>
  <si>
    <t>Provide</t>
  </si>
  <si>
    <t>mm dia rings</t>
  </si>
  <si>
    <t>Pitch of the Transverse should be least of</t>
  </si>
  <si>
    <t>a) Least lateral Dimension =</t>
  </si>
  <si>
    <t>b) 12 d =</t>
  </si>
  <si>
    <t>c) 300 mm =</t>
  </si>
  <si>
    <t>mm c/c.</t>
  </si>
  <si>
    <t>LONGITUDINAL REINFORCEMENT</t>
  </si>
  <si>
    <t>mm dia rings @</t>
  </si>
  <si>
    <t>DECK LEVEL OF THE BRIDGE</t>
  </si>
  <si>
    <t>Self Weight of  Slab</t>
  </si>
  <si>
    <t>Self Weight of Wearing Coat</t>
  </si>
  <si>
    <t>Weight with 100% Buoyancy</t>
  </si>
  <si>
    <t>Slab</t>
  </si>
  <si>
    <t>HIGHEST FLOOD LEVEL</t>
  </si>
  <si>
    <t>DISTANCE</t>
  </si>
  <si>
    <t>FALL</t>
  </si>
  <si>
    <t>SLOPE</t>
  </si>
  <si>
    <t>RL</t>
  </si>
  <si>
    <t>Chainage in M (u/s or d/s)</t>
  </si>
  <si>
    <t>RL in M</t>
  </si>
  <si>
    <t>Reference Poits</t>
  </si>
  <si>
    <t>Ch</t>
  </si>
  <si>
    <t>DETERMINATION  OF BED SLOPE OF THE RIVER</t>
  </si>
  <si>
    <t>Footpath</t>
  </si>
  <si>
    <t xml:space="preserve">Refer Live load Computation sheet showing maximum reaction </t>
  </si>
  <si>
    <t>T which is =</t>
  </si>
  <si>
    <t>TOTAL LONGITUDINAL MOMENT DUE TO LIVE LOAD &amp; BREAKING FORCE</t>
  </si>
  <si>
    <t>TOTAL TRANSVERSE MOMENT DUE TO LIVE LOAD &amp; BREAKING FORCE</t>
  </si>
  <si>
    <t xml:space="preserve">Refer Live load Computation sheet showing maximum reaction  </t>
  </si>
  <si>
    <t xml:space="preserve">T- m </t>
  </si>
  <si>
    <t>which is =</t>
  </si>
  <si>
    <t xml:space="preserve">TOTAL LONGITUDINAL MOMENT DUE TO WATER CURRENT </t>
  </si>
  <si>
    <t>Shear Force to be resisted by the pier In Accordance to IS 1893</t>
  </si>
  <si>
    <t xml:space="preserve">Check for Shear </t>
  </si>
  <si>
    <t>Nominal Shear Stress =</t>
  </si>
  <si>
    <r>
      <t>N/mm</t>
    </r>
    <r>
      <rPr>
        <vertAlign val="superscript"/>
        <sz val="10"/>
        <rFont val="Arial"/>
        <family val="2"/>
      </rPr>
      <t>2</t>
    </r>
  </si>
  <si>
    <t>Pt</t>
  </si>
  <si>
    <t>Permissible Shear Stress =</t>
  </si>
  <si>
    <t>Refer table 61</t>
  </si>
  <si>
    <t>Nominal Shear Reinforcement will suffice</t>
  </si>
  <si>
    <t>d) As per IS IS 13920:1993 Cl. 7.4.6</t>
  </si>
  <si>
    <t>&lt; or =</t>
  </si>
  <si>
    <t>This spacing is in accordance to IS 13920:1993 Cl. 7.4.6</t>
  </si>
  <si>
    <t>CODE OF PRACTICE FORDUCTILE DETAILING OF REINFORCED CONCRETE STRUCTURES SUBJECTED TO SEISMIC FORCES</t>
  </si>
  <si>
    <t>Check for Size of Hoop Reinforcement</t>
  </si>
  <si>
    <t>Refer IS 13920:1993 Cl. 7.4.8</t>
  </si>
  <si>
    <t>Ash= 0.18 Sh (Fck/Fy)x(Ag/Ak-1)</t>
  </si>
  <si>
    <t>S</t>
  </si>
  <si>
    <t>h</t>
  </si>
  <si>
    <t>(Spacing of long. bars+ effective cover) or 300 mm whichever is less</t>
  </si>
  <si>
    <t>Fck</t>
  </si>
  <si>
    <t>Cover 75 mm to main reinforcement</t>
  </si>
  <si>
    <t>Fy</t>
  </si>
  <si>
    <t>Ag</t>
  </si>
  <si>
    <t>Considering 1 mm Wide Pier</t>
  </si>
  <si>
    <t>Ak</t>
  </si>
  <si>
    <t xml:space="preserve">Considering 1 mm Wide Pier Effective </t>
  </si>
  <si>
    <t>Hence Ash</t>
  </si>
  <si>
    <t>Which is OK</t>
  </si>
  <si>
    <t>CODE OF PRACTICE FOR DUCTILE DETAILING OF REINFORCED CONCRETE STRUCTURES SUBJECTED TO SEISMIC FORCES</t>
  </si>
  <si>
    <t>Ash ProvideD</t>
  </si>
  <si>
    <t>RIGHT EFFECTIVE SPAN</t>
  </si>
  <si>
    <t>TOP LEVEL OF FOUNDING ROCK</t>
  </si>
  <si>
    <t>WATER CURRENT IN LONGITUDINAL DIRECTION ( ALONG THE BRIDGE)</t>
  </si>
  <si>
    <t>WATER CURRENT IN TRANSVERSE DIRECTION ( ACROSS THE BRIDGE)</t>
  </si>
  <si>
    <t>(WHEN THERE IS NO LIVE LOAD)</t>
  </si>
  <si>
    <t>A CHECK OF STABILITY DUE TO BUOYANCY EFFECT</t>
  </si>
  <si>
    <t>[ NO LIVE LOAD ]</t>
  </si>
  <si>
    <t>X</t>
  </si>
  <si>
    <r>
      <t>P</t>
    </r>
    <r>
      <rPr>
        <vertAlign val="subscript"/>
        <sz val="10"/>
        <rFont val="Arial"/>
        <family val="2"/>
      </rPr>
      <t>U</t>
    </r>
    <r>
      <rPr>
        <sz val="10"/>
        <rFont val="Arial"/>
      </rPr>
      <t>/(f</t>
    </r>
    <r>
      <rPr>
        <vertAlign val="subscript"/>
        <sz val="10"/>
        <rFont val="Arial"/>
        <family val="2"/>
      </rPr>
      <t>ck</t>
    </r>
    <r>
      <rPr>
        <sz val="10"/>
        <rFont val="Arial"/>
      </rPr>
      <t xml:space="preserve"> b d)</t>
    </r>
  </si>
  <si>
    <r>
      <t>Ultimate Axial Load P</t>
    </r>
    <r>
      <rPr>
        <vertAlign val="subscript"/>
        <sz val="10"/>
        <rFont val="Arial"/>
        <family val="2"/>
      </rPr>
      <t xml:space="preserve">U </t>
    </r>
  </si>
  <si>
    <r>
      <t>Mu/(f</t>
    </r>
    <r>
      <rPr>
        <vertAlign val="subscript"/>
        <sz val="10"/>
        <rFont val="Arial"/>
        <family val="2"/>
      </rPr>
      <t>ck</t>
    </r>
    <r>
      <rPr>
        <sz val="10"/>
        <rFont val="Arial"/>
      </rPr>
      <t xml:space="preserve"> b d</t>
    </r>
    <r>
      <rPr>
        <vertAlign val="superscript"/>
        <sz val="10"/>
        <rFont val="Arial"/>
        <family val="2"/>
      </rPr>
      <t>2</t>
    </r>
    <r>
      <rPr>
        <sz val="10"/>
        <rFont val="Arial"/>
      </rPr>
      <t>)</t>
    </r>
  </si>
  <si>
    <t>Refer Chart 31 &amp; 32  of Design Aids for Reinforced concrete SP-16 the point lies below the range of applicability. Hence provide minimum percentage of steel.</t>
  </si>
  <si>
    <r>
      <t>Ultimate Longitudinal Moment M</t>
    </r>
    <r>
      <rPr>
        <vertAlign val="subscript"/>
        <sz val="10"/>
        <rFont val="Arial"/>
        <family val="2"/>
      </rPr>
      <t xml:space="preserve">U </t>
    </r>
  </si>
  <si>
    <r>
      <t>Ultimate Transverse Moment M</t>
    </r>
    <r>
      <rPr>
        <vertAlign val="subscript"/>
        <sz val="10"/>
        <rFont val="Arial"/>
        <family val="2"/>
      </rPr>
      <t xml:space="preserve">U </t>
    </r>
  </si>
  <si>
    <t>CHARACTERISTIC STRENGTH OF Concrete</t>
  </si>
  <si>
    <t>N/mm2</t>
  </si>
  <si>
    <t>fck</t>
  </si>
  <si>
    <r>
      <t>&gt; (- 3600 kN/m</t>
    </r>
    <r>
      <rPr>
        <b/>
        <vertAlign val="superscript"/>
        <sz val="10"/>
        <color indexed="10"/>
        <rFont val="Arial"/>
        <family val="2"/>
      </rPr>
      <t>2</t>
    </r>
    <r>
      <rPr>
        <b/>
        <sz val="10"/>
        <color indexed="10"/>
        <rFont val="Arial"/>
        <family val="2"/>
      </rPr>
      <t xml:space="preserve"> (that is  3.6 N/mm</t>
    </r>
    <r>
      <rPr>
        <b/>
        <vertAlign val="superscript"/>
        <sz val="10"/>
        <color indexed="10"/>
        <rFont val="Arial"/>
        <family val="2"/>
      </rPr>
      <t>2</t>
    </r>
    <r>
      <rPr>
        <b/>
        <sz val="10"/>
        <color indexed="10"/>
        <rFont val="Arial"/>
        <family val="2"/>
      </rPr>
      <t xml:space="preserve"> ) Hence O.K.</t>
    </r>
  </si>
  <si>
    <t>The design engineer visually observed the river to ascertain the Roughness Coefficient n for the Manning's formula. Upon visual inspection of the river in the vicinity of the proposed bridge site it was found that the River bed surface is good with clean straight banks, no rifts or deep pools however containing some weeds and stones. Roughness Coefficient pertaining to these characteristics is 0.033</t>
  </si>
  <si>
    <t>Since the bridge is at Zero Degrees skew from the direction of current as per IRC- II ( 6-1966) clause 213.5 it should be designed for (20+0) =20 Degrees or (20-0) = 20 Degrees whichever gives higher quantum of water current forces.</t>
  </si>
  <si>
    <r>
      <t xml:space="preserve">Obstructed Velocity = V Sin 20 </t>
    </r>
    <r>
      <rPr>
        <vertAlign val="superscript"/>
        <sz val="10"/>
        <rFont val="Arial"/>
        <family val="2"/>
      </rPr>
      <t>0</t>
    </r>
  </si>
  <si>
    <t>Obstructed Velocity = V Cos 20 0</t>
  </si>
  <si>
    <t>Cos 20 0</t>
  </si>
  <si>
    <t>BED LEVEL OF THE HEIGHEST PIER</t>
  </si>
  <si>
    <r>
      <t xml:space="preserve">Sin 20 </t>
    </r>
    <r>
      <rPr>
        <b/>
        <vertAlign val="superscript"/>
        <sz val="10"/>
        <rFont val="Arial"/>
        <family val="2"/>
      </rPr>
      <t>0</t>
    </r>
  </si>
  <si>
    <t xml:space="preserve">REINFORCEMENT CALCULATION IN PIER IN LOWER FLARED PORTION </t>
  </si>
  <si>
    <t>Hydraulic Calculation</t>
  </si>
  <si>
    <t>Computation of Discharge</t>
  </si>
  <si>
    <t xml:space="preserve"> </t>
  </si>
  <si>
    <t xml:space="preserve">A x V </t>
  </si>
  <si>
    <t>Where</t>
  </si>
  <si>
    <t xml:space="preserve">m2 </t>
  </si>
  <si>
    <t>A =</t>
  </si>
  <si>
    <t xml:space="preserve"> m</t>
  </si>
  <si>
    <t xml:space="preserve">P = </t>
  </si>
  <si>
    <t>Perimeter calculated in m</t>
  </si>
  <si>
    <t>S =</t>
  </si>
  <si>
    <t xml:space="preserve">Slope as per drain LS taken at </t>
  </si>
  <si>
    <t>Proposal site</t>
  </si>
  <si>
    <t>n</t>
  </si>
  <si>
    <t xml:space="preserve">n = </t>
  </si>
  <si>
    <t xml:space="preserve">Rugosity coefficient </t>
  </si>
  <si>
    <t>(As per IRC SP-13)</t>
  </si>
  <si>
    <t>V =</t>
  </si>
  <si>
    <t>Velocity in m/sec.</t>
  </si>
  <si>
    <t xml:space="preserve">  </t>
  </si>
  <si>
    <t>m/sec.</t>
  </si>
  <si>
    <t>Cumecs</t>
  </si>
  <si>
    <t>Linear Water Way Calculation</t>
  </si>
  <si>
    <t>Regime Surface width of the stream is given by :-</t>
  </si>
  <si>
    <t>L</t>
  </si>
  <si>
    <t xml:space="preserve"> = </t>
  </si>
  <si>
    <t>4.8 (Q)1/2</t>
  </si>
  <si>
    <t xml:space="preserve">Looking to the built up Urban area constraints adopt </t>
  </si>
  <si>
    <t xml:space="preserve">Spans of </t>
  </si>
  <si>
    <t>M each.</t>
  </si>
  <si>
    <t>This will cause contraction and afflux. Calculation is done for the same to fix deck level.</t>
  </si>
  <si>
    <t>Effective linear water way proposed =</t>
  </si>
  <si>
    <t>Scour Depth Calculation</t>
  </si>
  <si>
    <t>(As per  clause no. 703.2.2.1 of IRC : 78.1983)</t>
  </si>
  <si>
    <t>dsm =</t>
  </si>
  <si>
    <t>Db</t>
  </si>
  <si>
    <t>The discharge in Cumecs per meter width</t>
  </si>
  <si>
    <t>Ksf</t>
  </si>
  <si>
    <t>the silt factor</t>
  </si>
  <si>
    <t>Effective linear waterway</t>
  </si>
  <si>
    <t>Width of waterway   - Obstructed width of piper</t>
  </si>
  <si>
    <t>- (</t>
  </si>
  <si>
    <t xml:space="preserve">=    </t>
  </si>
  <si>
    <t>Cumecs per metre width</t>
  </si>
  <si>
    <t>Afflux Calculation</t>
  </si>
  <si>
    <t xml:space="preserve">As per IS: 7784 (Part -I) 1975 </t>
  </si>
  <si>
    <t>Molesworth Formula for Afflux</t>
  </si>
  <si>
    <t>Afflux h =</t>
  </si>
  <si>
    <t>Where,</t>
  </si>
  <si>
    <t>afflux in m,</t>
  </si>
  <si>
    <t>v</t>
  </si>
  <si>
    <t>Velocity in the unobstructed stream in m/s,</t>
  </si>
  <si>
    <t>a</t>
  </si>
  <si>
    <t>As per Annexure- 1</t>
  </si>
  <si>
    <t>Computation of Area obstructed by  Deck Slab</t>
  </si>
  <si>
    <t xml:space="preserve">HFL : </t>
  </si>
  <si>
    <t xml:space="preserve">Top Level of Deck slab : </t>
  </si>
  <si>
    <t>Thickness of Slab and Wearing Coat</t>
  </si>
  <si>
    <t>Length Of Slab</t>
  </si>
  <si>
    <t>Height of Obstruction</t>
  </si>
  <si>
    <t>Area obstructed by deck slab</t>
  </si>
  <si>
    <t>Computation of Area obstructed by  Piers</t>
  </si>
  <si>
    <t xml:space="preserve">Soffit of Deck slab : </t>
  </si>
  <si>
    <t xml:space="preserve">Average river bed level  = </t>
  </si>
  <si>
    <t xml:space="preserve">Nos. of pier </t>
  </si>
  <si>
    <t xml:space="preserve">Area obstructed by one pier  :  = </t>
  </si>
  <si>
    <t>A1</t>
  </si>
  <si>
    <t>Computation of Area obstructed by  Abutments</t>
  </si>
  <si>
    <t xml:space="preserve">Average ground level  = </t>
  </si>
  <si>
    <t xml:space="preserve">Area obstructed by one Abutment  : A2 = </t>
  </si>
  <si>
    <t xml:space="preserve">(0.40+0.75)/2 </t>
  </si>
  <si>
    <t xml:space="preserve">For two Abutments = </t>
  </si>
  <si>
    <t xml:space="preserve">= </t>
  </si>
  <si>
    <t>A0 +A1 + A2</t>
  </si>
  <si>
    <t>Actual Area of flow a =</t>
  </si>
  <si>
    <t>Afflux flood level =</t>
  </si>
  <si>
    <t xml:space="preserve"> Obstructed Velocity</t>
  </si>
  <si>
    <t>Q/a</t>
  </si>
  <si>
    <t xml:space="preserve">Afflux flood level </t>
  </si>
  <si>
    <t>Hence OK.</t>
  </si>
  <si>
    <r>
      <t>Cross sectional area in m</t>
    </r>
    <r>
      <rPr>
        <vertAlign val="superscript"/>
        <sz val="12"/>
        <rFont val="Arial"/>
        <family val="2"/>
      </rPr>
      <t>2</t>
    </r>
  </si>
  <si>
    <r>
      <t>I/nx (A/P)</t>
    </r>
    <r>
      <rPr>
        <vertAlign val="superscript"/>
        <sz val="10"/>
        <rFont val="Arial"/>
        <family val="2"/>
      </rPr>
      <t xml:space="preserve"> 2/3</t>
    </r>
    <r>
      <rPr>
        <sz val="12"/>
        <rFont val="Arial"/>
        <family val="2"/>
      </rPr>
      <t xml:space="preserve">   x(S) </t>
    </r>
    <r>
      <rPr>
        <vertAlign val="superscript"/>
        <sz val="10"/>
        <rFont val="Arial"/>
        <family val="2"/>
      </rPr>
      <t>1/2</t>
    </r>
  </si>
  <si>
    <r>
      <t>1.34x (Db</t>
    </r>
    <r>
      <rPr>
        <vertAlign val="superscript"/>
        <sz val="12"/>
        <rFont val="Arial"/>
        <family val="2"/>
      </rPr>
      <t>2</t>
    </r>
    <r>
      <rPr>
        <sz val="12"/>
        <rFont val="Arial"/>
        <family val="2"/>
      </rPr>
      <t xml:space="preserve"> /Ksf)  </t>
    </r>
    <r>
      <rPr>
        <vertAlign val="superscript"/>
        <sz val="12"/>
        <rFont val="Arial"/>
        <family val="2"/>
      </rPr>
      <t>1/3</t>
    </r>
  </si>
  <si>
    <r>
      <t>((V</t>
    </r>
    <r>
      <rPr>
        <vertAlign val="superscript"/>
        <sz val="10"/>
        <rFont val="Arial"/>
        <family val="2"/>
      </rPr>
      <t>2</t>
    </r>
    <r>
      <rPr>
        <sz val="10"/>
        <rFont val="Arial"/>
        <family val="2"/>
      </rPr>
      <t>/17.85) +0.0152)x(A</t>
    </r>
    <r>
      <rPr>
        <vertAlign val="superscript"/>
        <sz val="10"/>
        <rFont val="Arial"/>
        <family val="2"/>
      </rPr>
      <t>2</t>
    </r>
    <r>
      <rPr>
        <sz val="10"/>
        <rFont val="Arial"/>
        <family val="2"/>
      </rPr>
      <t>/a</t>
    </r>
    <r>
      <rPr>
        <vertAlign val="superscript"/>
        <sz val="10"/>
        <rFont val="Arial"/>
        <family val="2"/>
      </rPr>
      <t>2</t>
    </r>
    <r>
      <rPr>
        <sz val="10"/>
        <rFont val="Arial"/>
        <family val="2"/>
      </rPr>
      <t>-1)</t>
    </r>
  </si>
  <si>
    <r>
      <t>the unobstructed sectional area of the river in m</t>
    </r>
    <r>
      <rPr>
        <vertAlign val="superscript"/>
        <sz val="12"/>
        <rFont val="Arial"/>
        <family val="2"/>
      </rPr>
      <t>2</t>
    </r>
  </si>
  <si>
    <r>
      <t>the obstructed sectional area of the river at the cross drainage work in m</t>
    </r>
    <r>
      <rPr>
        <vertAlign val="superscript"/>
        <sz val="12"/>
        <rFont val="Arial"/>
        <family val="2"/>
      </rPr>
      <t>2</t>
    </r>
    <r>
      <rPr>
        <sz val="12"/>
        <rFont val="Arial"/>
        <family val="2"/>
      </rPr>
      <t>.</t>
    </r>
  </si>
  <si>
    <r>
      <t>m</t>
    </r>
    <r>
      <rPr>
        <vertAlign val="superscript"/>
        <sz val="10"/>
        <rFont val="Arial"/>
        <family val="2"/>
      </rPr>
      <t xml:space="preserve">2 </t>
    </r>
  </si>
  <si>
    <t xml:space="preserve">However we consider design velocity </t>
  </si>
  <si>
    <t xml:space="preserve">m/sec. </t>
  </si>
  <si>
    <t>Maximum</t>
  </si>
  <si>
    <t>Minimum</t>
  </si>
  <si>
    <t>ABSTRACT OF BASE PRESSURE AND STRESSES</t>
  </si>
  <si>
    <t xml:space="preserve">DESIGN OF PIER FOOTING </t>
  </si>
  <si>
    <t>FOR WIND AT SERVICE CONDITION</t>
  </si>
  <si>
    <t xml:space="preserve">Length of footing </t>
  </si>
  <si>
    <t>Width of Footing</t>
  </si>
  <si>
    <t>Width of Pier</t>
  </si>
  <si>
    <t>Vertical Load</t>
  </si>
  <si>
    <t>Longitudinal Moment</t>
  </si>
  <si>
    <t>Transverse Moment</t>
  </si>
  <si>
    <t>Refer VK Raina "Concrete Bridge Practice : Analysis, Design and Economics " Chapter 14 "Evaluation of Base Presssure and Contact Area" Fig 14.2 &amp; 14.3</t>
  </si>
  <si>
    <t>K</t>
  </si>
  <si>
    <t>y</t>
  </si>
  <si>
    <t>Maximum Pressure before Redistribution</t>
  </si>
  <si>
    <t>Maximum Pressure After Redistribution = pxK</t>
  </si>
  <si>
    <t>Maximum Stress at Edge of Pier</t>
  </si>
  <si>
    <t>Distance From Face of Pier to the Edge</t>
  </si>
  <si>
    <t>Stress at the Edge of Pier</t>
  </si>
  <si>
    <t>Average Stress on Cantilevered Area</t>
  </si>
  <si>
    <t>Area of the Cantilever Portion</t>
  </si>
  <si>
    <t>Distance of Centroid of the Stress in Cantilever Portion</t>
  </si>
  <si>
    <t>Moment about the Face of Pier</t>
  </si>
  <si>
    <t>CONCRETE GRADE</t>
  </si>
  <si>
    <r>
      <t>s</t>
    </r>
    <r>
      <rPr>
        <b/>
        <sz val="10"/>
        <rFont val="Arial"/>
        <family val="2"/>
      </rPr>
      <t>st</t>
    </r>
  </si>
  <si>
    <t>factor k</t>
  </si>
  <si>
    <t>j</t>
  </si>
  <si>
    <t>Effective Depth Required</t>
  </si>
  <si>
    <t xml:space="preserve">Adopt Total Depth </t>
  </si>
  <si>
    <t>Cover</t>
  </si>
  <si>
    <t>Assume Bar Dia</t>
  </si>
  <si>
    <t>Adopt Effective Depth</t>
  </si>
  <si>
    <t>Steel Required  Ast</t>
  </si>
  <si>
    <t>Area Of One Bar</t>
  </si>
  <si>
    <t>Spacing S</t>
  </si>
  <si>
    <t>Provide  Bars Of Dia And Spacing</t>
  </si>
  <si>
    <t>Area Of Distribution Steel</t>
  </si>
  <si>
    <t xml:space="preserve">Dia Of Bar For Distribution Steel </t>
  </si>
  <si>
    <t>Area Of One Bar In Distribution Reinforcement</t>
  </si>
  <si>
    <t>Using The Bars Spacing Required</t>
  </si>
  <si>
    <t>Provide  Bars Of Dia And Spacing for Top Main Steel</t>
  </si>
  <si>
    <t>Provide  Bars Of Dia And Spacing for Top Distribution Steel</t>
  </si>
  <si>
    <t>CHECK FOR SHEAR</t>
  </si>
  <si>
    <t>(As per IRC 21-1987 Cl. 304.7)</t>
  </si>
  <si>
    <t>Critical Section is at a distance equal to effective depth from pier face</t>
  </si>
  <si>
    <t>Section of Shear from end of pier</t>
  </si>
  <si>
    <t>Stress at the Section for Shear Check</t>
  </si>
  <si>
    <t>Shear Force</t>
  </si>
  <si>
    <t>V=V' + M/d tanB</t>
  </si>
  <si>
    <t>(B=0) Hence V =V'</t>
  </si>
  <si>
    <t>Actual Shear Stress</t>
  </si>
  <si>
    <t>Percentage Steel</t>
  </si>
  <si>
    <t>100As/bd</t>
  </si>
  <si>
    <t>Tc</t>
  </si>
  <si>
    <t>k=1</t>
  </si>
  <si>
    <t>Permissble Shear Stress = k Tc</t>
  </si>
  <si>
    <t>&lt; Actual Shear Stress hence Shear Reinforcement should be provided</t>
  </si>
  <si>
    <t>Dia Of two Legged Stirrups</t>
  </si>
  <si>
    <t>Using The Bars Spacing Required s= Asw ts d/V</t>
  </si>
  <si>
    <t>Adopt spacing as 250 mm</t>
  </si>
  <si>
    <r>
      <t>l</t>
    </r>
    <r>
      <rPr>
        <vertAlign val="subscript"/>
        <sz val="10"/>
        <rFont val="Arial"/>
        <family val="2"/>
      </rPr>
      <t>f</t>
    </r>
  </si>
  <si>
    <r>
      <t>l</t>
    </r>
    <r>
      <rPr>
        <vertAlign val="subscript"/>
        <sz val="10"/>
        <rFont val="Arial"/>
        <family val="2"/>
      </rPr>
      <t>b</t>
    </r>
  </si>
  <si>
    <r>
      <t>M</t>
    </r>
    <r>
      <rPr>
        <vertAlign val="subscript"/>
        <sz val="10"/>
        <rFont val="Arial"/>
        <family val="2"/>
      </rPr>
      <t>e</t>
    </r>
  </si>
  <si>
    <r>
      <t>M</t>
    </r>
    <r>
      <rPr>
        <vertAlign val="subscript"/>
        <sz val="10"/>
        <rFont val="Arial"/>
        <family val="2"/>
      </rPr>
      <t>b</t>
    </r>
  </si>
  <si>
    <r>
      <t>e</t>
    </r>
    <r>
      <rPr>
        <vertAlign val="subscript"/>
        <sz val="10"/>
        <rFont val="Arial"/>
        <family val="2"/>
      </rPr>
      <t>l</t>
    </r>
  </si>
  <si>
    <r>
      <t>= M</t>
    </r>
    <r>
      <rPr>
        <vertAlign val="subscript"/>
        <sz val="10"/>
        <rFont val="Arial"/>
        <family val="2"/>
      </rPr>
      <t>e</t>
    </r>
    <r>
      <rPr>
        <sz val="10"/>
        <rFont val="Arial"/>
      </rPr>
      <t>/P</t>
    </r>
  </si>
  <si>
    <r>
      <t>e</t>
    </r>
    <r>
      <rPr>
        <vertAlign val="subscript"/>
        <sz val="10"/>
        <rFont val="Arial"/>
        <family val="2"/>
      </rPr>
      <t>b</t>
    </r>
  </si>
  <si>
    <r>
      <t>= M</t>
    </r>
    <r>
      <rPr>
        <vertAlign val="subscript"/>
        <sz val="10"/>
        <rFont val="Arial"/>
        <family val="2"/>
      </rPr>
      <t>b</t>
    </r>
    <r>
      <rPr>
        <sz val="10"/>
        <rFont val="Arial"/>
      </rPr>
      <t>/P</t>
    </r>
  </si>
  <si>
    <r>
      <t>e</t>
    </r>
    <r>
      <rPr>
        <vertAlign val="subscript"/>
        <sz val="10"/>
        <rFont val="Arial"/>
        <family val="2"/>
      </rPr>
      <t>l</t>
    </r>
    <r>
      <rPr>
        <sz val="10"/>
        <rFont val="Arial"/>
      </rPr>
      <t>/l</t>
    </r>
    <r>
      <rPr>
        <vertAlign val="subscript"/>
        <sz val="10"/>
        <rFont val="Arial"/>
        <family val="2"/>
      </rPr>
      <t>f</t>
    </r>
  </si>
  <si>
    <r>
      <t>e</t>
    </r>
    <r>
      <rPr>
        <vertAlign val="subscript"/>
        <sz val="10"/>
        <rFont val="Arial"/>
        <family val="2"/>
      </rPr>
      <t>b</t>
    </r>
    <r>
      <rPr>
        <sz val="10"/>
        <rFont val="Arial"/>
      </rPr>
      <t>/l</t>
    </r>
    <r>
      <rPr>
        <vertAlign val="subscript"/>
        <sz val="10"/>
        <rFont val="Arial"/>
        <family val="2"/>
      </rPr>
      <t>b</t>
    </r>
  </si>
  <si>
    <r>
      <t>Area in Tension = y x l</t>
    </r>
    <r>
      <rPr>
        <vertAlign val="subscript"/>
        <sz val="10"/>
        <rFont val="Arial"/>
        <family val="2"/>
      </rPr>
      <t>b</t>
    </r>
  </si>
  <si>
    <r>
      <t>m</t>
    </r>
    <r>
      <rPr>
        <b/>
        <vertAlign val="superscript"/>
        <sz val="10"/>
        <rFont val="Arial"/>
        <family val="2"/>
      </rPr>
      <t>2</t>
    </r>
  </si>
  <si>
    <r>
      <t xml:space="preserve">FOR THIS GRADE </t>
    </r>
    <r>
      <rPr>
        <b/>
        <sz val="10"/>
        <rFont val="Symbol"/>
        <family val="1"/>
        <charset val="2"/>
      </rPr>
      <t>s</t>
    </r>
    <r>
      <rPr>
        <b/>
        <sz val="10"/>
        <rFont val="Arial"/>
        <family val="2"/>
      </rPr>
      <t>cbc</t>
    </r>
  </si>
  <si>
    <r>
      <t>N/mm</t>
    </r>
    <r>
      <rPr>
        <b/>
        <vertAlign val="superscript"/>
        <sz val="10"/>
        <rFont val="Arial"/>
        <family val="2"/>
      </rPr>
      <t>2</t>
    </r>
  </si>
  <si>
    <t>STRESS DIAGRAM</t>
  </si>
  <si>
    <t>Keeping A Cover Of 50 mm Effective Depth</t>
  </si>
  <si>
    <t>Flood calculation by Area Velocity Method (As per Article- 5 of IRC SP-13)</t>
  </si>
  <si>
    <r>
      <t xml:space="preserve">In the case of a submersible bridge, the deck slab is near the plane of maximum velocity. To counteract the sliding action due to velocity of flow, loss of weight of slab due to </t>
    </r>
    <r>
      <rPr>
        <sz val="14"/>
        <color indexed="10"/>
        <rFont val="Tahoma"/>
        <family val="2"/>
      </rPr>
      <t>buoyancy</t>
    </r>
    <r>
      <rPr>
        <sz val="14"/>
        <rFont val="Tahoma"/>
        <family val="2"/>
      </rPr>
      <t>, the tilting forces due to eddies and currents and the disturbing forces due to debris or trees floating down the stream ,  it is necessary to anchor the deck slab to the substructure.</t>
    </r>
  </si>
  <si>
    <t xml:space="preserve">ANCHORAGE OF DECK SLAB TO SUBSTRUCTURE </t>
  </si>
  <si>
    <t>Check Against Uplift</t>
  </si>
  <si>
    <t>Check Against Sliding</t>
  </si>
  <si>
    <t>Refer Stability Check of Pier</t>
  </si>
  <si>
    <t xml:space="preserve">Force </t>
  </si>
  <si>
    <t>Drag Force on Slab</t>
  </si>
  <si>
    <t>Dia of Anchor Bars</t>
  </si>
  <si>
    <t>Permissible Shear Stress</t>
  </si>
  <si>
    <t>Shear Force Resisted by one Anchor Bar =</t>
  </si>
  <si>
    <t>/ 1000</t>
  </si>
  <si>
    <t>/4 )x</t>
  </si>
  <si>
    <t>(</t>
  </si>
  <si>
    <t>Number Of Bars Provided Per slab</t>
  </si>
  <si>
    <t>Total Shear Resisted</t>
  </si>
  <si>
    <t>FACTOR OF SAFETY</t>
  </si>
  <si>
    <t>&gt; 2.00 Hence OK</t>
  </si>
  <si>
    <t>Uplift Force on Slab</t>
  </si>
  <si>
    <t>Maximum Uplift Pressure</t>
  </si>
  <si>
    <t>Area of Slab under effect of buoyancy</t>
  </si>
  <si>
    <t>Net Uplift Pressure</t>
  </si>
  <si>
    <t>&lt; 0 Hence Ok.</t>
  </si>
  <si>
    <t>One possible solution to this anchorage is as shown in detailed drawing. The aim in this anchorage is to secure the deck slab to piers or abutments against uplift or lateral thrust and at the same time allow lateral movement due to expansion and contraction due to temperature effects the arrangement will be evident from the sketch given in the detailed drawing.</t>
  </si>
  <si>
    <t>This is well above the Afflux flood level.</t>
  </si>
  <si>
    <r>
      <t>m</t>
    </r>
    <r>
      <rPr>
        <vertAlign val="superscript"/>
        <sz val="10"/>
        <rFont val="Arial"/>
        <family val="2"/>
      </rPr>
      <t>2</t>
    </r>
    <r>
      <rPr>
        <sz val="10"/>
        <rFont val="Arial"/>
      </rPr>
      <t xml:space="preserve"> </t>
    </r>
  </si>
  <si>
    <t xml:space="preserve">Total area of obstruction due to slab, piers and abutments A </t>
  </si>
  <si>
    <t>The uplift force shall be maximum when the flow level is Just at near deck level.</t>
  </si>
  <si>
    <t>2X10.8</t>
  </si>
  <si>
    <t>t/m2</t>
  </si>
  <si>
    <t xml:space="preserve">The soffit of the deck is at HFL </t>
  </si>
  <si>
    <t xml:space="preserve">The afflux Flood Level is </t>
  </si>
  <si>
    <t>DRAG FORCE ON DECK SLAB DUE TO AFFLUX</t>
  </si>
  <si>
    <t xml:space="preserve">THIS WILL BE IN CASE OF AFFLUX FLOOD LEVEL </t>
  </si>
  <si>
    <t>However Adopt spacing as 250 mm</t>
  </si>
  <si>
    <t>Unobstructed Area of Flow after Bridge Construction =</t>
  </si>
  <si>
    <t>Top of deck slab</t>
  </si>
  <si>
    <t>Though it is not a high level bridge; there shall be no hindrance to traffic during high floods.</t>
  </si>
  <si>
    <r>
      <t>&lt; 8000 kN/m</t>
    </r>
    <r>
      <rPr>
        <b/>
        <vertAlign val="superscript"/>
        <sz val="10"/>
        <color indexed="10"/>
        <rFont val="Arial"/>
        <family val="2"/>
      </rPr>
      <t>2</t>
    </r>
    <r>
      <rPr>
        <b/>
        <sz val="10"/>
        <color indexed="10"/>
        <rFont val="Arial"/>
        <family val="2"/>
      </rPr>
      <t xml:space="preserve"> (that is  8 N/mm</t>
    </r>
    <r>
      <rPr>
        <b/>
        <vertAlign val="superscript"/>
        <sz val="10"/>
        <color indexed="10"/>
        <rFont val="Arial"/>
        <family val="2"/>
      </rPr>
      <t>2</t>
    </r>
    <r>
      <rPr>
        <b/>
        <sz val="10"/>
        <color indexed="10"/>
        <rFont val="Arial"/>
        <family val="2"/>
      </rPr>
      <t xml:space="preserve"> ) Hence O.K.</t>
    </r>
  </si>
  <si>
    <t>M-25</t>
  </si>
  <si>
    <t>CROSS SECTION OF RIVER DOWN-STREAM</t>
  </si>
  <si>
    <t>Design Discharge =</t>
  </si>
  <si>
    <t xml:space="preserve">SAFE BEARING CAPACITY </t>
  </si>
  <si>
    <t>Maximum Reaction due Live Load including Impact</t>
  </si>
  <si>
    <t xml:space="preserve">Maximum Longitudinal moment due to Live Load including Impact and Breaking Force </t>
  </si>
  <si>
    <t>Maximum Transverse moment due to Live Load including Impact and Breaking Force</t>
  </si>
  <si>
    <t xml:space="preserve">REINFORCEMENT CALCULATION IN PIER </t>
  </si>
  <si>
    <t>Road top level (RTL)</t>
  </si>
  <si>
    <t>Average Ground Level(AGL)</t>
  </si>
  <si>
    <t>Ordinary flood level (OFL)</t>
  </si>
  <si>
    <t>Foundation level (FL)</t>
  </si>
  <si>
    <t>Ht. of bridge h= (RTL-NBL)</t>
  </si>
  <si>
    <t>Ht. of bridge H=(RTL-FL)</t>
  </si>
  <si>
    <t>Critical Levels</t>
  </si>
  <si>
    <t>As per Clause No. 703-2-3-1 of IRC 78-1983 considering Scour at the pier two times of calculated scour depth below the highest flood level. But hard rock is available in foundation so the foundation will be anchored in the rock as per IRC guidelines.</t>
  </si>
  <si>
    <t xml:space="preserve">DETERMINATION OF VELOCITY AT PROPOSED SUBMERSIBLE BRIDGE </t>
  </si>
  <si>
    <t xml:space="preserve">DESIGN OF PIER AND CHECK FOR STABILITY- SUBMERSIBLE BRIDGE </t>
  </si>
  <si>
    <t xml:space="preserve">DESIGN OF PIER FOOTING SUBMERSIBLE BRIDGE  </t>
  </si>
  <si>
    <t xml:space="preserve">DESIGN OF SUBMERSIBLE BRIDGE 
</t>
  </si>
  <si>
    <t>AS PER UP-STREAM SECTION</t>
  </si>
  <si>
    <t xml:space="preserve">CALCULATION OF LIVE LOAD REACTION  FOR PIER SUBSTRUCTURE </t>
  </si>
  <si>
    <t>FOR SIMPLY SUPPORTED SPANS OF A TWO LANE BRIDGE STRUCTURE</t>
  </si>
  <si>
    <t>Centre line of pier w.r.t. the bearings :-</t>
  </si>
  <si>
    <t>Rb</t>
  </si>
  <si>
    <t>Rc</t>
  </si>
  <si>
    <t>Reaction has been calculated for the following cases</t>
  </si>
  <si>
    <t>1.</t>
  </si>
  <si>
    <t>One lane of class 70-R(W)</t>
  </si>
  <si>
    <t>2.</t>
  </si>
  <si>
    <t>One lane of class - A</t>
  </si>
  <si>
    <t>3.</t>
  </si>
  <si>
    <t>Two lane of class - A</t>
  </si>
  <si>
    <t>4.</t>
  </si>
  <si>
    <t>Three lane of class - A</t>
  </si>
  <si>
    <t>5.</t>
  </si>
  <si>
    <t>One lane of class 70-R(W) + One lane of class - A</t>
  </si>
  <si>
    <t>Condition A:</t>
  </si>
  <si>
    <t>MAXIMUM LONGITUDINAL MOMENT CASE</t>
  </si>
  <si>
    <t>Case 1:</t>
  </si>
  <si>
    <t>Cg of</t>
  </si>
  <si>
    <t xml:space="preserve">    </t>
  </si>
  <si>
    <t xml:space="preserve">Rb </t>
  </si>
  <si>
    <t>Ra</t>
  </si>
  <si>
    <t>Rd</t>
  </si>
  <si>
    <t>span</t>
  </si>
  <si>
    <t>load</t>
  </si>
  <si>
    <t>cg</t>
  </si>
  <si>
    <t xml:space="preserve">Rb =  </t>
  </si>
  <si>
    <t>t</t>
  </si>
  <si>
    <t xml:space="preserve">Rc =  </t>
  </si>
  <si>
    <t>Ra=</t>
  </si>
  <si>
    <t>Vert.Reaction=</t>
  </si>
  <si>
    <t>Braking Force, B =</t>
  </si>
  <si>
    <t>Dead load reaction on the pier , Rg</t>
  </si>
  <si>
    <r>
      <t xml:space="preserve">Value of " </t>
    </r>
    <r>
      <rPr>
        <sz val="10"/>
        <rFont val="Symbol"/>
        <family val="1"/>
        <charset val="2"/>
      </rPr>
      <t>m</t>
    </r>
    <r>
      <rPr>
        <sz val="10"/>
        <rFont val="Arial"/>
        <family val="2"/>
      </rPr>
      <t xml:space="preserve"> " =</t>
    </r>
  </si>
  <si>
    <r>
      <t>Horizontal force due to temperature, T =</t>
    </r>
    <r>
      <rPr>
        <sz val="10"/>
        <rFont val="Symbol"/>
        <family val="1"/>
        <charset val="2"/>
      </rPr>
      <t xml:space="preserve"> m</t>
    </r>
    <r>
      <rPr>
        <sz val="10"/>
        <rFont val="Arial"/>
        <family val="2"/>
      </rPr>
      <t>*(Rg+Ra)</t>
    </r>
  </si>
  <si>
    <t>Design horizontal force is higher of either ( B/2+T ) or ( B-T )</t>
  </si>
  <si>
    <t>( neglecting shear rating of elastomeric bearing in the adjacent span, which is on the conservative side )</t>
  </si>
  <si>
    <t>CL of 70-R</t>
  </si>
  <si>
    <t>CL of c/w</t>
  </si>
  <si>
    <t xml:space="preserve">Transverse eccentricity </t>
  </si>
  <si>
    <t>Transverse moment =</t>
  </si>
  <si>
    <t>t.m</t>
  </si>
  <si>
    <t>Long. moment =</t>
  </si>
  <si>
    <t>Long. Eccentricity ( for input)</t>
  </si>
  <si>
    <t>B)</t>
  </si>
  <si>
    <t>One lane of class-A</t>
  </si>
  <si>
    <t>SPAN</t>
  </si>
  <si>
    <t>LOAD</t>
  </si>
  <si>
    <t>CG</t>
  </si>
  <si>
    <t>Vert.Reaction =</t>
  </si>
  <si>
    <t xml:space="preserve">CL class A(1L) </t>
  </si>
  <si>
    <t>Case 3 :</t>
  </si>
  <si>
    <t>Two lane of class-A</t>
  </si>
  <si>
    <t>Braking Force(For single lane only)</t>
  </si>
  <si>
    <t xml:space="preserve">CL class A(2L) </t>
  </si>
  <si>
    <t>Case 4 :</t>
  </si>
  <si>
    <t>Three lane of class-A</t>
  </si>
  <si>
    <t>(5% extra taken for third lane)</t>
  </si>
  <si>
    <t xml:space="preserve">CL class A(3L) </t>
  </si>
  <si>
    <t>Case 5 :</t>
  </si>
  <si>
    <t>One lane of class-70R(W)+One lane of class-A</t>
  </si>
  <si>
    <t>Braking Force =</t>
  </si>
  <si>
    <t>(5% extra taken for class A)</t>
  </si>
  <si>
    <t xml:space="preserve">CL class 70-R </t>
  </si>
  <si>
    <t>CL class A(1L)</t>
  </si>
  <si>
    <t xml:space="preserve">Transverse ecc.(class 70 R) </t>
  </si>
  <si>
    <t xml:space="preserve">Transverse ecc.(class A) </t>
  </si>
  <si>
    <t>Trans. moment =</t>
  </si>
  <si>
    <t>Net transverse ecc. (for input)</t>
  </si>
  <si>
    <t>Condition B:</t>
  </si>
  <si>
    <t>MAXIMUM TRANSVERSE MOMENT / REACTION CASE</t>
  </si>
  <si>
    <t>CASE 1:</t>
  </si>
  <si>
    <t>ONE LANE OF CLASS 70-R(W)</t>
  </si>
  <si>
    <t>first span</t>
  </si>
  <si>
    <t>second span</t>
  </si>
  <si>
    <t>Vert. Reaction =</t>
  </si>
  <si>
    <t>Case 2:</t>
  </si>
  <si>
    <t xml:space="preserve">Cg of </t>
  </si>
  <si>
    <t>two span length</t>
  </si>
  <si>
    <t>cg6.8 end</t>
  </si>
  <si>
    <t>cg2.7 end</t>
  </si>
  <si>
    <t>Span2load</t>
  </si>
  <si>
    <t>cg 6.8</t>
  </si>
  <si>
    <t xml:space="preserve"> load</t>
  </si>
  <si>
    <t>Span2 load</t>
  </si>
  <si>
    <t>span2</t>
  </si>
  <si>
    <t>11.0 m</t>
  </si>
  <si>
    <t>load 1</t>
  </si>
  <si>
    <t>Cg 2.7 end</t>
  </si>
  <si>
    <t>Dead load reaction on the pier end , Rg</t>
  </si>
  <si>
    <t>Summary of Loads</t>
  </si>
  <si>
    <t xml:space="preserve">Max. Longitudinal Moment </t>
  </si>
  <si>
    <t>Design horizontal force (t)</t>
  </si>
  <si>
    <t>Transverse ecc. (m)</t>
  </si>
  <si>
    <t>Longitudinal ecc. (m)</t>
  </si>
  <si>
    <t>Max. vertical reaction (t)</t>
  </si>
  <si>
    <t>Transverse moment (t.m)</t>
  </si>
  <si>
    <t>Longitudinal moment (t.m)</t>
  </si>
  <si>
    <t xml:space="preserve">Max.Transverse Moment </t>
  </si>
  <si>
    <t>Load case</t>
  </si>
  <si>
    <t>1L class 70 - R</t>
  </si>
  <si>
    <t>1L class - A</t>
  </si>
  <si>
    <t>2L class - A</t>
  </si>
  <si>
    <t>3L class - A</t>
  </si>
  <si>
    <t>1L class 70 - R +      1L class - A</t>
  </si>
  <si>
    <t>Vertical reaction due to braking has been neglected.</t>
  </si>
  <si>
    <t>MT</t>
  </si>
  <si>
    <t>KN</t>
  </si>
  <si>
    <t>T-M</t>
  </si>
  <si>
    <t>KNM</t>
  </si>
  <si>
    <t xml:space="preserve">Maximum Transverse moment due to Live Load including Impact and Breaking Force </t>
  </si>
  <si>
    <t>Haunch</t>
  </si>
  <si>
    <t>PCC Offset</t>
  </si>
  <si>
    <t>Length Variant</t>
  </si>
  <si>
    <t>Width Variant</t>
  </si>
  <si>
    <t>&lt; 250 kN/m2 Hence O.K.</t>
  </si>
  <si>
    <t>Stress</t>
  </si>
  <si>
    <t>Average Height Of Bridge</t>
  </si>
  <si>
    <t>** Needs Rational Evaluation w.r.t. afflux.</t>
  </si>
  <si>
    <t>** Average of GL for points lying below HFL.</t>
  </si>
  <si>
    <t>CROSS SECTION OF RIVER AT PROPOSED BRIDGE SITE</t>
  </si>
  <si>
    <t>Lowest Nala Bed level (NBL)</t>
  </si>
  <si>
    <t>LIVE LOAD CALCULATION :-</t>
  </si>
  <si>
    <t>[1] CLASS  AA TRACKED VEHICLE :-</t>
  </si>
  <si>
    <r>
      <t xml:space="preserve">(a) </t>
    </r>
    <r>
      <rPr>
        <b/>
        <u/>
        <sz val="10"/>
        <rFont val="Arial"/>
        <family val="2"/>
      </rPr>
      <t>Dispersion width along the span</t>
    </r>
  </si>
  <si>
    <t xml:space="preserve"> According to clause 305.13   IRC- 21-2000</t>
  </si>
  <si>
    <t xml:space="preserve"> = Length of Contact   +   2 (Wearing coat + depth of Slab)</t>
  </si>
  <si>
    <t xml:space="preserve"> =</t>
  </si>
  <si>
    <t xml:space="preserve"> + 2 ( 0.075 + 0.775 )</t>
  </si>
  <si>
    <r>
      <t xml:space="preserve">(b) </t>
    </r>
    <r>
      <rPr>
        <b/>
        <u/>
        <sz val="10"/>
        <rFont val="Arial"/>
        <family val="2"/>
      </rPr>
      <t>Dispersion width across the span</t>
    </r>
  </si>
  <si>
    <t xml:space="preserve"> be  =  K  x       ( 1  - x/Le )   +bw</t>
  </si>
  <si>
    <t>K  =  A Constant having the value depending upon the ratio</t>
  </si>
  <si>
    <t>(L1/Le  where.</t>
  </si>
  <si>
    <t>be = the effective width of the slab on which the load acts.</t>
  </si>
  <si>
    <t>Le  = Effective  Span</t>
  </si>
  <si>
    <t>x   = the distance of c.g. of concentrate load from the near support</t>
  </si>
  <si>
    <t>bw    =   The breadth of concentration area of the load i.e. Dimension of</t>
  </si>
  <si>
    <t xml:space="preserve">              the tyre or track contact area over the road surface </t>
  </si>
  <si>
    <t>Heve ,</t>
  </si>
  <si>
    <t>Le  =  10.00 M     &amp;  L1   = 7.00 M</t>
  </si>
  <si>
    <r>
      <t xml:space="preserve">  =  </t>
    </r>
    <r>
      <rPr>
        <u/>
        <sz val="10"/>
        <rFont val="Arial"/>
        <family val="2"/>
      </rPr>
      <t>L1</t>
    </r>
  </si>
  <si>
    <t xml:space="preserve">      Le</t>
  </si>
  <si>
    <t>Value  of    K   =</t>
  </si>
  <si>
    <t>bw   =</t>
  </si>
  <si>
    <t>0.85 + 2 x 0.075</t>
  </si>
  <si>
    <t xml:space="preserve"> = 1.0 M</t>
  </si>
  <si>
    <r>
      <t xml:space="preserve"> X    =    </t>
    </r>
    <r>
      <rPr>
        <u/>
        <sz val="10"/>
        <rFont val="Arial"/>
        <family val="2"/>
      </rPr>
      <t>L</t>
    </r>
  </si>
  <si>
    <t>5.0 M</t>
  </si>
  <si>
    <t xml:space="preserve"> be =     2.4 x 4</t>
  </si>
  <si>
    <t>( 1 - 5/10)</t>
  </si>
  <si>
    <t xml:space="preserve">          =</t>
  </si>
  <si>
    <t>Impact factor is  13.75%   as pere IRC Section-II, Clause - 211-3 (a) (i)</t>
  </si>
  <si>
    <t>DISPERSION ACROSS SPAN (CLASS AA TRACKED VEHICAL)</t>
  </si>
  <si>
    <t>The tracked vehicle is placed at a distance of minimum clearence of 1-2 m from Kerb</t>
  </si>
  <si>
    <t xml:space="preserve"> Dispersion across span </t>
  </si>
  <si>
    <t xml:space="preserve"> = C/C distance between wheels </t>
  </si>
  <si>
    <t xml:space="preserve">    + width from centre of wheel on clearence side</t>
  </si>
  <si>
    <t xml:space="preserve">    + Least on other side or halp the dispersion of one wheel.</t>
  </si>
  <si>
    <t xml:space="preserve"> = 2.05 + 1.93  + Least of 2.715 OR  5.8/2</t>
  </si>
  <si>
    <t xml:space="preserve"> = 2.05 + 1.93  + 2.715</t>
  </si>
  <si>
    <t xml:space="preserve"> = 6.695</t>
  </si>
  <si>
    <t xml:space="preserve">Impact factor = 1.1375 </t>
  </si>
  <si>
    <t xml:space="preserve"> Total load with impact</t>
  </si>
  <si>
    <t>= 70   x    1.1375</t>
  </si>
  <si>
    <t xml:space="preserve"> =     79.63 T</t>
  </si>
  <si>
    <t xml:space="preserve"> = Intensity of Load</t>
  </si>
  <si>
    <t>T/M</t>
  </si>
  <si>
    <t>5.30 x 6.695</t>
  </si>
  <si>
    <t>Maximum Reaction</t>
  </si>
  <si>
    <t>For Maximum reaction at support the Centre of gravity of the loads should be adjacent to one support should be adjacent to one support</t>
  </si>
  <si>
    <r>
      <t>Reaction R</t>
    </r>
    <r>
      <rPr>
        <vertAlign val="subscript"/>
        <sz val="10"/>
        <rFont val="Arial"/>
        <family val="2"/>
      </rPr>
      <t>A</t>
    </r>
    <r>
      <rPr>
        <sz val="10"/>
        <rFont val="Arial"/>
      </rPr>
      <t>= 2.24x 3.00 x 1.50 /10.00</t>
    </r>
  </si>
  <si>
    <t>T</t>
  </si>
  <si>
    <r>
      <t>Reaction R</t>
    </r>
    <r>
      <rPr>
        <vertAlign val="subscript"/>
        <sz val="10"/>
        <rFont val="Arial"/>
        <family val="2"/>
      </rPr>
      <t>B</t>
    </r>
    <r>
      <rPr>
        <sz val="10"/>
        <rFont val="Arial"/>
      </rPr>
      <t>= 2.24x 3.00 -1.01</t>
    </r>
  </si>
  <si>
    <t>DISPERSION ALONG SPAN (CLASS AA TRACKED VEHICLE)</t>
  </si>
  <si>
    <t>(a) Dispersion width along the span :-</t>
  </si>
  <si>
    <t xml:space="preserve">  tp  =</t>
  </si>
  <si>
    <t>tc   =  2  (tw + ts )</t>
  </si>
  <si>
    <t xml:space="preserve">  tp  =  </t>
  </si>
  <si>
    <r>
      <t xml:space="preserve">width of dispersion </t>
    </r>
    <r>
      <rPr>
        <sz val="10"/>
        <color indexed="10"/>
        <rFont val="Arial"/>
        <family val="2"/>
      </rPr>
      <t xml:space="preserve">parallel </t>
    </r>
    <r>
      <rPr>
        <sz val="10"/>
        <rFont val="Arial"/>
      </rPr>
      <t xml:space="preserve">to span </t>
    </r>
  </si>
  <si>
    <t xml:space="preserve">  tc  = </t>
  </si>
  <si>
    <r>
      <t xml:space="preserve">width of tyre contact area </t>
    </r>
    <r>
      <rPr>
        <sz val="10"/>
        <color indexed="10"/>
        <rFont val="Arial"/>
        <family val="2"/>
      </rPr>
      <t xml:space="preserve">parallel </t>
    </r>
    <r>
      <rPr>
        <sz val="10"/>
        <rFont val="Arial"/>
      </rPr>
      <t>to span</t>
    </r>
  </si>
  <si>
    <t xml:space="preserve">  ts  =</t>
  </si>
  <si>
    <t>Overall depth of slab</t>
  </si>
  <si>
    <t xml:space="preserve"> tw  =</t>
  </si>
  <si>
    <t>Thickness</t>
  </si>
  <si>
    <t>of Wearing coat</t>
  </si>
  <si>
    <t>Dispersion along the span</t>
  </si>
  <si>
    <t xml:space="preserve"> = 0.15  +  2 ( 0.075 + 0.775 )</t>
  </si>
  <si>
    <t xml:space="preserve"> Dispersion between two wheel is overlapping hence restricted to 1-2 M</t>
  </si>
  <si>
    <t xml:space="preserve"> = Dispersion combined for two wheels </t>
  </si>
  <si>
    <t xml:space="preserve"> = C/c distance between  +   </t>
  </si>
  <si>
    <t>Longitudinal</t>
  </si>
  <si>
    <t xml:space="preserve">    two wheels</t>
  </si>
  <si>
    <t>dispersion</t>
  </si>
  <si>
    <t xml:space="preserve">  = 1-2</t>
  </si>
  <si>
    <t xml:space="preserve"> =  3.1 M</t>
  </si>
  <si>
    <t>( along the span )</t>
  </si>
  <si>
    <t>1.90 x 5.30</t>
  </si>
  <si>
    <r>
      <t>Reaction R</t>
    </r>
    <r>
      <rPr>
        <vertAlign val="subscript"/>
        <sz val="10"/>
        <rFont val="Arial"/>
        <family val="2"/>
      </rPr>
      <t>A</t>
    </r>
    <r>
      <rPr>
        <sz val="10"/>
        <rFont val="Arial"/>
      </rPr>
      <t>= 7.91x 3.00 x 1.50 /10.00</t>
    </r>
  </si>
  <si>
    <r>
      <t>Reaction R</t>
    </r>
    <r>
      <rPr>
        <vertAlign val="subscript"/>
        <sz val="10"/>
        <rFont val="Arial"/>
        <family val="2"/>
      </rPr>
      <t>B</t>
    </r>
    <r>
      <rPr>
        <sz val="10"/>
        <rFont val="Arial"/>
      </rPr>
      <t>= 7.91x 3.00 -3.56</t>
    </r>
  </si>
  <si>
    <t>DESIGN OF PIER CAP :-</t>
  </si>
  <si>
    <t>D.L./ M Width  along bridge</t>
  </si>
  <si>
    <t xml:space="preserve">DL.  Of Slab = </t>
  </si>
  <si>
    <t>x.</t>
  </si>
  <si>
    <t xml:space="preserve">D.L. of Wearing coat = </t>
  </si>
  <si>
    <t xml:space="preserve">  D.L. of Slab &amp; Wearing coat on half of the pier </t>
  </si>
  <si>
    <t xml:space="preserve">   L.L. on Pier cap including impact along bridge </t>
  </si>
  <si>
    <t xml:space="preserve">     =</t>
  </si>
  <si>
    <t xml:space="preserve">   (Refer   Live Load Computation)</t>
  </si>
  <si>
    <t xml:space="preserve">    Dispersion width across the span for</t>
  </si>
  <si>
    <t xml:space="preserve">    70 T TRACKED VEHTCLE </t>
  </si>
  <si>
    <t xml:space="preserve">    =</t>
  </si>
  <si>
    <t xml:space="preserve">   ( Refer Solid slab  design    page SS-16) </t>
  </si>
  <si>
    <t xml:space="preserve">    Live Load u.d.l. on Pier    </t>
  </si>
  <si>
    <t>Per M width</t>
  </si>
  <si>
    <t xml:space="preserve">    Total Load on Half    =</t>
  </si>
  <si>
    <t xml:space="preserve">    of pier along bridge </t>
  </si>
  <si>
    <t xml:space="preserve">   Per M width</t>
  </si>
  <si>
    <t>Effective depth of slab =90-2.5-2.5/2 =</t>
  </si>
  <si>
    <t>cm</t>
  </si>
  <si>
    <t>Placement of the live load at effective depth from the support ( taking support width 750 mm)</t>
  </si>
  <si>
    <t>Eccentricity = 71.25 -75/2</t>
  </si>
  <si>
    <t xml:space="preserve">     Bending Moment along the bridge  =</t>
  </si>
  <si>
    <t>T - M/M width</t>
  </si>
  <si>
    <t>kN-M/M width</t>
  </si>
  <si>
    <t xml:space="preserve">    This moment is too small hence it will not/be the governing  B.M.</t>
  </si>
  <si>
    <t>Moment in pier cap</t>
  </si>
  <si>
    <t>M30</t>
  </si>
  <si>
    <t>Adopt spacing as 100 mm</t>
  </si>
  <si>
    <t>Provide  Bars Of Dia And Spacing for Bottom Steel</t>
  </si>
  <si>
    <t>PIER SECTION ACROSS BRIDGE</t>
  </si>
  <si>
    <t>DEAD LOAD MOMENT PER METRE Width  across bridge :-</t>
  </si>
  <si>
    <t>Slab   D.L.</t>
  </si>
  <si>
    <t xml:space="preserve">D.L. of Slab &amp; Wearing coat on half of the pier </t>
  </si>
  <si>
    <t>T/ M width</t>
  </si>
  <si>
    <t xml:space="preserve">L.L on pier </t>
  </si>
  <si>
    <t xml:space="preserve">  = </t>
  </si>
  <si>
    <t xml:space="preserve">Dispersion width along the span for </t>
  </si>
  <si>
    <t>70 T Tracked vehical</t>
  </si>
  <si>
    <t xml:space="preserve"> L.L. . per M  width on pier   =      </t>
  </si>
  <si>
    <t>Total D.L. + L.L. on half of  Pier across</t>
  </si>
  <si>
    <t>bridge per M width</t>
  </si>
  <si>
    <t>The Live Load is with clearance from the Footpath and kerb. The cantilever portion of pier cap and width of footpath is 1500 mm</t>
  </si>
  <si>
    <t>Hence There is no eccentricity.</t>
  </si>
  <si>
    <t xml:space="preserve">     Bending Moment across the bridge  =</t>
  </si>
  <si>
    <t>Provide Minimum  steel</t>
  </si>
  <si>
    <t>Minimum Reinforcement calculation for Pier cap :-</t>
  </si>
  <si>
    <t xml:space="preserve"> As per clause 710.8.2, IRC- 78 - 2000, the thickness of pier</t>
  </si>
  <si>
    <t xml:space="preserve"> cap shall be at least 200 mm  However the thickness </t>
  </si>
  <si>
    <t xml:space="preserve"> of Pier cap here is 1200 MM.</t>
  </si>
  <si>
    <t xml:space="preserve"> Grade of Concrete  M 30</t>
  </si>
  <si>
    <t>Minimum Shrinkage and Temperature reinforcement required as per Clause 305.10 IRC 21-2000</t>
  </si>
  <si>
    <t>in any RC structure is 250 Sq mm per m in each direction. Allowable maximum spacing is 300 mm.</t>
  </si>
  <si>
    <t>Shrinkage and Temperature reinforcement required =</t>
  </si>
  <si>
    <t>Provide 25 mm tor reiforcement @ 100 mm c/c ( 14 Nos.) in top along the pier cap</t>
  </si>
  <si>
    <t>Provide 16 mm tor reiforcement @ 100 mm c/c ( 14 Nos.) in bottom along the pier cap</t>
  </si>
  <si>
    <t>Area of Steel Provided at top</t>
  </si>
  <si>
    <t>= (14x 491)</t>
  </si>
  <si>
    <r>
      <t xml:space="preserve"> &gt; 300 mm</t>
    </r>
    <r>
      <rPr>
        <vertAlign val="superscript"/>
        <sz val="10"/>
        <rFont val="Arial"/>
        <family val="2"/>
      </rPr>
      <t>2</t>
    </r>
    <r>
      <rPr>
        <sz val="10"/>
        <rFont val="Arial"/>
      </rPr>
      <t xml:space="preserve"> </t>
    </r>
  </si>
  <si>
    <t>OK</t>
  </si>
  <si>
    <t>Area of Steel Provided at bottom</t>
  </si>
  <si>
    <t>= (14x 201)</t>
  </si>
  <si>
    <t>CHECK FOR SHEAR ALONG BRIDGE DIRECTION</t>
  </si>
  <si>
    <t xml:space="preserve">V =  </t>
  </si>
  <si>
    <t>HOWEVER</t>
  </si>
  <si>
    <t xml:space="preserve">Provide 16 mm tor 2 legged vertical stirrups @ 100 mm centre to centre along the pier cap </t>
  </si>
  <si>
    <t>Provide 16 mm tor 2 legged horizontal stirrups @ 100 mm centre to centre along the pier cap</t>
  </si>
  <si>
    <t xml:space="preserve"> SHEAR CHECK ACROSS BRIDGE  DIRECTION </t>
  </si>
  <si>
    <t>&gt; Actual Shear Stress hence No Shear Reinforcement is required.</t>
  </si>
  <si>
    <t>Deck Level</t>
  </si>
  <si>
    <t>Foundation Level</t>
  </si>
  <si>
    <t>Thickness of Deck Slab</t>
  </si>
  <si>
    <t>Thickness of Approach Slab</t>
  </si>
  <si>
    <t>Height below Approach Slab</t>
  </si>
  <si>
    <t>Length of Heel projection</t>
  </si>
  <si>
    <t>Offset</t>
  </si>
  <si>
    <t>Length of Toe projection</t>
  </si>
  <si>
    <t>Width of Stem</t>
  </si>
  <si>
    <t>Thickness of Abutment Cap</t>
  </si>
  <si>
    <t>Thickness of Dirt Wall</t>
  </si>
  <si>
    <t>Depth of Footing</t>
  </si>
  <si>
    <t xml:space="preserve">RL </t>
  </si>
  <si>
    <t>APPROACH SLAB</t>
  </si>
  <si>
    <t>DIRT WALL</t>
  </si>
  <si>
    <t>DECK SLAB</t>
  </si>
  <si>
    <t>PIER CAP</t>
  </si>
  <si>
    <t>HEEL</t>
  </si>
  <si>
    <t>TOE</t>
  </si>
  <si>
    <t>TYPICAL SECTION OF THE ABUTMENT  TYPABUT-01</t>
  </si>
  <si>
    <t>Design of ABUTMENT</t>
  </si>
  <si>
    <t>(a) Data</t>
  </si>
  <si>
    <t>Preliminary dimensions</t>
  </si>
  <si>
    <r>
      <t xml:space="preserve">: Assumed as in Fig. </t>
    </r>
    <r>
      <rPr>
        <b/>
        <sz val="12"/>
        <rFont val="Arial"/>
        <family val="2"/>
      </rPr>
      <t>TYPABUT-01</t>
    </r>
  </si>
  <si>
    <t>Superstructure</t>
  </si>
  <si>
    <t xml:space="preserve">: RCC Slab Bridge </t>
  </si>
  <si>
    <t xml:space="preserve">Total Width of Slab = </t>
  </si>
  <si>
    <t xml:space="preserve"> overall length = 8.80 m</t>
  </si>
  <si>
    <t xml:space="preserve">Type of abutment </t>
  </si>
  <si>
    <t>: Reinforced concrete</t>
  </si>
  <si>
    <t>Loading</t>
  </si>
  <si>
    <t>: As for National Highway</t>
  </si>
  <si>
    <t>Back fill</t>
  </si>
  <si>
    <t xml:space="preserve">: Gravel with angle of repose     Φ = </t>
  </si>
  <si>
    <t>o</t>
  </si>
  <si>
    <t xml:space="preserve">Unit weight of back fill, w = </t>
  </si>
  <si>
    <t>kN/m3</t>
  </si>
  <si>
    <t>Angle of internal friction of soil on wall, z =</t>
  </si>
  <si>
    <t>Approach slab</t>
  </si>
  <si>
    <t>: R.C. slab 300 mm thick, adequately reinforced</t>
  </si>
  <si>
    <t>Load from superstructure per running foot of abutment wall:</t>
  </si>
  <si>
    <t>Dead load</t>
  </si>
  <si>
    <t>kN/m</t>
  </si>
  <si>
    <t>Live load</t>
  </si>
  <si>
    <t>(Refer Stability Analysis for sub structure. The above two values are obtained from the calculations for superstructure, and are taken to act over a width of 15 m).</t>
  </si>
  <si>
    <t>Bearing : Tar Paper Bearings</t>
  </si>
  <si>
    <t>(C) Self weight of abutment</t>
  </si>
  <si>
    <t>Treating the section as composed of 6   elements as shown in Fig. 1the weight of each element and moment about the point O on the front toe are computed as in Table 1</t>
  </si>
  <si>
    <t>(d) Longitudinal forces</t>
  </si>
  <si>
    <t xml:space="preserve">    (i) </t>
  </si>
  <si>
    <t>Force due to braking</t>
  </si>
  <si>
    <t xml:space="preserve">Force due to 70 R wheeled vehicle = </t>
  </si>
  <si>
    <t>This force acts at 1.2 m above the road level(Clause 214.3).</t>
  </si>
  <si>
    <t>Force on   one abutment wall =</t>
  </si>
  <si>
    <t>Horizontal force per m of wall =</t>
  </si>
  <si>
    <t>kN/ m</t>
  </si>
  <si>
    <t>(ii)</t>
  </si>
  <si>
    <t>Force due to temperature variation and shrinkage</t>
  </si>
  <si>
    <t xml:space="preserve">Assuming moderate climate, variation in temperature is taken as + </t>
  </si>
  <si>
    <t>oC as per</t>
  </si>
  <si>
    <t>Clause 218.5 of Bridge Code.</t>
  </si>
  <si>
    <t>Coefficient of Thermal expansion =</t>
  </si>
  <si>
    <r>
      <t>/</t>
    </r>
    <r>
      <rPr>
        <vertAlign val="superscript"/>
        <sz val="12"/>
        <rFont val="Arial"/>
        <family val="2"/>
      </rPr>
      <t>o</t>
    </r>
    <r>
      <rPr>
        <sz val="12"/>
        <rFont val="Arial"/>
        <family val="2"/>
      </rPr>
      <t>C</t>
    </r>
  </si>
  <si>
    <t xml:space="preserve">Strain due to temperature variation    = </t>
  </si>
  <si>
    <t xml:space="preserve">From Clause 220.3, strain due to concrete shrinkage = </t>
  </si>
  <si>
    <t xml:space="preserve">Total strain due to temperature and shrinkage = </t>
  </si>
  <si>
    <t xml:space="preserve">Horizontal deformation of deck due to temperature and shrinkage affecting one abutment = </t>
  </si>
  <si>
    <t>/2 =</t>
  </si>
  <si>
    <t>Modulus of Elasticity Ec =</t>
  </si>
  <si>
    <r>
      <t>5000x fck</t>
    </r>
    <r>
      <rPr>
        <vertAlign val="superscript"/>
        <sz val="10"/>
        <rFont val="Arial"/>
        <family val="2"/>
      </rPr>
      <t>1/2</t>
    </r>
  </si>
  <si>
    <t>Horizontal Stress due to strain in longitudinal direction at bearing level =</t>
  </si>
  <si>
    <t>Horizontal Force due to strain in longitudinal direction at bearing level (For 1 m width of Slab) =</t>
  </si>
  <si>
    <t>N/m</t>
  </si>
  <si>
    <t>(iii)</t>
  </si>
  <si>
    <t>Vertical reaction   due to braking</t>
  </si>
  <si>
    <t xml:space="preserve">                                                              200(1.2 + 0.975)      </t>
  </si>
  <si>
    <t xml:space="preserve">Vertical reaction at one abutment = ---------------------- </t>
  </si>
  <si>
    <t xml:space="preserve">                                                              11.10x15</t>
  </si>
  <si>
    <t>(d)Earth pressure</t>
  </si>
  <si>
    <r>
      <t>Active earth  pressure P = 0.5 wh</t>
    </r>
    <r>
      <rPr>
        <vertAlign val="superscript"/>
        <sz val="12"/>
        <rFont val="Arial"/>
        <family val="2"/>
      </rPr>
      <t>2</t>
    </r>
    <r>
      <rPr>
        <sz val="12"/>
        <rFont val="Arial"/>
        <family val="2"/>
      </rPr>
      <t xml:space="preserve"> K</t>
    </r>
    <r>
      <rPr>
        <vertAlign val="subscript"/>
        <sz val="12"/>
        <rFont val="Arial"/>
        <family val="2"/>
      </rPr>
      <t>a</t>
    </r>
  </si>
  <si>
    <r>
      <t>where    K</t>
    </r>
    <r>
      <rPr>
        <vertAlign val="subscript"/>
        <sz val="12"/>
        <rFont val="Arial"/>
        <family val="2"/>
      </rPr>
      <t>a</t>
    </r>
    <r>
      <rPr>
        <sz val="12"/>
        <rFont val="Arial"/>
        <family val="2"/>
      </rPr>
      <t xml:space="preserve"> is obtained from Equation (3.5)</t>
    </r>
  </si>
  <si>
    <r>
      <t>K</t>
    </r>
    <r>
      <rPr>
        <vertAlign val="subscript"/>
        <sz val="12"/>
        <rFont val="Arial"/>
        <family val="2"/>
      </rPr>
      <t>a</t>
    </r>
    <r>
      <rPr>
        <sz val="12"/>
        <rFont val="Arial"/>
        <family val="2"/>
      </rPr>
      <t xml:space="preserve"> = secΘ sin(Θ-Φ)/[(sin(Θ+z)</t>
    </r>
    <r>
      <rPr>
        <vertAlign val="superscript"/>
        <sz val="12"/>
        <rFont val="Arial"/>
        <family val="2"/>
      </rPr>
      <t>1/2</t>
    </r>
    <r>
      <rPr>
        <sz val="12"/>
        <rFont val="Arial"/>
        <family val="2"/>
      </rPr>
      <t xml:space="preserve"> +{sin(Φ+z) sin(Φ-δ)/sin(Θ-δ)}</t>
    </r>
    <r>
      <rPr>
        <vertAlign val="superscript"/>
        <sz val="12"/>
        <rFont val="Arial"/>
        <family val="2"/>
      </rPr>
      <t>1/2]</t>
    </r>
  </si>
  <si>
    <t>Where P= Total active pressure, acting at a height of 0.42 h inclined at z to the normal to the wall on the earth side</t>
  </si>
  <si>
    <t>w = unit weight of earth fill</t>
  </si>
  <si>
    <t>h = height of wall</t>
  </si>
  <si>
    <t>Θ = Angle subtended by the earthside wall with thw horizontal on the earth side</t>
  </si>
  <si>
    <t>Φ = Angle of internal friction of the earthfill</t>
  </si>
  <si>
    <t>z = angle of friction of the earthside wall with the earth</t>
  </si>
  <si>
    <t>δ = Inclination of earthfill surface with the horizontal</t>
  </si>
  <si>
    <t>Θ =</t>
  </si>
  <si>
    <t>Φ =</t>
  </si>
  <si>
    <t>z =</t>
  </si>
  <si>
    <t>δ =</t>
  </si>
  <si>
    <r>
      <t>Substituting values in Equation (3.5), we get K</t>
    </r>
    <r>
      <rPr>
        <vertAlign val="subscript"/>
        <sz val="12"/>
        <rFont val="Arial"/>
        <family val="2"/>
      </rPr>
      <t>a</t>
    </r>
    <r>
      <rPr>
        <sz val="12"/>
        <rFont val="Arial"/>
        <family val="2"/>
      </rPr>
      <t xml:space="preserve"> = </t>
    </r>
  </si>
  <si>
    <t>Coefficient</t>
  </si>
  <si>
    <t xml:space="preserve">Height of backfill below  approach   slab = </t>
  </si>
  <si>
    <t xml:space="preserve">Active  earth pressure = </t>
  </si>
  <si>
    <r>
      <t>2</t>
    </r>
    <r>
      <rPr>
        <sz val="10"/>
        <rFont val="Arial"/>
        <family val="2"/>
      </rPr>
      <t xml:space="preserve"> x</t>
    </r>
  </si>
  <si>
    <t>Height above base of centre of pressure =</t>
  </si>
  <si>
    <t>Passive pressure in front of toe slab is neglected.</t>
  </si>
  <si>
    <t>(e) Live load surcharge and approach slab</t>
  </si>
  <si>
    <t>Equivalent height of earth for live load surcharge as per clause 714.4  is 1.20 m</t>
  </si>
  <si>
    <t>Horizontal force   due to L.L. surcharge =1.2 x 18 x 0.496 x 9.20 =</t>
  </si>
  <si>
    <t>Horizontal force   due to approach slab = 0.3 x 24 x 0.496 x 9.20 =</t>
  </si>
  <si>
    <t xml:space="preserve">The above two forces act at </t>
  </si>
  <si>
    <t>m  above the base.</t>
  </si>
  <si>
    <t>Vertical load due to L.L. surcharge and approach slab</t>
  </si>
  <si>
    <t>(f) Weight of earth on heel  slab</t>
  </si>
  <si>
    <t xml:space="preserve">Vertical load = </t>
  </si>
  <si>
    <t>(g) Check for stability - overturning</t>
  </si>
  <si>
    <t>The   forces and their position are as shown in Fig. 1</t>
  </si>
  <si>
    <t>The forces and moments about the point O at toe on the base are tabulated as in</t>
  </si>
  <si>
    <t>Table 1 Two cases of lading condition are  examined (i) Span loaded condition  and  (ii) Span unloaded  condition.</t>
  </si>
  <si>
    <t>Case (i) Span loaded condition</t>
  </si>
  <si>
    <t>See Row 15 of Table 12.3</t>
  </si>
  <si>
    <t>Overturning moment about toe =</t>
  </si>
  <si>
    <t xml:space="preserve">Restoring moment about toe = </t>
  </si>
  <si>
    <t xml:space="preserve">Factor of safety against overturning = </t>
  </si>
  <si>
    <t xml:space="preserve">Location of Resultant from O </t>
  </si>
  <si>
    <t>&gt; 1.5 Hence Safe</t>
  </si>
  <si>
    <r>
      <t>X</t>
    </r>
    <r>
      <rPr>
        <vertAlign val="subscript"/>
        <sz val="12"/>
        <rFont val="Arial"/>
        <family val="2"/>
      </rPr>
      <t>0</t>
    </r>
    <r>
      <rPr>
        <sz val="12"/>
        <rFont val="Arial"/>
        <family val="2"/>
      </rPr>
      <t xml:space="preserve"> = ( M</t>
    </r>
    <r>
      <rPr>
        <vertAlign val="subscript"/>
        <sz val="12"/>
        <rFont val="Arial"/>
        <family val="2"/>
      </rPr>
      <t>V</t>
    </r>
    <r>
      <rPr>
        <sz val="12"/>
        <rFont val="Arial"/>
        <family val="2"/>
      </rPr>
      <t xml:space="preserve"> - M</t>
    </r>
    <r>
      <rPr>
        <vertAlign val="subscript"/>
        <sz val="12"/>
        <rFont val="Arial"/>
        <family val="2"/>
      </rPr>
      <t>H</t>
    </r>
    <r>
      <rPr>
        <sz val="12"/>
        <rFont val="Arial"/>
        <family val="2"/>
      </rPr>
      <t>) / V= ( 1740.9 - 623.1) / 691.4 = 1.62 m</t>
    </r>
  </si>
  <si>
    <t>Eccentricity of resultant</t>
  </si>
  <si>
    <r>
      <t>e</t>
    </r>
    <r>
      <rPr>
        <vertAlign val="subscript"/>
        <sz val="12"/>
        <rFont val="Arial"/>
        <family val="2"/>
      </rPr>
      <t>max</t>
    </r>
    <r>
      <rPr>
        <sz val="12"/>
        <rFont val="Arial"/>
        <family val="2"/>
      </rPr>
      <t xml:space="preserve"> = B/6 = </t>
    </r>
  </si>
  <si>
    <t>/6 =</t>
  </si>
  <si>
    <r>
      <t>e  = (B/2 -X</t>
    </r>
    <r>
      <rPr>
        <vertAlign val="subscript"/>
        <sz val="12"/>
        <rFont val="Arial"/>
        <family val="2"/>
      </rPr>
      <t xml:space="preserve">0) </t>
    </r>
    <r>
      <rPr>
        <sz val="12"/>
        <rFont val="Arial"/>
        <family val="2"/>
      </rPr>
      <t>= 0.78 m &lt; 0.80 m</t>
    </r>
  </si>
  <si>
    <t>&lt;</t>
  </si>
  <si>
    <t>Case (ii) Span   unloaded condition</t>
  </si>
  <si>
    <t>See Row 11 of Table 12.3</t>
  </si>
  <si>
    <r>
      <t>X</t>
    </r>
    <r>
      <rPr>
        <vertAlign val="subscript"/>
        <sz val="12"/>
        <rFont val="Arial"/>
        <family val="2"/>
      </rPr>
      <t>0</t>
    </r>
    <r>
      <rPr>
        <sz val="12"/>
        <rFont val="Arial"/>
        <family val="2"/>
      </rPr>
      <t xml:space="preserve"> = ( M</t>
    </r>
    <r>
      <rPr>
        <vertAlign val="subscript"/>
        <sz val="12"/>
        <rFont val="Arial"/>
        <family val="2"/>
      </rPr>
      <t>V</t>
    </r>
    <r>
      <rPr>
        <sz val="12"/>
        <rFont val="Arial"/>
        <family val="2"/>
      </rPr>
      <t xml:space="preserve"> - M</t>
    </r>
    <r>
      <rPr>
        <vertAlign val="subscript"/>
        <sz val="12"/>
        <rFont val="Arial"/>
        <family val="2"/>
      </rPr>
      <t>H</t>
    </r>
    <r>
      <rPr>
        <sz val="12"/>
        <rFont val="Arial"/>
        <family val="2"/>
      </rPr>
      <t xml:space="preserve">) / V= </t>
    </r>
  </si>
  <si>
    <t>(h)Check for stresses at base</t>
  </si>
  <si>
    <t>For Span loaded condition</t>
  </si>
  <si>
    <t xml:space="preserve">Total downward forces = </t>
  </si>
  <si>
    <t xml:space="preserve">              6 x 0.78</t>
  </si>
  <si>
    <t xml:space="preserve">Extreme stresses at base =     </t>
  </si>
  <si>
    <t>Maximum Stress =</t>
  </si>
  <si>
    <t>kN/m2</t>
  </si>
  <si>
    <t>Minimum Stress =</t>
  </si>
  <si>
    <t>Table 1  Forces and Moments  About Base for Abutment.</t>
  </si>
  <si>
    <t>SI.</t>
  </si>
  <si>
    <t>Details</t>
  </si>
  <si>
    <t>Force, kN</t>
  </si>
  <si>
    <t>Moment about O, kn-m</t>
  </si>
  <si>
    <t>No.</t>
  </si>
  <si>
    <t>H</t>
  </si>
  <si>
    <t>Arm</t>
  </si>
  <si>
    <t>Mv</t>
  </si>
  <si>
    <r>
      <t>M</t>
    </r>
    <r>
      <rPr>
        <vertAlign val="subscript"/>
        <sz val="12"/>
        <rFont val="Arial"/>
        <family val="2"/>
      </rPr>
      <t>H</t>
    </r>
  </si>
  <si>
    <t>D.L. from superstructure</t>
  </si>
  <si>
    <t>Horizontal force due to temperatre and shrinkage</t>
  </si>
  <si>
    <t>Active earth pressure</t>
  </si>
  <si>
    <t>Horizontal force due to L.L surcharge and approach slab</t>
  </si>
  <si>
    <t>Vertical load due to L.L.</t>
  </si>
  <si>
    <t>surcharge and approach slab</t>
  </si>
  <si>
    <t>6.</t>
  </si>
  <si>
    <t>Self weight - part 1</t>
  </si>
  <si>
    <t>7.</t>
  </si>
  <si>
    <t>Self weight - part 2</t>
  </si>
  <si>
    <t>8.</t>
  </si>
  <si>
    <t>Self weight - part 3</t>
  </si>
  <si>
    <t>1.68</t>
  </si>
  <si>
    <t>9.</t>
  </si>
  <si>
    <t>Self weight - part 4</t>
  </si>
  <si>
    <t>2.05</t>
  </si>
  <si>
    <t>Self weight - part 5 Triangular River Side</t>
  </si>
  <si>
    <t>Self weight - part 5 Triangular Earth Fill Side</t>
  </si>
  <si>
    <t>10.</t>
  </si>
  <si>
    <t>Weight of earth on heel slab part 1 Rectangular Portion</t>
  </si>
  <si>
    <t>Weight of earth on heel slab part 2 Triangular Portion</t>
  </si>
  <si>
    <t>11.</t>
  </si>
  <si>
    <t xml:space="preserve">   Items 1 to 10</t>
  </si>
  <si>
    <t xml:space="preserve">   (Span unloaded condition)</t>
  </si>
  <si>
    <t>12.</t>
  </si>
  <si>
    <t>L.L. from Superstructure</t>
  </si>
  <si>
    <t xml:space="preserve">   Class 70 R wheeled vehicle</t>
  </si>
  <si>
    <t>13.</t>
  </si>
  <si>
    <t>Vertical force due to braking</t>
  </si>
  <si>
    <t>14.</t>
  </si>
  <si>
    <t>Horizontal force due to braking</t>
  </si>
  <si>
    <t>15.</t>
  </si>
  <si>
    <t xml:space="preserve">  Items 11 to 14</t>
  </si>
  <si>
    <t xml:space="preserve">     (Span loaded condition)</t>
  </si>
  <si>
    <t>NET LONGITUDINAL MOMENT</t>
  </si>
  <si>
    <t xml:space="preserve">Maximum pressure =  </t>
  </si>
  <si>
    <t>kN/m2 &lt;</t>
  </si>
  <si>
    <t>kN/m2 permissible HENCE OK.</t>
  </si>
  <si>
    <t xml:space="preserve">Minimum pressure  =  </t>
  </si>
  <si>
    <t>kN/m2 &gt;0 (No tension) HENCE OK.</t>
  </si>
  <si>
    <t>(i)  Check for sliding</t>
  </si>
  <si>
    <t>See Row 15 of Table 1</t>
  </si>
  <si>
    <t xml:space="preserve">Sliding force = </t>
  </si>
  <si>
    <t xml:space="preserve"> kN</t>
  </si>
  <si>
    <t>Force resisting sliding =</t>
  </si>
  <si>
    <t xml:space="preserve">Factor of Safety against    sliding = </t>
  </si>
  <si>
    <t xml:space="preserve">/ </t>
  </si>
  <si>
    <t>(j) Summary</t>
  </si>
  <si>
    <t>The assumed section of the abutment is adequate.</t>
  </si>
  <si>
    <t xml:space="preserve">DESIGN OF ABUTMENT FOOTING </t>
  </si>
  <si>
    <t>REDISTRIBUTION OF PRESSURE</t>
  </si>
  <si>
    <t>Width of Abutment just above footing</t>
  </si>
  <si>
    <t>Adopt spacing as 150 mm</t>
  </si>
  <si>
    <t xml:space="preserve">REINFORCEMENT CALCULATION IN ABUTMENT SUBMERSIBLE BRIDGE  </t>
  </si>
  <si>
    <t>Shrinkage and Temperature reinforcement required per metre =</t>
  </si>
  <si>
    <t>mm dia</t>
  </si>
  <si>
    <t>HORIZONTAL SHRINKAGE &amp;TEMPERATURE REINFORCEMENT</t>
  </si>
  <si>
    <t>In Vertical direction on all FOUR faces</t>
  </si>
  <si>
    <t>VERTICAL SHRINKAGE &amp;TEMPERATURE REINFORCEMENT</t>
  </si>
  <si>
    <t>In Lateral direction on all FOUR faces</t>
  </si>
  <si>
    <t xml:space="preserve">DESIGN OF Abutment CAP SUBMERSIBLE BRIDGE </t>
  </si>
  <si>
    <t>DESIGN OF Abutment CAP :-</t>
  </si>
  <si>
    <t xml:space="preserve">  D.L. of Slab &amp; Wearing coat on half of the Abutment </t>
  </si>
  <si>
    <t xml:space="preserve">   L.L. on Abutment cap including impact along bridge </t>
  </si>
  <si>
    <t xml:space="preserve">    Live Load u.d.l. on Abutment    </t>
  </si>
  <si>
    <t xml:space="preserve">    of Abutment along bridge </t>
  </si>
  <si>
    <t>Moment in Abutment cap</t>
  </si>
  <si>
    <t>Abutment SECTION ACROSS BRIDGE</t>
  </si>
  <si>
    <t xml:space="preserve">D.L. of Slab &amp; Wearing coat on half of the Abutment </t>
  </si>
  <si>
    <t xml:space="preserve">L.L on Abutment </t>
  </si>
  <si>
    <t xml:space="preserve"> L.L. . per M  width on Abutment   =      </t>
  </si>
  <si>
    <t>Total D.L. + L.L. on half of  Abutment across</t>
  </si>
  <si>
    <t>The Live Load is with clearance from the Footpath and kerb. The cantilever portion of Abutment cap and width of footpath is 1500 mm</t>
  </si>
  <si>
    <t>Minimum Reinforcement calculation for Abutment cap :-</t>
  </si>
  <si>
    <t xml:space="preserve"> As per clause 710.8.2, IRC- 78 - 2000, the thickness of Abutment</t>
  </si>
  <si>
    <t xml:space="preserve"> of Abutment cap here is 1200 MM.</t>
  </si>
  <si>
    <t>Provide 25 mm tor reiforcement @ 100 mm c/c ( 14 Nos.) in top along the Abutment cap</t>
  </si>
  <si>
    <t>Provide 16 mm tor reiforcement @ 100 mm c/c ( 14 Nos.) in bottom along the Abutment cap</t>
  </si>
  <si>
    <t xml:space="preserve">Provide 16 mm tor 2 legged vertical stirrups @ 100 mm centre to centre along the Abutment cap </t>
  </si>
  <si>
    <t>Provide 16 mm tor 2 legged horizontal stirrups @ 100 mm centre to centre along the Abutment cap</t>
  </si>
  <si>
    <t>DESIGN OF DIRT WALL AS COLUMN WITH BENDING</t>
  </si>
  <si>
    <t>AXIAL LOAD ON THE DIRT WALL</t>
  </si>
  <si>
    <t>ASSUME WIDTH OF DIRT WALL</t>
  </si>
  <si>
    <t>EMIN/B</t>
  </si>
  <si>
    <t>ASSUME DEPTH OF DIRT WALL</t>
  </si>
  <si>
    <t>EMIN/D</t>
  </si>
  <si>
    <t>MOMENT TRANSFERRED TO DIRT WALL</t>
  </si>
  <si>
    <t>KN-M</t>
  </si>
  <si>
    <t>FACTORED AXIAL LOAD</t>
  </si>
  <si>
    <t>FACTORED MOMENT</t>
  </si>
  <si>
    <t>DIA OF LONGITUDINAL REINFORCEMENT</t>
  </si>
  <si>
    <t>CLEAR COVER</t>
  </si>
  <si>
    <t>d'</t>
  </si>
  <si>
    <t>d'/D</t>
  </si>
  <si>
    <t>ADOPT d'/D</t>
  </si>
  <si>
    <t>PU/FCKBD</t>
  </si>
  <si>
    <r>
      <t>MU/FCKBD</t>
    </r>
    <r>
      <rPr>
        <vertAlign val="superscript"/>
        <sz val="10"/>
        <rFont val="Arial"/>
        <family val="2"/>
      </rPr>
      <t>2</t>
    </r>
  </si>
  <si>
    <r>
      <t xml:space="preserve">REINFORCEMENT EQUALLY DISTRIDUTED ON </t>
    </r>
    <r>
      <rPr>
        <b/>
        <sz val="10"/>
        <rFont val="Arial"/>
        <family val="2"/>
      </rPr>
      <t xml:space="preserve"> TWO</t>
    </r>
    <r>
      <rPr>
        <sz val="10"/>
        <rFont val="Arial"/>
      </rPr>
      <t xml:space="preserve"> SIDES</t>
    </r>
  </si>
  <si>
    <t>USING CHART NO- OF RCC DESIGN AIDS</t>
  </si>
  <si>
    <t>CONC GRADE M-30</t>
  </si>
  <si>
    <t>P/FCK</t>
  </si>
  <si>
    <t>&gt; Minimum Steel 0.2% Hence OK</t>
  </si>
  <si>
    <t>AS</t>
  </si>
  <si>
    <t>SQ MM</t>
  </si>
  <si>
    <t>TOTAL NUMBER OF BARS REQUIRED</t>
  </si>
  <si>
    <t>NUMBER OF BARS ON EACH SIDE</t>
  </si>
  <si>
    <t xml:space="preserve">SPACING </t>
  </si>
  <si>
    <t xml:space="preserve">Alternate design Considering dirt wall as cantilever </t>
  </si>
  <si>
    <t>B.M.</t>
  </si>
  <si>
    <t>deff reqd.   =</t>
  </si>
  <si>
    <r>
      <t xml:space="preserve">10 </t>
    </r>
    <r>
      <rPr>
        <vertAlign val="superscript"/>
        <sz val="10"/>
        <rFont val="Arial"/>
        <family val="2"/>
      </rPr>
      <t>6</t>
    </r>
  </si>
  <si>
    <t>dpro</t>
  </si>
  <si>
    <t>&gt;</t>
  </si>
  <si>
    <t>(OK)</t>
  </si>
  <si>
    <t>Ast</t>
  </si>
  <si>
    <r>
      <t>10</t>
    </r>
    <r>
      <rPr>
        <vertAlign val="superscript"/>
        <sz val="10"/>
        <rFont val="Arial"/>
        <family val="2"/>
      </rPr>
      <t xml:space="preserve"> 6</t>
    </r>
  </si>
  <si>
    <t>This steel is to be provided on back</t>
  </si>
  <si>
    <t xml:space="preserve">i.e. </t>
  </si>
  <si>
    <t>approach slab side</t>
  </si>
  <si>
    <t>Provide Vertical steel as follows</t>
  </si>
  <si>
    <t>On River side 10mm bars @ 150 mm c/c</t>
  </si>
  <si>
    <t>On Approach Slab side 10mm bars @ 150 Mm c/c</t>
  </si>
  <si>
    <t>Minimum steel required in Horizontal direction</t>
  </si>
  <si>
    <r>
      <t>i.e. 250 mm</t>
    </r>
    <r>
      <rPr>
        <vertAlign val="superscript"/>
        <sz val="10"/>
        <rFont val="Arial"/>
        <family val="2"/>
      </rPr>
      <t>2</t>
    </r>
  </si>
  <si>
    <t>on each face</t>
  </si>
  <si>
    <t>provide  10</t>
  </si>
  <si>
    <t>@ 250 mm</t>
  </si>
  <si>
    <t>c/c</t>
  </si>
  <si>
    <t xml:space="preserve">VERTICAL REINFORCEMENT IN SHAPE OF STIRRUPS on both faces </t>
  </si>
  <si>
    <t>DIA</t>
  </si>
  <si>
    <t xml:space="preserve">HORIZONTAL REINFORCEMENT BAR DIA on both faces </t>
  </si>
  <si>
    <t>Design of Dirt Wall</t>
  </si>
  <si>
    <t>Dirt wall is subjected to</t>
  </si>
  <si>
    <t xml:space="preserve">(1) </t>
  </si>
  <si>
    <t xml:space="preserve">(2) </t>
  </si>
  <si>
    <t>Live load surcharge</t>
  </si>
  <si>
    <t>(3)</t>
  </si>
  <si>
    <t>Braking force</t>
  </si>
  <si>
    <t>Earth Pressure</t>
  </si>
  <si>
    <t>1)</t>
  </si>
  <si>
    <t>Consider 70 T tracked vehicle case is</t>
  </si>
  <si>
    <t>governing &amp; 14 T Axle over dirt wall,</t>
  </si>
  <si>
    <r>
      <t xml:space="preserve">Dispersion width at </t>
    </r>
    <r>
      <rPr>
        <sz val="10"/>
        <color indexed="10"/>
        <rFont val="Arial"/>
        <family val="2"/>
      </rPr>
      <t>top of DIRT WALL</t>
    </r>
  </si>
  <si>
    <t>Live Load</t>
  </si>
  <si>
    <t>M Length</t>
  </si>
  <si>
    <t>2)</t>
  </si>
  <si>
    <t>Self wt. of dirt wall</t>
  </si>
  <si>
    <t>Say</t>
  </si>
  <si>
    <t>Total direct loads  =</t>
  </si>
  <si>
    <t xml:space="preserve">Here considering that only 70% of Braking </t>
  </si>
  <si>
    <t>force will be on dirt wall &amp; the</t>
  </si>
  <si>
    <t>rest of braking force will be on  soil.</t>
  </si>
  <si>
    <t>=  Braking force/mt.</t>
  </si>
  <si>
    <t>=  B.M. due to Braking force</t>
  </si>
  <si>
    <t>x       (</t>
  </si>
  <si>
    <t>+   [</t>
  </si>
  <si>
    <t>]  )</t>
  </si>
  <si>
    <r>
      <t xml:space="preserve">Intensity of Earth Pressure </t>
    </r>
    <r>
      <rPr>
        <sz val="10"/>
        <color indexed="10"/>
        <rFont val="Arial"/>
        <family val="2"/>
      </rPr>
      <t>at Deck Level</t>
    </r>
  </si>
  <si>
    <r>
      <t>T/M</t>
    </r>
    <r>
      <rPr>
        <vertAlign val="superscript"/>
        <sz val="10"/>
        <rFont val="Arial"/>
        <family val="2"/>
      </rPr>
      <t>2</t>
    </r>
  </si>
  <si>
    <t>Intensity of Earth Pressure at top of Abutment Cap</t>
  </si>
  <si>
    <t>x    (</t>
  </si>
  <si>
    <t>B.M. due to Earth Pressure &amp; Live Load</t>
  </si>
  <si>
    <t>Surcharge/M width</t>
  </si>
  <si>
    <t>=       (</t>
  </si>
  <si>
    <t>)   X</t>
  </si>
  <si>
    <t xml:space="preserve">  X</t>
  </si>
  <si>
    <r>
      <t xml:space="preserve">Total BM </t>
    </r>
    <r>
      <rPr>
        <sz val="10"/>
        <color indexed="10"/>
        <rFont val="Arial"/>
        <family val="2"/>
      </rPr>
      <t>at top of DIRT WALL</t>
    </r>
  </si>
  <si>
    <t xml:space="preserve">Direct Stress </t>
  </si>
  <si>
    <r>
      <t xml:space="preserve">10 </t>
    </r>
    <r>
      <rPr>
        <vertAlign val="superscript"/>
        <sz val="10"/>
        <rFont val="Arial"/>
        <family val="2"/>
      </rPr>
      <t>3</t>
    </r>
  </si>
  <si>
    <r>
      <t>Kg./Cm</t>
    </r>
    <r>
      <rPr>
        <vertAlign val="superscript"/>
        <sz val="10"/>
        <rFont val="Arial"/>
        <family val="2"/>
      </rPr>
      <t>2</t>
    </r>
  </si>
  <si>
    <t xml:space="preserve">Bending Stress </t>
  </si>
  <si>
    <r>
      <t xml:space="preserve">30 </t>
    </r>
    <r>
      <rPr>
        <vertAlign val="superscript"/>
        <sz val="10"/>
        <rFont val="Arial"/>
        <family val="2"/>
      </rPr>
      <t>2</t>
    </r>
  </si>
  <si>
    <t>For M 30 Grade,</t>
  </si>
  <si>
    <t>Permissible Bending Stress  =</t>
  </si>
  <si>
    <t>Permissible Direct Compressive</t>
  </si>
  <si>
    <t>HENCE OK.</t>
  </si>
  <si>
    <t>DEAD LOAD CALCULATION :-</t>
  </si>
  <si>
    <t>DEPTH OF DECK SLAB =</t>
  </si>
  <si>
    <t>DEPTH OF WEARING COAT =</t>
  </si>
  <si>
    <t>DIA OF MAIN BAR =</t>
  </si>
  <si>
    <t>Clear cover =</t>
  </si>
  <si>
    <t xml:space="preserve">Effective depth of slab deffective  = </t>
  </si>
  <si>
    <t xml:space="preserve">Effective SpanLeffective    =   </t>
  </si>
  <si>
    <t>DESIGN DEAD LOAD :-</t>
  </si>
  <si>
    <t>(1) Weight / Sqm  of Slab</t>
  </si>
  <si>
    <t>T/ Sqm</t>
  </si>
  <si>
    <t>(2) Weight / Sqm  of wearing coat</t>
  </si>
  <si>
    <t>Total DL</t>
  </si>
  <si>
    <t>DEAD LOAD BENDING MOMENT</t>
  </si>
  <si>
    <t xml:space="preserve"> be  =  K  x       ( 1  - x/Le )   + Bw</t>
  </si>
  <si>
    <t>K  =  A Constant having the value depending upon the ratio (be/Le)  where ---</t>
  </si>
  <si>
    <t>Here ,</t>
  </si>
  <si>
    <t>be</t>
  </si>
  <si>
    <t>Le</t>
  </si>
  <si>
    <t>be/Le</t>
  </si>
  <si>
    <t xml:space="preserve">Value  of    K </t>
  </si>
  <si>
    <t>Bw   =</t>
  </si>
  <si>
    <t>0.85 + (2 x 0.075) =</t>
  </si>
  <si>
    <t>Le/2</t>
  </si>
  <si>
    <t xml:space="preserve">be </t>
  </si>
  <si>
    <t>The tracked vehicle is placed at a distance of minimum clearence of 1.2 m from Kerb</t>
  </si>
  <si>
    <t>Dispersion across span = C/C distance between wheels + width from centre of wheel on clearence side</t>
  </si>
  <si>
    <t xml:space="preserve">    + Least on other side or half the dispersion of one wheel.</t>
  </si>
  <si>
    <r>
      <t xml:space="preserve"> = 2.05 + 1.93  + </t>
    </r>
    <r>
      <rPr>
        <b/>
        <sz val="10"/>
        <rFont val="Arial"/>
        <family val="2"/>
      </rPr>
      <t>Least of 3.825 Or  5.6/2</t>
    </r>
  </si>
  <si>
    <t xml:space="preserve"> = 2.05 + 1.93  + 2.8</t>
  </si>
  <si>
    <t>Total load with impact</t>
  </si>
  <si>
    <t>=  70   x    1.1375</t>
  </si>
  <si>
    <t>Intensity of Load</t>
  </si>
  <si>
    <t>/(</t>
  </si>
  <si>
    <t>) =</t>
  </si>
  <si>
    <t xml:space="preserve">Maximum Bending Moment due to Live load , at centre </t>
  </si>
  <si>
    <t xml:space="preserve"> = 5.34  x</t>
  </si>
  <si>
    <t>(10.00  -</t>
  </si>
  <si>
    <t xml:space="preserve">      =</t>
  </si>
  <si>
    <t>T - M</t>
  </si>
  <si>
    <t>Class AA wheeled  vehicle :-</t>
  </si>
  <si>
    <t>For Maximum B.M. at Centre of the span, the Centre of gravity of the loads and</t>
  </si>
  <si>
    <t xml:space="preserve">the centre of the span should coincide </t>
  </si>
  <si>
    <t xml:space="preserve">  tp =  </t>
  </si>
  <si>
    <t xml:space="preserve">  tc = </t>
  </si>
  <si>
    <t xml:space="preserve"> = 0.15  +  2 ( 0.075 + 0.75)</t>
  </si>
  <si>
    <t xml:space="preserve"> Dispersion between two wheel is overlapping hence restricted to 1.2 M</t>
  </si>
  <si>
    <t xml:space="preserve">  = 1.2</t>
  </si>
  <si>
    <t xml:space="preserve"> =  3.0 m</t>
  </si>
  <si>
    <t>DISPERSION ALONG SPAN ( CLASS AA WHEELED VEHICLE )</t>
  </si>
  <si>
    <t>(B) Dispersion width across the span :-</t>
  </si>
  <si>
    <t xml:space="preserve"> be  =  k x ( 1 - X/L )  + w</t>
  </si>
  <si>
    <t xml:space="preserve"> Le  =  10.0 M  &amp; L1  = 7.5 M</t>
  </si>
  <si>
    <t xml:space="preserve">  =</t>
  </si>
  <si>
    <t xml:space="preserve">Value of  </t>
  </si>
  <si>
    <t>K  = 2.4</t>
  </si>
  <si>
    <t xml:space="preserve"> X  =</t>
  </si>
  <si>
    <t>L/2   =   10/2</t>
  </si>
  <si>
    <t xml:space="preserve"> = 5.00 M</t>
  </si>
  <si>
    <t xml:space="preserve">Bw  = </t>
  </si>
  <si>
    <t xml:space="preserve">0.30  +  2 ( 0.075)   =       </t>
  </si>
  <si>
    <t>be  =   2.4 x 5 x ( 1 - 5.00/10.00) + 0.45</t>
  </si>
  <si>
    <t>(For one Wheel )</t>
  </si>
  <si>
    <t>DISPERSION ACROSS THE SPAN (CLASS AA WHEELED HEVHICLE)</t>
  </si>
  <si>
    <t>When the wheel is placed at a distnace of minimum clearance of 1-2 M from Kerb,</t>
  </si>
  <si>
    <t xml:space="preserve">  Combined effective width</t>
  </si>
  <si>
    <t xml:space="preserve"> =  c/c distance between wheels</t>
  </si>
  <si>
    <t xml:space="preserve">      + 1/2 of the dispersion of one wheel</t>
  </si>
  <si>
    <t xml:space="preserve">      + least of available width from centre of wheel on clearance side or half the dispersion</t>
  </si>
  <si>
    <t xml:space="preserve">         of  one wheel </t>
  </si>
  <si>
    <t xml:space="preserve"> =   2.2</t>
  </si>
  <si>
    <r>
      <t xml:space="preserve"> + </t>
    </r>
    <r>
      <rPr>
        <u/>
        <sz val="10"/>
        <rFont val="Arial"/>
        <family val="2"/>
      </rPr>
      <t>6.45</t>
    </r>
  </si>
  <si>
    <t xml:space="preserve"> + Lesser of  1.655 &amp; </t>
  </si>
  <si>
    <t xml:space="preserve"> + 3.225  +   1.655</t>
  </si>
  <si>
    <t>According to clause 211.3  (a) (ii) section-III, IRC 6- 1966</t>
  </si>
  <si>
    <t xml:space="preserve">     Impact factor  =   25%</t>
  </si>
  <si>
    <t xml:space="preserve">  = Total load of tracks with impact </t>
  </si>
  <si>
    <t xml:space="preserve">   =      20   x  1.25</t>
  </si>
  <si>
    <t xml:space="preserve">   =       25 T</t>
  </si>
  <si>
    <t>Intensity      =</t>
  </si>
  <si>
    <t>Load</t>
  </si>
  <si>
    <t>dispersion along x across the span</t>
  </si>
  <si>
    <t>25 x 2</t>
  </si>
  <si>
    <t>3.00 x 7.08</t>
  </si>
  <si>
    <t xml:space="preserve">Maximum B.M. due to Live load at centre </t>
  </si>
  <si>
    <t xml:space="preserve"> = 2.35  x</t>
  </si>
  <si>
    <r>
      <t xml:space="preserve"> =  2.35</t>
    </r>
    <r>
      <rPr>
        <u/>
        <sz val="10"/>
        <rFont val="Arial"/>
        <family val="2"/>
      </rPr>
      <t>x3</t>
    </r>
    <r>
      <rPr>
        <sz val="10"/>
        <rFont val="Arial"/>
      </rPr>
      <t xml:space="preserve"> </t>
    </r>
  </si>
  <si>
    <r>
      <t xml:space="preserve">( 5 </t>
    </r>
    <r>
      <rPr>
        <u/>
        <sz val="10"/>
        <rFont val="Arial"/>
        <family val="2"/>
      </rPr>
      <t xml:space="preserve">- 3 </t>
    </r>
    <r>
      <rPr>
        <sz val="10"/>
        <rFont val="Arial"/>
      </rPr>
      <t xml:space="preserve"> )</t>
    </r>
  </si>
  <si>
    <r>
      <t xml:space="preserve">Here from bending moment view point class AA tracked vehical </t>
    </r>
    <r>
      <rPr>
        <sz val="10"/>
        <rFont val="Arial"/>
      </rPr>
      <t>is governing</t>
    </r>
  </si>
  <si>
    <t>Hence Maximum Bending Moment due to Live load =  15.527 T - M</t>
  </si>
  <si>
    <t>Total B.M =</t>
  </si>
  <si>
    <t>B.M due to Dead load  +   BM. Due to Live load</t>
  </si>
  <si>
    <t>Name Of Work :- Construction of Submersible Bridge on ON KHERWARA - JAWAS - SUVERI ROAD IN KM 9/000, ACROSS RIVER SOM</t>
  </si>
  <si>
    <t>Degree of Skew</t>
  </si>
  <si>
    <t>Degrees</t>
  </si>
  <si>
    <t>COS Theta</t>
  </si>
  <si>
    <t>Weathered Rock</t>
  </si>
  <si>
    <t>SLAB 775 TO 925 MM</t>
  </si>
  <si>
    <t>Obstructed Velocity = V Sin 10 Degrees</t>
  </si>
  <si>
    <t>Sin 10 Degrees</t>
  </si>
  <si>
    <t>DECK LEVEL</t>
  </si>
  <si>
    <t>SOFFIT LEVEL</t>
  </si>
  <si>
    <t>CAP BOTTOM</t>
  </si>
  <si>
    <t>Footing Top</t>
  </si>
  <si>
    <t>(Mid-height of deck slab)</t>
  </si>
  <si>
    <t>(Mid-height of pier cap)</t>
  </si>
  <si>
    <t>(Mid-height of pier body)</t>
  </si>
  <si>
    <t>DESIGN OF SUBMERSIBLE SKEW BRIDGE ACROSS BEDACH RIVER</t>
  </si>
  <si>
    <t>INDEX</t>
  </si>
  <si>
    <t>S.No</t>
  </si>
  <si>
    <t>Particulars</t>
  </si>
  <si>
    <t>Page</t>
  </si>
  <si>
    <t>Preamble</t>
  </si>
  <si>
    <t>Hydraulic Design</t>
  </si>
  <si>
    <t>Stability Check for Pier in Different Load Cases</t>
  </si>
  <si>
    <t>Computation of Reinforcement in Pier</t>
  </si>
  <si>
    <t>Design of Pier Footing</t>
  </si>
  <si>
    <t>Design of Pier Footing Cap</t>
  </si>
  <si>
    <t>Stability Check for Abutment in Different Load Cases</t>
  </si>
  <si>
    <t>Design of Abutment Footing</t>
  </si>
  <si>
    <t>Cross Sections &amp; L Section of the River</t>
  </si>
  <si>
    <t>Geotechnical Investigation Report</t>
  </si>
  <si>
    <t>General Arrangement Drawing</t>
  </si>
  <si>
    <t>Details of Pier Complete Drawing</t>
  </si>
  <si>
    <t>Pier Reinforcement Details</t>
  </si>
  <si>
    <t>Details of Bottom Anchorage of Pier</t>
  </si>
  <si>
    <t>Details of Reinforcement in Pier cap</t>
  </si>
  <si>
    <t>Deck Slab Anchorage Detail</t>
  </si>
  <si>
    <t>Details of Abutment Complete Drawing</t>
  </si>
  <si>
    <t>Details of Approach Slab</t>
  </si>
  <si>
    <t>Detailed Progress Report</t>
  </si>
  <si>
    <t xml:space="preserve">               PREAMBLE</t>
  </si>
  <si>
    <t>Type of Bridge</t>
  </si>
  <si>
    <t>TYPE</t>
  </si>
  <si>
    <t>HFL</t>
  </si>
  <si>
    <t>DECK</t>
  </si>
  <si>
    <t xml:space="preserve">The proposed bridge shall be a Submersible  bridge; The HFL is 442.5 m and the proposed Bridge Deck level is 442.63 m. </t>
  </si>
  <si>
    <t>Submersible</t>
  </si>
  <si>
    <t>The Afflux flood level is below the Top of Deck slab hence the traffic will have no obstruction throughout the year.</t>
  </si>
  <si>
    <t>Decking Arrangement</t>
  </si>
  <si>
    <t>The Deck Slab shall standard RCC deck slabs each 8400 mm wide i.e. 7500 mm carriage way and guard stones on both sides. There shall be 25 mm wide expansion joint between the adjacent deck slabs along the length of the bridge. The location of proposed road is right angle to the direction of flow.</t>
  </si>
  <si>
    <t>spans</t>
  </si>
  <si>
    <t>There shall be  12 Nos. of spans. The centre to centre distance for the spans shall be  10.8 M .</t>
  </si>
  <si>
    <t>Standard RCC Solid Slab Superstructure with right effective span  10 M Without footpath shall be provided in accordance to the Ministry of Surface Transport (Roads Wing), New Delhi drawings..</t>
  </si>
  <si>
    <t>Without</t>
  </si>
  <si>
    <t>FOOTPATH</t>
  </si>
  <si>
    <t xml:space="preserve"> It is proposed to construct 8400 mm wide slabs of these standard drawings. As per requirement of use in the proposed bridge the deviation with respect to these drawings shall be as follows: - </t>
  </si>
  <si>
    <r>
      <t>1. </t>
    </r>
    <r>
      <rPr>
        <b/>
        <sz val="12"/>
        <rFont val="Bahnschrift SemiBold"/>
        <family val="2"/>
      </rPr>
      <t>Pier Cap Width</t>
    </r>
    <r>
      <rPr>
        <sz val="12"/>
        <rFont val="Bahnschrift SemiBold"/>
        <family val="2"/>
      </rPr>
      <t xml:space="preserve"> 1200 mm.</t>
    </r>
  </si>
  <si>
    <t>2. Footpath &amp; Railing: - There shall be RCC  Guard Posts on both sides.</t>
  </si>
  <si>
    <t>Railing</t>
  </si>
  <si>
    <t>Guard Posts</t>
  </si>
  <si>
    <t>3. Reinforcement Detailing: - The reinforcement detailing is suitably modified as required for the modifications referred above in points 1 to 2.</t>
  </si>
  <si>
    <t xml:space="preserve"> [In the reference drawing the pier cap width is 800 mm]. The width of piers shall be1200 mm. Due to this change the Centre-to-Centre distance shall be 10800 mm (centre to centre over piers). For all spans the clear span shall be 9600 mm.</t>
  </si>
  <si>
    <t>pier</t>
  </si>
  <si>
    <t>The length of reinforcement shall be modified as per these geometrical requirements however spacing of the reinforcement shall not be altered.</t>
  </si>
  <si>
    <t>The proposed decking arrangement is shown in Drawing " D-01 " titled as Decking arrangement.</t>
  </si>
  <si>
    <t>Design Loads</t>
  </si>
  <si>
    <t>The following loads have been considered in the design of deck slab and for the stability of the sub structure: -</t>
  </si>
  <si>
    <t xml:space="preserve">[A] Maximum of the following cases </t>
  </si>
  <si>
    <t xml:space="preserve"> I.      One lane of IRC class 70R on carriage way</t>
  </si>
  <si>
    <t>II.      One lanes of IRC Class A on carriage way</t>
  </si>
  <si>
    <t>III.      Two lanes of IRC Class A on carriage way</t>
  </si>
  <si>
    <t>IV.      Three lanes of IRC Class A on carriage way</t>
  </si>
  <si>
    <t>V.      One lane of IRC class 70R and one lane of IRC Class A on carriage way</t>
  </si>
  <si>
    <t>VI.      One lane of IRC class AA TRACKED VEHICLE on carriage way</t>
  </si>
  <si>
    <t>In order to account for two adjacent slabs, the resultant reactions and moments have been multiplied by 2 for stability check of the sub structure.</t>
  </si>
  <si>
    <t xml:space="preserve">[B] Other Loads </t>
  </si>
  <si>
    <t>a) Footpath load of 5KN/Sqm.</t>
  </si>
  <si>
    <t>b) Wearing coat land of 2 KN/Sqm.</t>
  </si>
  <si>
    <t>Safe Bearing Capacity</t>
  </si>
  <si>
    <t>The detailed sub soil investigation report for a bridge constructed in the vicinity of the bridge is enclosed.</t>
  </si>
  <si>
    <t>The foundation rock is safe against the eroding effects of the water flow and other climatic conditions.</t>
  </si>
  <si>
    <t>As per detailed Subsoil Investigation the lowest safe bearing capacity for rectangular footing at depth 3 M and downwards is  200 kN/ Sq. M; Hence the Safe Bearing Capacity adopted for design is 200 kN/ Sq. M.</t>
  </si>
  <si>
    <t>Scour Depth</t>
  </si>
  <si>
    <t xml:space="preserve">The maximum scour depth computed is  6.31 M. As per Clause No. 703-2-3-1 of IRC 78-1983 considering Scour at the pier two times of calculated scour depth below the highest flood level. </t>
  </si>
  <si>
    <t>Depth of Foundation/Founding Level</t>
  </si>
  <si>
    <t>For all the footings no hard rock is available; hence the foundation shall be laid at indicated levels for each footing. The founding level is above the maximum scour depth level; Hence necessary bed protection shall be constructed.</t>
  </si>
  <si>
    <t>Hard Rock</t>
  </si>
  <si>
    <t>no</t>
  </si>
  <si>
    <t>Reinforcement Detail &amp; other Detail of Deck slab</t>
  </si>
  <si>
    <t xml:space="preserve">Ministry of surface transport details drawings are enclosed </t>
  </si>
  <si>
    <t xml:space="preserve">The right effective span of the proposed bridge is 9.60 m. The length along the centre line of road between pier centres is 10.80 m. </t>
  </si>
  <si>
    <t>The deck slab pertaining to 10 m. right effective span shall be provided as given in MOST drawings Publication "RCC SOLID SLAB SUPERSTRUCTURE 30 DEGREES SKEW RIGHT EFFECTIVE SPAN 10 M WITHOUT FOOTPATH" No. SD/151, SD/152, SD/153, SD/156,  SD/157, SD/158, SD/159, SD/160 AND SD/176.</t>
  </si>
  <si>
    <t>In the drawing the clear right span is 9600 mm. The proposed bridge shall have clear right span as 9600 mm conforming to the standard drawing adopted.</t>
  </si>
  <si>
    <t>Bearing detail</t>
  </si>
  <si>
    <t>Tar paper bearing shall be providing on top of pier cap &amp; abutment cap.</t>
  </si>
  <si>
    <t>The approcach slab shall be 300 mm thick RCC Slab laid over PCC bed. The detail of approach slab is enclosed as drawing D-03.</t>
  </si>
  <si>
    <t xml:space="preserve">Pier Cap Detail </t>
  </si>
  <si>
    <t>Pier cap drawing is enclosed as annexure D-05.</t>
  </si>
  <si>
    <t>BRIDGE DESIGN</t>
  </si>
  <si>
    <t xml:space="preserve">SBC RECOMMENDATION AT 3 M DEPTH IN THE WEATHERED ROCK IS 21.5, 22.45, 21.5 TONNE PER SQUARE METER; </t>
  </si>
  <si>
    <t xml:space="preserve"> HOWEVER ADOPTED SBC IS </t>
  </si>
  <si>
    <t>TONNE PER SQUARE METER</t>
  </si>
  <si>
    <t>OR</t>
  </si>
  <si>
    <t>KN PER SQUARE METER</t>
  </si>
  <si>
    <t>ABUTMENT DESIGN</t>
  </si>
  <si>
    <t>M Higher than Pier footing Level</t>
  </si>
  <si>
    <t>VARIANTS</t>
  </si>
  <si>
    <t xml:space="preserve"> overall length = 12.80 m</t>
  </si>
  <si>
    <t xml:space="preserve">= (1.2 x 18 + 0.3 x 24 ) x 2.7 = </t>
  </si>
  <si>
    <t>18 x2.7x (4.20400000000002 - 1)</t>
  </si>
  <si>
    <t>=(1288.387 - 337.061 ) / 488.963 ) =</t>
  </si>
  <si>
    <t>=(1170.553 - 305.702 ) / 420.661 ) =</t>
  </si>
  <si>
    <t>488.963/(5.1x1)(1 +(6x0.6/5.1))</t>
  </si>
  <si>
    <t>488.963/(5.1x1)(1 -(6x0.6/5.1))</t>
  </si>
  <si>
    <t>5.1x1x 24 =</t>
  </si>
  <si>
    <t>1.55400000000002x1.05x 24 =</t>
  </si>
  <si>
    <t>1.2x1.05x 24 =</t>
  </si>
  <si>
    <t>0.3x0.45x 24 =</t>
  </si>
  <si>
    <t>1 x 3.20400000000002 x 18=</t>
  </si>
  <si>
    <r>
      <t>l</t>
    </r>
    <r>
      <rPr>
        <vertAlign val="subscript"/>
        <sz val="12"/>
        <rFont val="Arial"/>
        <family val="2"/>
      </rPr>
      <t>f</t>
    </r>
  </si>
  <si>
    <r>
      <t>l</t>
    </r>
    <r>
      <rPr>
        <vertAlign val="subscript"/>
        <sz val="12"/>
        <rFont val="Arial"/>
        <family val="2"/>
      </rPr>
      <t>b</t>
    </r>
  </si>
  <si>
    <r>
      <t>M</t>
    </r>
    <r>
      <rPr>
        <vertAlign val="subscript"/>
        <sz val="12"/>
        <rFont val="Arial"/>
        <family val="2"/>
      </rPr>
      <t>e</t>
    </r>
  </si>
  <si>
    <r>
      <t>M</t>
    </r>
    <r>
      <rPr>
        <vertAlign val="subscript"/>
        <sz val="12"/>
        <rFont val="Arial"/>
        <family val="2"/>
      </rPr>
      <t>b</t>
    </r>
  </si>
  <si>
    <r>
      <t>e</t>
    </r>
    <r>
      <rPr>
        <vertAlign val="subscript"/>
        <sz val="12"/>
        <rFont val="Arial"/>
        <family val="2"/>
      </rPr>
      <t>l</t>
    </r>
  </si>
  <si>
    <r>
      <t>= M</t>
    </r>
    <r>
      <rPr>
        <vertAlign val="subscript"/>
        <sz val="12"/>
        <rFont val="Arial"/>
        <family val="2"/>
      </rPr>
      <t>e</t>
    </r>
    <r>
      <rPr>
        <sz val="12"/>
        <rFont val="Arial"/>
        <family val="2"/>
      </rPr>
      <t>/P</t>
    </r>
  </si>
  <si>
    <r>
      <t>e</t>
    </r>
    <r>
      <rPr>
        <vertAlign val="subscript"/>
        <sz val="12"/>
        <rFont val="Arial"/>
        <family val="2"/>
      </rPr>
      <t>b</t>
    </r>
  </si>
  <si>
    <r>
      <t>= M</t>
    </r>
    <r>
      <rPr>
        <vertAlign val="subscript"/>
        <sz val="12"/>
        <rFont val="Arial"/>
        <family val="2"/>
      </rPr>
      <t>b</t>
    </r>
    <r>
      <rPr>
        <sz val="12"/>
        <rFont val="Arial"/>
        <family val="2"/>
      </rPr>
      <t>/P</t>
    </r>
  </si>
  <si>
    <r>
      <t>e</t>
    </r>
    <r>
      <rPr>
        <vertAlign val="subscript"/>
        <sz val="12"/>
        <rFont val="Arial"/>
        <family val="2"/>
      </rPr>
      <t>l</t>
    </r>
    <r>
      <rPr>
        <sz val="12"/>
        <rFont val="Arial"/>
        <family val="2"/>
      </rPr>
      <t>/l</t>
    </r>
    <r>
      <rPr>
        <vertAlign val="subscript"/>
        <sz val="12"/>
        <rFont val="Arial"/>
        <family val="2"/>
      </rPr>
      <t>f</t>
    </r>
  </si>
  <si>
    <r>
      <t>e</t>
    </r>
    <r>
      <rPr>
        <vertAlign val="subscript"/>
        <sz val="12"/>
        <rFont val="Arial"/>
        <family val="2"/>
      </rPr>
      <t>b</t>
    </r>
    <r>
      <rPr>
        <sz val="12"/>
        <rFont val="Arial"/>
        <family val="2"/>
      </rPr>
      <t>/l</t>
    </r>
    <r>
      <rPr>
        <vertAlign val="subscript"/>
        <sz val="12"/>
        <rFont val="Arial"/>
        <family val="2"/>
      </rPr>
      <t>b</t>
    </r>
  </si>
  <si>
    <r>
      <t>Area in Tension = y x l</t>
    </r>
    <r>
      <rPr>
        <vertAlign val="subscript"/>
        <sz val="12"/>
        <rFont val="Arial"/>
        <family val="2"/>
      </rPr>
      <t>b</t>
    </r>
  </si>
  <si>
    <r>
      <t>m</t>
    </r>
    <r>
      <rPr>
        <b/>
        <vertAlign val="superscript"/>
        <sz val="12"/>
        <rFont val="Arial"/>
        <family val="2"/>
      </rPr>
      <t>2</t>
    </r>
  </si>
  <si>
    <r>
      <t>kN/m</t>
    </r>
    <r>
      <rPr>
        <b/>
        <vertAlign val="superscript"/>
        <sz val="12"/>
        <rFont val="Arial"/>
        <family val="2"/>
      </rPr>
      <t>2</t>
    </r>
  </si>
  <si>
    <r>
      <t xml:space="preserve">FOR THIS GRADE </t>
    </r>
    <r>
      <rPr>
        <b/>
        <sz val="12"/>
        <rFont val="Symbol"/>
        <family val="1"/>
        <charset val="2"/>
      </rPr>
      <t>s</t>
    </r>
    <r>
      <rPr>
        <b/>
        <sz val="12"/>
        <rFont val="Arial"/>
        <family val="2"/>
      </rPr>
      <t>cbc</t>
    </r>
  </si>
  <si>
    <r>
      <t>s</t>
    </r>
    <r>
      <rPr>
        <b/>
        <sz val="12"/>
        <rFont val="Arial"/>
        <family val="2"/>
      </rPr>
      <t>st</t>
    </r>
  </si>
  <si>
    <r>
      <t>mm</t>
    </r>
    <r>
      <rPr>
        <vertAlign val="superscript"/>
        <sz val="12"/>
        <rFont val="Arial"/>
        <family val="2"/>
      </rPr>
      <t>2</t>
    </r>
  </si>
  <si>
    <t xml:space="preserve">DESIGN OF RETURN WALL FOOTING </t>
  </si>
  <si>
    <t>HIGH LEVEL BRIDGE - ACROSS SIRVAL RIVER</t>
  </si>
  <si>
    <t>BOTTOM WIDTH OF RETURN WALL</t>
  </si>
  <si>
    <t>Moment about the Face of Return</t>
  </si>
  <si>
    <t>Adopt spacing as 2000 mm</t>
  </si>
  <si>
    <t>WIDTH OF RETURN WALL</t>
  </si>
  <si>
    <t xml:space="preserve">Footing size </t>
  </si>
  <si>
    <t xml:space="preserve">REINFORCEMENT CALCULATION IN CANTILEVER ABUTMENT </t>
  </si>
  <si>
    <t>LONGITUDINAL MOMENT</t>
  </si>
  <si>
    <t>LONGITUDINAL MOMENT Due To Braking Force</t>
  </si>
  <si>
    <t>TRANSVERSE MOMENT due to Braking Force and water current</t>
  </si>
  <si>
    <t>One Slab only</t>
  </si>
  <si>
    <t>TOTAL TRANSVERSE MOMENT</t>
  </si>
  <si>
    <t>TOTAL LONGITUDINAL MOMENT</t>
  </si>
  <si>
    <t>CONCRETE MIX</t>
  </si>
  <si>
    <t>CHARACTERISTIC STRENGTH OF REINFORCEMENT</t>
  </si>
  <si>
    <t>PERMISSIBLE STRESSES</t>
  </si>
  <si>
    <t>IN STEEL</t>
  </si>
  <si>
    <t>IN CONCRETE</t>
  </si>
  <si>
    <t>Permissible Compressive Stress in Bending</t>
  </si>
  <si>
    <t>σcbc</t>
  </si>
  <si>
    <t>Permissible Compressive Stress in Direct Compression</t>
  </si>
  <si>
    <t>σcc</t>
  </si>
  <si>
    <t>σct</t>
  </si>
  <si>
    <t xml:space="preserve">   12mm dia rings @100mm c/c.</t>
  </si>
  <si>
    <t>REINFORCEMENT CALCULATION IN CANTILEVER RETURNS</t>
  </si>
  <si>
    <t>PROPOSED BOTOM WIDTH</t>
  </si>
  <si>
    <t xml:space="preserve">Moment </t>
  </si>
  <si>
    <t>However Adopt spacing as 150 mm</t>
  </si>
  <si>
    <t xml:space="preserve">DESIGN OF Abutment CAP HIGH LEVEL BRIDGE </t>
  </si>
  <si>
    <t>DETAILED PROJECT REPORT</t>
  </si>
  <si>
    <t>Technical - Report</t>
  </si>
  <si>
    <t xml:space="preserve">Name of Project </t>
  </si>
  <si>
    <t>:-</t>
  </si>
  <si>
    <t>Authority</t>
  </si>
  <si>
    <t xml:space="preserve">Necessity </t>
  </si>
  <si>
    <t xml:space="preserve">Specification Proposed : </t>
  </si>
  <si>
    <t xml:space="preserve">The following specifications are proposed in this estimete as under -  </t>
  </si>
  <si>
    <t xml:space="preserve">The administrative sanction for Construction of High Level Bridge having 8 Nos. span of 10.00 M each and open foundation has been proposed. The substructure in RCC wall type piers in M-25 and RCC solid slab simply supprted dacking also in M-30 (Design Mix Concreate). The solid slab has deck slab proposed to be properly Anchored into The pier cap against uplifting and drag. The pier footing has also proposed to be similarly anchored into the rocky strata. </t>
  </si>
  <si>
    <t xml:space="preserve">(a) Foundation Concreate P.C.C. M-15 grade  20 mm nominal size aggregate. </t>
  </si>
  <si>
    <t>(b) Foundation Footing of Piers - it has been proposed of RCC mix M-25. The annular space filled with M-15 with 20 mm nominal Size stone aggregate upto the top of the rock.</t>
  </si>
  <si>
    <t>(C) Foundation Footing of Abutments - It has been proposed of RCC mix M-20 The annular space filled with P.C.C. M-15 grade concreate with 20mm nominal Size stone aggregate upto the top of the rock.</t>
  </si>
  <si>
    <t>(D) Piers, Pier caps - These has been proposed of RCC Mix M-25</t>
  </si>
  <si>
    <t>(E) Abutments, Abutment caps and Dirt wall - These has been proposed of RCC Mix M-25</t>
  </si>
  <si>
    <t>(F) Deck Slab - The simply supported deck slab has been proposed of R.C.C. mix M-30. The deck slab shall be anchored at both ends with 25mm dia anchor bolts to prevent it from uplift and the drag of flowing water.</t>
  </si>
  <si>
    <t>(G) Guard Stone - RCC guardd stones has been proposed of mix M-25 as per recommendations of IRC special publiciation on Submersible bridges. Ref IRC:SP:82-2008</t>
  </si>
  <si>
    <t>(H) Wearing Coat - M-30 concreate with reinforcement as per IRC recommendation is proposed. The average thickness of the wearing coat 75mm.</t>
  </si>
  <si>
    <t xml:space="preserve">(I) Approach slab - Approach slab has been proposed of RCC M-25 overlaid  
          The wearing coat similar to that on deck slab has been proposed provided over the approach slab. </t>
  </si>
  <si>
    <t>(J) Filling behind Abutment &amp; Wing walls- The back Fill has been proposed of locally available granular material it shall be compacted as per specifications.</t>
  </si>
  <si>
    <t>(K) Earth work in cutting for grade improvement on approches has been proposed.</t>
  </si>
  <si>
    <t xml:space="preserve">Estimated Cost of Work </t>
  </si>
  <si>
    <t>The Estimated Cost comes to Rs.987.60 Lacs</t>
  </si>
  <si>
    <t xml:space="preserve">Rates </t>
  </si>
  <si>
    <r>
      <t xml:space="preserve">The Estimate based on </t>
    </r>
    <r>
      <rPr>
        <b/>
        <sz val="10"/>
        <rFont val="Arial"/>
        <family val="2"/>
      </rPr>
      <t xml:space="preserve">PWD BSR Road 2022  (Rajasthan). </t>
    </r>
  </si>
  <si>
    <t>Job No.</t>
  </si>
  <si>
    <t xml:space="preserve">PUBLIC WORKS  DEPARTMENT, DIVISION - </t>
  </si>
  <si>
    <t>GENERAL ABSTRACT</t>
  </si>
  <si>
    <t xml:space="preserve">Name of Work  :-   </t>
  </si>
  <si>
    <t>Sr.No.</t>
  </si>
  <si>
    <t xml:space="preserve">                    Items</t>
  </si>
  <si>
    <t>Amount</t>
  </si>
  <si>
    <t xml:space="preserve">Bridge Work </t>
  </si>
  <si>
    <t xml:space="preserve">                  Total =&gt; Rs.</t>
  </si>
  <si>
    <t>Add 1.00% for Quality Control Charges</t>
  </si>
  <si>
    <t>Add 3% for Contengency Charges</t>
  </si>
  <si>
    <t xml:space="preserve">Add 1.50 % for Contingencies Charges </t>
  </si>
  <si>
    <t>G. Total Rs. :-</t>
  </si>
  <si>
    <t xml:space="preserve">Add 13.00 % for Prorata Charges </t>
  </si>
  <si>
    <t>Say Rs. :-</t>
  </si>
  <si>
    <t>Lacs.</t>
  </si>
  <si>
    <t>ABSTRACT OF COST</t>
  </si>
  <si>
    <t>S.No.</t>
  </si>
  <si>
    <t>Qty.</t>
  </si>
  <si>
    <t>Rate</t>
  </si>
  <si>
    <t>Unit</t>
  </si>
  <si>
    <t xml:space="preserve">1 (a) </t>
  </si>
  <si>
    <t xml:space="preserve">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 Ordinary soil. Mechanical Means.  Depth upto 3 m </t>
  </si>
  <si>
    <t xml:space="preserve">Foundation Work </t>
  </si>
  <si>
    <t xml:space="preserve">Cum </t>
  </si>
  <si>
    <t xml:space="preserve">Approches </t>
  </si>
  <si>
    <t>Cum</t>
  </si>
  <si>
    <t>(b)</t>
  </si>
  <si>
    <t xml:space="preserve">Above 3m to 6m depth </t>
  </si>
  <si>
    <t>©</t>
  </si>
  <si>
    <t>Ordinary/Soft rock (not requiring blasting) [MoRTH Specification : Clause 301]. BY MECHANICAL MEANS</t>
  </si>
  <si>
    <t>(d)</t>
  </si>
  <si>
    <t>Hard rock ( requiring blasting )</t>
  </si>
  <si>
    <t xml:space="preserve"> Plain/Reinforced cement concrete in open foundation complete as per drawing and technical specifications</t>
  </si>
  <si>
    <t xml:space="preserve">PCC Grade M15 </t>
  </si>
  <si>
    <t xml:space="preserve">RCC Grade M20 </t>
  </si>
  <si>
    <t xml:space="preserve">Using concrete mixer </t>
  </si>
  <si>
    <t>RCC Grade M25</t>
  </si>
  <si>
    <t>Providing and laying steel reinforcement  at any level in foundation   complete   as   per   drawing   and   technical specification.  [MoRTH  Specification  :  Section  1600].
HYSD bar reinforcement</t>
  </si>
  <si>
    <t>Structural cement concrete for plain concrete/ reinforced concrete for substructure at any level, complete as per drawing and technical specification.
Design mix concrete – [MoRTH Specification : Section 1500 &amp; 1700].
RCC M-25 grade, including form work
Upto 5 mtr. height</t>
  </si>
  <si>
    <t xml:space="preserve">Sub Structure Work </t>
  </si>
  <si>
    <t xml:space="preserve">Supplying,  fitting and placing HYSD bar reinforcement in sub-structure complete as per drawing and technical specifications </t>
  </si>
  <si>
    <t>Providing weep holes in Brick masonry/Plain/Reinforced concrete abutment,  wing wall/return wall with 100 mm dia AC pipe, extending through the full width of the structure with slope of 1V :20H towards drawing foce. Complete as per drawing and Technical specifications</t>
  </si>
  <si>
    <t>Rmt</t>
  </si>
  <si>
    <t>Back filling behind abutment, wing wall and return wall, in 150mm layers, with mechanical compaction, complete with all lead and lift, as per drawing and technical specification. [MoRTH Specification : Clause 304]. Gravelly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</si>
  <si>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</si>
  <si>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Structural RCC/PSC upto a height of 5 mtr. for reinforced concrete in superstructure complete including steel formwork, scaffolding etc. As per drawing and technical specification.
Design mix concrete. [MoRTH Specification : 1500  &amp; 1700].
RCC M-30 grade Solid slab superstructure</t>
  </si>
  <si>
    <t xml:space="preserve">Superstructure Work </t>
  </si>
  <si>
    <t xml:space="preserve">a)     Supplying, fitting and placing HYSD bar reinforcement in super-structure complete as per drawing and technical specifications </t>
  </si>
  <si>
    <t>Providing and laying Cement concrete wearing coat M-30 grade including reinforcement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</si>
  <si>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</si>
  <si>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</si>
  <si>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Providing &amp; fixing 20 mm thick compressible fibre board in expansion joint complete as per drawing &amp; Technical Specification.</t>
  </si>
  <si>
    <t>Providing and laying 12mm thick Bitumen Mastic wearing coat with bitumen of grade S35 as per Table 500-27, 10.2% by weight on prepared base including coarse aggregate as per table 500-29, and lime stone powder as filler, complete including tack coat. (MoRTH specification : Clause 515).</t>
  </si>
  <si>
    <t>Excavation in Soil using Hydraulic Excavator CK 90 and Tippers with disposal upto 1000 metres. (Excavation for roadwork in soil with hydraulic excavator of0.9 cum bucket capacity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</si>
  <si>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ExcavatorCK-90 and Tippers with disposal upto 1000 metres. (Excavation for roadway in ordinary rock with hydraulic excavator of 0.9 cum bucket capacity including cutting and loading in tippers, transporting to embankment site within all lifts and lead upto 1000 m, trimming bottom and side slopes in accordance with requirements of lines, grades and cross sections.)</t>
  </si>
  <si>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</si>
  <si>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</si>
  <si>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and   Erecting   typical   Citizens   Information Board  as  per  approved  drawing  &amp;   specification   of MoRD, made of two MS Sheet of 1.6 mm thick each of size 900 mm × 750 mm stiffened by angle iron 25 mm ×25 mm × 3 mm all around the plate and plates fixed on frame of 75 mm dia pipe of 12 SWG sheet (vertical post 3050  m  with  angle  holdfasts  and  horizontal  member 900 mm)  to be joined  by 5 mm thick  MS plate  at  12 places   (65   ×   50   mm)   duly   embedded   in   cement concrete M-15 grade of block of 600 mm × 600 mm × 750  mm  size  below  ground  level  as  per   enclosed drawings &amp; as directed by Engineering  - In-Charge. All MS  will  be  stove  enameled  on  both  side,  Lettering, figuring  and border  will be with  ready  mixed  synthetic enamel paint of superior  quality in required shade and colour  etc.  complete   in  all  respect.   All  sections   of framed post and  steel tube will be painted  with primer and two coat of epoxy paint as per drawing and as per MoRD specification.</t>
  </si>
  <si>
    <t>Each</t>
  </si>
  <si>
    <t>Supply of villege Name Board size 600x900 mm made out  of  1.25  mm  thick  M.S.  Sheet  duly  framed  with 30mm Outer Dia Mild Steel tube tightened with M.S. flat 12x3 mm fixed on two posts of size 40 mm ODMS tube 3M long whole board is processed in blue/white stoving enamel paint and white/red machine cut reflective sheet complete    in   all   respect   posts    duly   painted   with black/white synthetic enamel.</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</si>
  <si>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90 cm equilateral triangle</t>
  </si>
  <si>
    <t>Retro-Reflectorised  Traffic Signs Providing and fixing of retro-     reflectorised      cautionary,      mandatory     and informatory sign as per IRC :67 made of high intensity grade sheeting vide clause 801.3, fixed over aluminium sheeting, 1.5 mm thick supported on a mild steel angle iron post 75 mm x 75 mm x 6  mm firmly fixed to the ground by means of properly designed foundation  with M15 grade cement concrete 45 cm x 45 cm x 60 cm, 60 cm below ground level as per approved drawing 60 cm equilateral triangle</t>
  </si>
  <si>
    <t>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</si>
  <si>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</si>
  <si>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 xml:space="preserve"> Sqm</t>
  </si>
  <si>
    <t>Per Sqm</t>
  </si>
  <si>
    <t>Providing   and   laying   graded   stone   aggregate   filter Material underneath pitching on slopes complete as per drawing     and     technical      specification.      (MoRTH
specification : clause 2504).</t>
  </si>
  <si>
    <t xml:space="preserve"> Cum</t>
  </si>
  <si>
    <t>Per Cum</t>
  </si>
  <si>
    <t>Providing   and   laying   pitching   on   slopes   laid   over prepared filter media including boulder apron laid dry in front  of  toe  of  embankment  complete  as  per  drawing and   technical   specifications.   (MoRTH   specification: Clause 2504 &amp; 1700). With  R.R.  stone,  weighing  not less than 40 kg thickness not less than 150mm (specific gravity not less than 2.65)</t>
  </si>
  <si>
    <t>Providing and laying Reinforced cement concrete pipes NP-3  for  culverts  including   jointing  ends   and  fixing collar with cement mortar 1:2. (MoRTH  specification  :
clause 1000/2900). 1000 mm dia</t>
  </si>
  <si>
    <t xml:space="preserve"> RM</t>
  </si>
  <si>
    <t>Per RM</t>
  </si>
  <si>
    <t>Providing and laying Reinforced cement concrete pipes NP-3  for  culverts  including   jointing  ends   and  fixing collar with cement mortar 1:2. (MoRTH  specification  :
clause 1000/2900). 600 mm dia</t>
  </si>
  <si>
    <t>Providing and laying Reinforced cement concrete pipes NP-3  for  culverts  including   jointing  ends   and  fixing collar with cement mortar 1:2. (MoRTH  specification  :
clause 1000/2900). 300 mm dia</t>
  </si>
  <si>
    <t>Total  =&gt;</t>
  </si>
  <si>
    <t xml:space="preserve">DETAILED - ESTIMATE </t>
  </si>
  <si>
    <t xml:space="preserve">Details </t>
  </si>
  <si>
    <t>BRIDGE WORK</t>
  </si>
  <si>
    <t>FOUNDATION WORK</t>
  </si>
  <si>
    <t>B-1
1.1.4</t>
  </si>
  <si>
    <t>In ordinary soil BY MECHANICAL MEANS
Depth upto 3m</t>
  </si>
  <si>
    <t xml:space="preserve">Abutment </t>
  </si>
  <si>
    <t>Total:-</t>
  </si>
  <si>
    <t>B-1
1.1.5</t>
  </si>
  <si>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ordinary soil [MoRTH Specification : clause 301] BY MECHANICAL MEANS
Above 3m to 6m depth </t>
  </si>
  <si>
    <t>Pier</t>
  </si>
  <si>
    <t>1.3.2</t>
  </si>
  <si>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Ordinary/Soft rock (not requiring blasting) [MoRTH Specification : Clause 301]. BY MECHANICAL MEANS</t>
  </si>
  <si>
    <t>Bed Protection Wall at U/S</t>
  </si>
  <si>
    <t>Bed Protection Wall at D/S</t>
  </si>
  <si>
    <t>1.4.1</t>
  </si>
  <si>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Hard Rock [MoRTH Specification : Clause 301, 302, 303]. Requiring Blasting</t>
  </si>
  <si>
    <t>B-2
6.3</t>
  </si>
  <si>
    <t>Structural cement concrete (Design Mix) in open foundations, with form work, at any level. Cement concrete for plain/reinforced concrete in open foundations as per drawing and technical specification. [MoRTH Specification : Section 1700 &amp; 1500]. With 20mm nominal size aggregate
P.C.C.  M-15 grade</t>
  </si>
  <si>
    <t>Annualar  Filling</t>
  </si>
  <si>
    <t>Deductions</t>
  </si>
  <si>
    <t xml:space="preserve">Pier Foundation </t>
  </si>
  <si>
    <t>Abutment Foundation</t>
  </si>
  <si>
    <t>Net Qty. :-</t>
  </si>
  <si>
    <t>B-2
6.3</t>
  </si>
  <si>
    <t>Structural cement concrete (Design Mix) in open foundations, with form work, at any level. Cement concrete for plain/reinforced concrete in open foundations as per drawing and technical specification. [MoRTH Specification : Section 1700 &amp; 1500]. With 20mm nominal size aggregate
P.C.C.  M-20 grade</t>
  </si>
  <si>
    <t>Abutment A1-A2</t>
  </si>
  <si>
    <t>B-2
6.6</t>
  </si>
  <si>
    <t>Structural cement concrete (Design Mix) in open foundations, with form work, at any level. Cement concrete for plain/reinforced concrete in open foundations as per drawing and technical specification. [MoRTH Specification : Section 1700 &amp; 1500]. With 20mm nominal size aggregate
R.C.C.  M-25 grade</t>
  </si>
  <si>
    <t>Abutment (Average thickness= (0.30+1.60)/2</t>
  </si>
  <si>
    <t>Bed Protection at U/S</t>
  </si>
  <si>
    <t>Bed Protection at D/S</t>
  </si>
  <si>
    <t>B-2
13.3</t>
  </si>
  <si>
    <t xml:space="preserve">Providing and laying steel reinforcement at any level in foundation complete as per drawing and technical specification. [MoRTH Specification : Section 1600].
TMT Bar </t>
  </si>
  <si>
    <t>1.50% RCC quantity</t>
  </si>
  <si>
    <t>(ii) SUB STRUCTURE WORK</t>
  </si>
  <si>
    <t>B-3
5.2.1.1</t>
  </si>
  <si>
    <t xml:space="preserve">Piers (Average Height) </t>
  </si>
  <si>
    <t xml:space="preserve">Circular Section pier </t>
  </si>
  <si>
    <t xml:space="preserve">Pier Cap </t>
  </si>
  <si>
    <t xml:space="preserve">Abutment wall (Average Height) </t>
  </si>
  <si>
    <t xml:space="preserve">Abutment Cap </t>
  </si>
  <si>
    <t xml:space="preserve">Dirt wall </t>
  </si>
  <si>
    <t>Returns</t>
  </si>
  <si>
    <t>B-3
9.3</t>
  </si>
  <si>
    <t xml:space="preserve">Steel reinforcement in substructure complete. [MoRTH Specification : Section 1600]. TMT Bars </t>
  </si>
  <si>
    <t>1.45% RCC quantity</t>
  </si>
  <si>
    <t>B-3
15</t>
  </si>
  <si>
    <t>Providing A.C. pipe Weep holes 150mm dia in Masonry/plain Concrete/Reinforced Concrete abutment, wing wall/return wall complete as per drawing and technical specification. [MoRTH Specification : Clause 2205].</t>
  </si>
  <si>
    <t>Abutments</t>
  </si>
  <si>
    <t>Rm</t>
  </si>
  <si>
    <t>B-1
3.1</t>
  </si>
  <si>
    <t>B-1
4</t>
  </si>
  <si>
    <t>Filter medium behind abutment, wing wall and return wall, complete as per drawing and technical specification. (Same as R7.20.3) [MoRTH Specification : Clause 2504].</t>
  </si>
  <si>
    <t>Abutment</t>
  </si>
  <si>
    <t>Return</t>
  </si>
  <si>
    <t>(iii) SUPERSTRUCTURE</t>
  </si>
  <si>
    <t>B-4
1.1.3</t>
  </si>
  <si>
    <t>Structural RCC/PSC upto a height of 5 mtr. for reinforced concrete in superstructure complete including steel formwork, scaffolding etc. As per drawing and technical specification.
Design mix concrete. [MoRTH Specification : 1500  &amp; 1700].
RCC M-30 grade
Solid slab superstructure</t>
  </si>
  <si>
    <t>Deck slab</t>
  </si>
  <si>
    <t>Circular section</t>
  </si>
  <si>
    <t>0.785 x0.75x0.75</t>
  </si>
  <si>
    <t>Guard Stones as per IRC SP 82-2008 PAGE 141</t>
  </si>
  <si>
    <t>B-4
3</t>
  </si>
  <si>
    <t>Providing and laying TMT bar reinforcement at any level in superstructure complete as per drawing and technical Specification. [MoRTH Specification : Section 1600]</t>
  </si>
  <si>
    <t>In deck slab anchor 25 mm bars</t>
  </si>
  <si>
    <t>B-4
5</t>
  </si>
  <si>
    <t>Reinforced cement concrete wearing coat M-30 grade at any level including formwork and reinforcement complete as per drawing and technical Specification. [MoRTH Specification : Clause 2204, 1500 &amp; 1700].</t>
  </si>
  <si>
    <t>Bridge length</t>
  </si>
  <si>
    <t>B-4
16</t>
  </si>
  <si>
    <t>Providing and Laying PCC M-15 grade leveling course below approach slab complete as per drawing and technical specifications. [MoRTH specification : 2700]</t>
  </si>
  <si>
    <t>B-4
17</t>
  </si>
  <si>
    <t>Reinforced cement concrete M-30 grade approach slab including reinforcement and formwork complete as per drawing and technical specifications. [MoRTH specification : 1500, 1600, 1700, 2704]</t>
  </si>
  <si>
    <t>Approch Slab</t>
  </si>
  <si>
    <t>B-4
11.2</t>
  </si>
  <si>
    <t>Providing and fixing 20mm thick Compressible Fibre Board in expansion joint complete as per drawing and technical specification in MoRTH specification : clause 2605.</t>
  </si>
  <si>
    <t xml:space="preserve">Slab </t>
  </si>
  <si>
    <t xml:space="preserve">abutment </t>
  </si>
  <si>
    <t xml:space="preserve">(0.40+1.20)/2 x 8.00  </t>
  </si>
  <si>
    <t>B-4
7</t>
  </si>
  <si>
    <t>Piers</t>
  </si>
  <si>
    <t xml:space="preserve">Approaches </t>
  </si>
  <si>
    <t>Earthwork in excavation in ordinary rock,  including stacking / disposal of surplus Material exclusive of compensation of earth.
By Hydraulic Excavator CK-90 of 0.9 cum bucket capacity and tipper with disposal upto 1000 mtrs.</t>
  </si>
  <si>
    <t>Qty. as per Sheet</t>
  </si>
  <si>
    <t>Qty. 60%Sheet</t>
  </si>
  <si>
    <t>Earthwork in excavation for roadway in hard rock,  including stacking / disposal of surplus Material exclusive of compensation of earth Requiring blasting</t>
  </si>
  <si>
    <t>Qty. 40%Sheet</t>
  </si>
  <si>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ordinary soil [MoRTH Specification : clause 301] BY MECHANICAL MEANS
Depth upto 3m</t>
  </si>
  <si>
    <t>Solid RCC Retatining Wall</t>
  </si>
  <si>
    <t>(0.35+0.85)/2</t>
  </si>
  <si>
    <t>1.5% RCC quantity</t>
  </si>
  <si>
    <t>R-7
(2.3)</t>
  </si>
  <si>
    <t xml:space="preserve">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 Using Cement concrete M-30 pavement Grade </t>
  </si>
  <si>
    <t>up to RCC Retatining Wall</t>
  </si>
  <si>
    <t>Raised  Pavment  Marker  ( Cats Eyes):  Supplying   and Fixing  of  Molded  Shank  Raised  Pavement  Markers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  DO  III  Dt  11.06.  1997.  The height, width and length shall not exceed 50  mm, 100 mm and 100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700  Kgf.  Fixing will be by drilling holes on the road for the shanks to go inside,  without  nails  and  using   epoxy   resin   based adhesive  as  per  manufacturer’s  recommendation and complete as  directed  by the engineer.  The contractor shall  submit  2 years  pre  qualified  warranty  certificate from the manufacturer for satisfactory field performance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</si>
</sst>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3" formatCode="_(* #,##0.00_);_(* \(#,##0.00\);_(* &quot;-&quot;??_);_(@_)"/>
    <numFmt numFmtId="172" formatCode="0.0"/>
    <numFmt numFmtId="173" formatCode="0.000"/>
    <numFmt numFmtId="175" formatCode="0.0000"/>
    <numFmt numFmtId="180" formatCode="#,##0.000"/>
    <numFmt numFmtId="196" formatCode="_(* #,##0.000_);_(* \(#,##0.000\);_(* &quot;-&quot;??_);_(@_)"/>
    <numFmt numFmtId="199" formatCode="0\ &quot;t&quot;"/>
    <numFmt numFmtId="200" formatCode="0.00&quot; m&quot;"/>
    <numFmt numFmtId="201" formatCode="0.00\ &quot; m&quot;"/>
    <numFmt numFmtId="202" formatCode="0.0;[Red]0.0"/>
    <numFmt numFmtId="203" formatCode="0.00;[Red]0.00"/>
    <numFmt numFmtId="204" formatCode="0.000;[Red]0.000"/>
    <numFmt numFmtId="205" formatCode="0.0&quot;t&quot;"/>
    <numFmt numFmtId="206" formatCode="\c\g\ \ 0.0\ \t"/>
    <numFmt numFmtId="207" formatCode=".0\ \t"/>
    <numFmt numFmtId="208" formatCode="0.00&quot;m&quot;"/>
  </numFmts>
  <fonts count="86">
    <font>
      <sz val="10"/>
      <name val="Arial"/>
    </font>
    <font>
      <sz val="10"/>
      <name val="Arial"/>
    </font>
    <font>
      <b/>
      <sz val="10"/>
      <name val="Arial"/>
      <family val="2"/>
    </font>
    <font>
      <b/>
      <u/>
      <sz val="10"/>
      <name val="Arial"/>
      <family val="2"/>
    </font>
    <font>
      <vertAlign val="superscript"/>
      <sz val="10"/>
      <name val="Arial"/>
      <family val="2"/>
    </font>
    <font>
      <vertAlign val="subscript"/>
      <sz val="10"/>
      <name val="Arial"/>
      <family val="2"/>
    </font>
    <font>
      <sz val="10"/>
      <name val="Arial"/>
      <family val="2"/>
    </font>
    <font>
      <sz val="10"/>
      <name val="Times New Roman"/>
      <family val="1"/>
    </font>
    <font>
      <b/>
      <u/>
      <sz val="12"/>
      <name val="Times New Roman"/>
      <family val="1"/>
    </font>
    <font>
      <b/>
      <sz val="10"/>
      <name val="Times New Roman"/>
      <family val="1"/>
    </font>
    <font>
      <sz val="8"/>
      <name val="Times New Roman"/>
      <family val="1"/>
    </font>
    <font>
      <b/>
      <vertAlign val="superscript"/>
      <sz val="10"/>
      <name val="Arial"/>
      <family val="2"/>
    </font>
    <font>
      <strike/>
      <sz val="10"/>
      <name val="Arial"/>
      <family val="2"/>
    </font>
    <font>
      <b/>
      <sz val="14"/>
      <name val="Arial"/>
      <family val="2"/>
    </font>
    <font>
      <b/>
      <sz val="8"/>
      <name val="Arial"/>
      <family val="2"/>
    </font>
    <font>
      <u/>
      <sz val="10"/>
      <color indexed="12"/>
      <name val="Arial"/>
      <family val="2"/>
    </font>
    <font>
      <sz val="8"/>
      <name val="Arial"/>
      <family val="2"/>
    </font>
    <font>
      <b/>
      <sz val="12"/>
      <name val="Arial"/>
      <family val="2"/>
    </font>
    <font>
      <sz val="10"/>
      <color indexed="14"/>
      <name val="Arial"/>
      <family val="2"/>
    </font>
    <font>
      <b/>
      <i/>
      <sz val="10"/>
      <name val="Arial"/>
      <family val="2"/>
    </font>
    <font>
      <b/>
      <sz val="10"/>
      <color indexed="10"/>
      <name val="Arial"/>
      <family val="2"/>
    </font>
    <font>
      <b/>
      <vertAlign val="superscript"/>
      <sz val="10"/>
      <color indexed="10"/>
      <name val="Arial"/>
      <family val="2"/>
    </font>
    <font>
      <sz val="10"/>
      <name val="Tahoma"/>
      <family val="2"/>
    </font>
    <font>
      <sz val="10"/>
      <color indexed="10"/>
      <name val="Arial"/>
      <family val="2"/>
    </font>
    <font>
      <sz val="20"/>
      <name val="Arial"/>
      <family val="2"/>
    </font>
    <font>
      <b/>
      <sz val="18"/>
      <name val="Arial"/>
      <family val="2"/>
    </font>
    <font>
      <b/>
      <sz val="17"/>
      <name val="Arial"/>
      <family val="2"/>
    </font>
    <font>
      <sz val="12"/>
      <name val="Arial"/>
      <family val="2"/>
    </font>
    <font>
      <vertAlign val="superscript"/>
      <sz val="12"/>
      <name val="Arial"/>
      <family val="2"/>
    </font>
    <font>
      <sz val="12"/>
      <color indexed="10"/>
      <name val="Arial"/>
      <family val="2"/>
    </font>
    <font>
      <b/>
      <sz val="10"/>
      <name val="Arial"/>
      <family val="2"/>
    </font>
    <font>
      <b/>
      <sz val="10"/>
      <name val="Symbol"/>
      <family val="1"/>
      <charset val="2"/>
    </font>
    <font>
      <sz val="14"/>
      <name val="Tahoma"/>
      <family val="2"/>
    </font>
    <font>
      <sz val="14"/>
      <color indexed="10"/>
      <name val="Tahoma"/>
      <family val="2"/>
    </font>
    <font>
      <vertAlign val="superscript"/>
      <sz val="10"/>
      <name val="Arial"/>
      <family val="2"/>
    </font>
    <font>
      <sz val="10"/>
      <color indexed="10"/>
      <name val="Arial"/>
      <family val="2"/>
    </font>
    <font>
      <b/>
      <sz val="10"/>
      <color indexed="10"/>
      <name val="Arial"/>
      <family val="2"/>
    </font>
    <font>
      <b/>
      <vertAlign val="superscript"/>
      <sz val="10"/>
      <color indexed="10"/>
      <name val="Arial"/>
      <family val="2"/>
    </font>
    <font>
      <sz val="10"/>
      <color indexed="8"/>
      <name val="Arial"/>
      <family val="2"/>
    </font>
    <font>
      <sz val="12"/>
      <name val="Arial Rounded MT Bold"/>
      <family val="2"/>
    </font>
    <font>
      <sz val="16"/>
      <name val="Arial Rounded MT Bold"/>
      <family val="2"/>
    </font>
    <font>
      <sz val="14"/>
      <name val="Arial"/>
      <family val="2"/>
    </font>
    <font>
      <b/>
      <u/>
      <sz val="12"/>
      <name val="Arial"/>
      <family val="2"/>
    </font>
    <font>
      <u/>
      <sz val="10"/>
      <name val="Arial"/>
      <family val="2"/>
    </font>
    <font>
      <sz val="10"/>
      <name val="Symbol"/>
      <family val="1"/>
      <charset val="2"/>
    </font>
    <font>
      <b/>
      <sz val="11"/>
      <name val="Arial"/>
      <family val="2"/>
    </font>
    <font>
      <b/>
      <sz val="9"/>
      <name val="Arial"/>
      <family val="2"/>
    </font>
    <font>
      <sz val="9"/>
      <name val="Arial"/>
      <family val="2"/>
    </font>
    <font>
      <sz val="10"/>
      <color indexed="8"/>
      <name val="Arial"/>
      <family val="2"/>
    </font>
    <font>
      <u/>
      <sz val="10"/>
      <name val="Arial"/>
      <family val="2"/>
    </font>
    <font>
      <sz val="10"/>
      <color indexed="10"/>
      <name val="Arial"/>
      <family val="2"/>
    </font>
    <font>
      <sz val="10"/>
      <name val="Arial"/>
      <family val="2"/>
    </font>
    <font>
      <b/>
      <sz val="10"/>
      <name val="Arial"/>
      <family val="2"/>
    </font>
    <font>
      <b/>
      <sz val="10"/>
      <color indexed="8"/>
      <name val="Arial"/>
      <family val="2"/>
    </font>
    <font>
      <b/>
      <sz val="14"/>
      <color indexed="10"/>
      <name val="Arial"/>
      <family val="2"/>
    </font>
    <font>
      <b/>
      <u/>
      <sz val="18"/>
      <name val="Arial"/>
      <family val="2"/>
    </font>
    <font>
      <vertAlign val="subscript"/>
      <sz val="12"/>
      <name val="Arial"/>
      <family val="2"/>
    </font>
    <font>
      <b/>
      <u/>
      <sz val="10"/>
      <name val="Arial Rounded MT Bold"/>
      <family val="2"/>
    </font>
    <font>
      <sz val="12"/>
      <name val="Bahnschrift SemiBold"/>
      <family val="2"/>
    </font>
    <font>
      <b/>
      <u/>
      <sz val="12"/>
      <name val="Bahnschrift SemiBold"/>
      <family val="2"/>
    </font>
    <font>
      <b/>
      <sz val="12"/>
      <name val="Bahnschrift SemiBold"/>
      <family val="2"/>
    </font>
    <font>
      <b/>
      <sz val="24"/>
      <name val="Arial"/>
      <family val="2"/>
    </font>
    <font>
      <b/>
      <vertAlign val="superscript"/>
      <sz val="12"/>
      <name val="Arial"/>
      <family val="2"/>
    </font>
    <font>
      <b/>
      <sz val="12"/>
      <name val="Symbol"/>
      <family val="1"/>
      <charset val="2"/>
    </font>
    <font>
      <b/>
      <sz val="12"/>
      <color indexed="10"/>
      <name val="Arial"/>
      <family val="2"/>
    </font>
    <font>
      <b/>
      <u/>
      <sz val="18"/>
      <name val="Bookman Old Style"/>
      <family val="1"/>
    </font>
    <font>
      <b/>
      <u/>
      <sz val="14"/>
      <name val="Book Antiqua"/>
      <family val="1"/>
    </font>
    <font>
      <b/>
      <u/>
      <sz val="16"/>
      <name val="Book Antiqua"/>
      <family val="1"/>
    </font>
    <font>
      <b/>
      <u/>
      <sz val="14"/>
      <name val="Clarendon"/>
      <family val="1"/>
    </font>
    <font>
      <b/>
      <sz val="10.5"/>
      <name val="Book Antiqua"/>
      <family val="1"/>
    </font>
    <font>
      <sz val="11"/>
      <name val="Arial"/>
      <family val="2"/>
    </font>
    <font>
      <b/>
      <sz val="10"/>
      <name val="Bookman Old Style"/>
      <family val="1"/>
    </font>
    <font>
      <sz val="10"/>
      <name val="Bookman Old Style"/>
      <family val="1"/>
    </font>
    <font>
      <b/>
      <sz val="11"/>
      <name val="Bookman Old Style"/>
      <family val="1"/>
    </font>
    <font>
      <b/>
      <sz val="12"/>
      <name val="Bookman Old Style"/>
      <family val="1"/>
    </font>
    <font>
      <b/>
      <sz val="12"/>
      <name val="Book Antiqua"/>
      <family val="1"/>
    </font>
    <font>
      <u/>
      <sz val="12"/>
      <name val="Arial"/>
      <family val="2"/>
    </font>
    <font>
      <b/>
      <u/>
      <sz val="12"/>
      <name val="Calibri"/>
      <family val="2"/>
    </font>
    <font>
      <b/>
      <sz val="10"/>
      <color rgb="FFFF0000"/>
      <name val="Arial"/>
      <family val="2"/>
    </font>
    <font>
      <sz val="10"/>
      <color rgb="FFFF0000"/>
      <name val="Arial"/>
      <family val="2"/>
    </font>
    <font>
      <sz val="10"/>
      <name val="Cambria"/>
      <family val="1"/>
      <scheme val="major"/>
    </font>
    <font>
      <b/>
      <sz val="14"/>
      <color rgb="FFFF0000"/>
      <name val="Arial"/>
      <family val="2"/>
    </font>
    <font>
      <sz val="10"/>
      <color rgb="FFFF0000"/>
      <name val="Arial"/>
    </font>
    <font>
      <i/>
      <sz val="10"/>
      <color rgb="FF808080"/>
      <name val="Arial"/>
      <family val="2"/>
    </font>
    <font>
      <sz val="12"/>
      <color rgb="FFFF0000"/>
      <name val="Arial"/>
      <family val="2"/>
    </font>
    <font>
      <b/>
      <sz val="12"/>
      <color rgb="FFFF0000"/>
      <name val="Arial"/>
      <family val="2"/>
    </font>
  </fonts>
  <fills count="11">
    <fill>
      <patternFill patternType="none"/>
    </fill>
    <fill>
      <patternFill patternType="gray125"/>
    </fill>
    <fill>
      <patternFill patternType="solid">
        <fgColor indexed="13"/>
        <bgColor indexed="64"/>
      </patternFill>
    </fill>
    <fill>
      <patternFill patternType="solid">
        <fgColor indexed="14"/>
        <bgColor indexed="64"/>
      </patternFill>
    </fill>
    <fill>
      <patternFill patternType="solid">
        <fgColor indexed="44"/>
        <bgColor indexed="64"/>
      </patternFill>
    </fill>
    <fill>
      <patternFill patternType="solid">
        <fgColor rgb="FFFFFF00"/>
        <bgColor indexed="64"/>
      </patternFill>
    </fill>
    <fill>
      <patternFill patternType="solid">
        <fgColor rgb="FF00B050"/>
        <bgColor indexed="64"/>
      </patternFill>
    </fill>
    <fill>
      <patternFill patternType="solid">
        <fgColor rgb="FFC000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thin">
        <color indexed="64"/>
      </left>
      <right style="double">
        <color indexed="64"/>
      </right>
      <top/>
      <bottom style="double">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style="thin">
        <color indexed="64"/>
      </top>
      <bottom/>
      <diagonal/>
    </border>
  </borders>
  <cellStyleXfs count="8">
    <xf numFmtId="0" fontId="0" fillId="0" borderId="0"/>
    <xf numFmtId="43" fontId="1" fillId="0" borderId="0" applyFont="0" applyFill="0" applyBorder="0" applyAlignment="0" applyProtection="0"/>
    <xf numFmtId="0" fontId="15" fillId="0" borderId="0" applyNumberFormat="0" applyFill="0" applyBorder="0" applyAlignment="0" applyProtection="0">
      <alignment vertical="top"/>
      <protection locked="0"/>
    </xf>
    <xf numFmtId="0" fontId="6" fillId="0" borderId="0"/>
    <xf numFmtId="0" fontId="6" fillId="0" borderId="0"/>
    <xf numFmtId="0" fontId="6" fillId="0" borderId="0"/>
    <xf numFmtId="0" fontId="6" fillId="0" borderId="0"/>
    <xf numFmtId="0" fontId="7" fillId="0" borderId="0"/>
  </cellStyleXfs>
  <cellXfs count="830">
    <xf numFmtId="0" fontId="0" fillId="0" borderId="0" xfId="0"/>
    <xf numFmtId="0" fontId="2" fillId="0" borderId="0" xfId="0" applyFont="1"/>
    <xf numFmtId="2" fontId="0" fillId="0" borderId="0" xfId="0" applyNumberFormat="1"/>
    <xf numFmtId="1" fontId="0" fillId="0" borderId="0" xfId="0" applyNumberFormat="1"/>
    <xf numFmtId="0" fontId="0" fillId="0" borderId="0" xfId="0" applyBorder="1"/>
    <xf numFmtId="2" fontId="0" fillId="0" borderId="0" xfId="0" quotePrefix="1" applyNumberFormat="1" applyAlignment="1">
      <alignment horizontal="right"/>
    </xf>
    <xf numFmtId="0" fontId="0" fillId="0" borderId="0" xfId="0" applyAlignment="1">
      <alignment horizontal="left"/>
    </xf>
    <xf numFmtId="0" fontId="0" fillId="0" borderId="0" xfId="0" applyAlignment="1">
      <alignment horizontal="right"/>
    </xf>
    <xf numFmtId="173" fontId="0" fillId="0" borderId="0" xfId="0" applyNumberFormat="1"/>
    <xf numFmtId="2" fontId="0" fillId="0" borderId="0" xfId="0" quotePrefix="1" applyNumberFormat="1" applyAlignment="1">
      <alignment horizontal="left"/>
    </xf>
    <xf numFmtId="2" fontId="0" fillId="0" borderId="0" xfId="0" applyNumberFormat="1" applyBorder="1"/>
    <xf numFmtId="1" fontId="2" fillId="0" borderId="0" xfId="0" applyNumberFormat="1" applyFont="1"/>
    <xf numFmtId="0" fontId="2" fillId="0" borderId="0" xfId="0" quotePrefix="1" applyFont="1" applyAlignment="1">
      <alignment horizontal="left"/>
    </xf>
    <xf numFmtId="0" fontId="2" fillId="0" borderId="0" xfId="0" applyFont="1" applyAlignment="1">
      <alignment horizontal="center"/>
    </xf>
    <xf numFmtId="0" fontId="2" fillId="0" borderId="0" xfId="0" quotePrefix="1" applyFont="1" applyAlignment="1">
      <alignment horizontal="center"/>
    </xf>
    <xf numFmtId="1" fontId="2" fillId="0" borderId="0" xfId="0" applyNumberFormat="1" applyFont="1" applyAlignment="1">
      <alignment horizontal="center"/>
    </xf>
    <xf numFmtId="2" fontId="0" fillId="0" borderId="0" xfId="0" quotePrefix="1" applyNumberFormat="1"/>
    <xf numFmtId="0" fontId="0" fillId="0" borderId="0" xfId="0" applyAlignment="1">
      <alignment vertical="top"/>
    </xf>
    <xf numFmtId="0" fontId="0" fillId="0" borderId="0" xfId="0" applyAlignment="1">
      <alignment vertical="top" wrapText="1"/>
    </xf>
    <xf numFmtId="0" fontId="0" fillId="0" borderId="0" xfId="0" quotePrefix="1"/>
    <xf numFmtId="0" fontId="0" fillId="0" borderId="0" xfId="0" applyAlignment="1">
      <alignment horizontal="left" vertical="top"/>
    </xf>
    <xf numFmtId="2" fontId="0" fillId="0" borderId="0" xfId="0" applyNumberFormat="1" applyAlignment="1">
      <alignment vertical="top"/>
    </xf>
    <xf numFmtId="2" fontId="0" fillId="0" borderId="0" xfId="0" applyNumberFormat="1" applyBorder="1" applyAlignment="1">
      <alignment vertical="top"/>
    </xf>
    <xf numFmtId="0" fontId="7" fillId="0" borderId="0" xfId="7"/>
    <xf numFmtId="180" fontId="7" fillId="0" borderId="0" xfId="7" applyNumberFormat="1"/>
    <xf numFmtId="0" fontId="9" fillId="0" borderId="0" xfId="7" applyFont="1" applyAlignment="1">
      <alignment horizontal="centerContinuous"/>
    </xf>
    <xf numFmtId="180" fontId="7" fillId="0" borderId="0" xfId="7" applyNumberFormat="1" applyAlignment="1">
      <alignment horizontal="centerContinuous"/>
    </xf>
    <xf numFmtId="0" fontId="7" fillId="0" borderId="0" xfId="7" applyAlignment="1">
      <alignment horizontal="centerContinuous"/>
    </xf>
    <xf numFmtId="0" fontId="9" fillId="0" borderId="0" xfId="7" applyFont="1" applyAlignment="1">
      <alignment horizontal="center"/>
    </xf>
    <xf numFmtId="0" fontId="10" fillId="0" borderId="1" xfId="7" applyFont="1" applyBorder="1" applyAlignment="1">
      <alignment horizontal="center" vertical="top" wrapText="1"/>
    </xf>
    <xf numFmtId="2" fontId="7" fillId="0" borderId="0" xfId="7" applyNumberFormat="1" applyAlignment="1">
      <alignment horizontal="center"/>
    </xf>
    <xf numFmtId="2" fontId="7" fillId="0" borderId="0" xfId="7" applyNumberFormat="1"/>
    <xf numFmtId="0" fontId="7" fillId="0" borderId="0" xfId="7" applyAlignment="1">
      <alignment horizontal="center"/>
    </xf>
    <xf numFmtId="0" fontId="7" fillId="0" borderId="0" xfId="7" quotePrefix="1" applyAlignment="1">
      <alignment horizontal="left"/>
    </xf>
    <xf numFmtId="180" fontId="10" fillId="0" borderId="1" xfId="7" applyNumberFormat="1" applyFont="1" applyBorder="1" applyAlignment="1">
      <alignment horizontal="center" vertical="top" wrapText="1"/>
    </xf>
    <xf numFmtId="0" fontId="10" fillId="0" borderId="1" xfId="7" quotePrefix="1" applyFont="1" applyBorder="1" applyAlignment="1">
      <alignment horizontal="center" vertical="top" wrapText="1"/>
    </xf>
    <xf numFmtId="2" fontId="7" fillId="0" borderId="1" xfId="7" applyNumberFormat="1" applyBorder="1" applyAlignment="1">
      <alignment horizontal="center"/>
    </xf>
    <xf numFmtId="2" fontId="7" fillId="0" borderId="1" xfId="7" applyNumberFormat="1" applyBorder="1"/>
    <xf numFmtId="2" fontId="2" fillId="0" borderId="0" xfId="0" applyNumberFormat="1" applyFont="1"/>
    <xf numFmtId="2" fontId="2" fillId="0" borderId="2" xfId="0" applyNumberFormat="1" applyFont="1" applyBorder="1"/>
    <xf numFmtId="2" fontId="2" fillId="0" borderId="0" xfId="0" applyNumberFormat="1" applyFont="1" applyBorder="1"/>
    <xf numFmtId="2" fontId="0" fillId="0" borderId="0" xfId="0" applyNumberFormat="1" applyAlignment="1">
      <alignment horizontal="center"/>
    </xf>
    <xf numFmtId="2" fontId="2" fillId="0" borderId="0" xfId="0" applyNumberFormat="1" applyFont="1" applyAlignment="1">
      <alignment vertical="top"/>
    </xf>
    <xf numFmtId="2" fontId="2" fillId="0" borderId="0" xfId="0" applyNumberFormat="1" applyFont="1" applyAlignment="1">
      <alignment horizontal="center"/>
    </xf>
    <xf numFmtId="2" fontId="0" fillId="0" borderId="0" xfId="0" applyNumberFormat="1" applyAlignment="1">
      <alignment vertical="top" wrapText="1"/>
    </xf>
    <xf numFmtId="2" fontId="0" fillId="0" borderId="0" xfId="0" quotePrefix="1" applyNumberFormat="1" applyAlignment="1">
      <alignment vertical="top"/>
    </xf>
    <xf numFmtId="2" fontId="6" fillId="0" borderId="0" xfId="0" applyNumberFormat="1" applyFont="1" applyAlignment="1">
      <alignment vertical="top" wrapText="1"/>
    </xf>
    <xf numFmtId="2" fontId="0" fillId="0" borderId="0" xfId="0" applyNumberFormat="1" applyAlignment="1">
      <alignment horizontal="right"/>
    </xf>
    <xf numFmtId="2" fontId="2" fillId="0" borderId="0" xfId="0" applyNumberFormat="1" applyFont="1" applyAlignment="1">
      <alignment horizontal="center" vertical="top"/>
    </xf>
    <xf numFmtId="2" fontId="2" fillId="0" borderId="0" xfId="0" applyNumberFormat="1" applyFont="1" applyAlignment="1">
      <alignment horizontal="left"/>
    </xf>
    <xf numFmtId="2" fontId="2" fillId="0" borderId="0" xfId="0" applyNumberFormat="1" applyFont="1" applyAlignment="1">
      <alignment vertical="top" wrapText="1"/>
    </xf>
    <xf numFmtId="1" fontId="0" fillId="0" borderId="0" xfId="0" applyNumberFormat="1" applyAlignment="1">
      <alignment vertical="top" wrapText="1"/>
    </xf>
    <xf numFmtId="2" fontId="6" fillId="0" borderId="0" xfId="0" applyNumberFormat="1" applyFont="1" applyAlignment="1">
      <alignment horizontal="left"/>
    </xf>
    <xf numFmtId="2" fontId="2" fillId="0" borderId="0" xfId="0" quotePrefix="1" applyNumberFormat="1" applyFont="1" applyAlignment="1">
      <alignment vertical="top"/>
    </xf>
    <xf numFmtId="2" fontId="0" fillId="0" borderId="0" xfId="0" applyNumberFormat="1" applyAlignment="1">
      <alignment horizontal="left"/>
    </xf>
    <xf numFmtId="2" fontId="0" fillId="0" borderId="0" xfId="0" quotePrefix="1" applyNumberFormat="1" applyAlignment="1">
      <alignment horizontal="center"/>
    </xf>
    <xf numFmtId="2" fontId="0" fillId="0" borderId="0" xfId="0" applyNumberFormat="1" applyAlignment="1">
      <alignment horizontal="center" vertical="top"/>
    </xf>
    <xf numFmtId="2" fontId="0" fillId="0" borderId="0" xfId="0" quotePrefix="1" applyNumberFormat="1" applyBorder="1" applyAlignment="1">
      <alignment horizontal="left"/>
    </xf>
    <xf numFmtId="2" fontId="0" fillId="0" borderId="0" xfId="0" applyNumberFormat="1" applyAlignment="1">
      <alignment horizontal="right" vertical="top" wrapText="1"/>
    </xf>
    <xf numFmtId="2" fontId="2" fillId="0" borderId="0" xfId="0" applyNumberFormat="1" applyFont="1" applyAlignment="1">
      <alignment horizontal="right"/>
    </xf>
    <xf numFmtId="2" fontId="0" fillId="0" borderId="0" xfId="0" applyNumberFormat="1" applyAlignment="1">
      <alignment horizontal="left" vertical="top"/>
    </xf>
    <xf numFmtId="2" fontId="0" fillId="0" borderId="0" xfId="0" applyNumberFormat="1" applyAlignment="1">
      <alignment horizontal="left" vertical="top" wrapText="1"/>
    </xf>
    <xf numFmtId="2" fontId="4" fillId="0" borderId="0" xfId="0" quotePrefix="1" applyNumberFormat="1" applyFont="1"/>
    <xf numFmtId="2" fontId="2" fillId="0" borderId="0" xfId="0" quotePrefix="1" applyNumberFormat="1" applyFont="1"/>
    <xf numFmtId="2" fontId="0" fillId="0" borderId="0" xfId="0" quotePrefix="1" applyNumberFormat="1" applyBorder="1"/>
    <xf numFmtId="2" fontId="0" fillId="0" borderId="3" xfId="0" applyNumberFormat="1" applyBorder="1"/>
    <xf numFmtId="2" fontId="0" fillId="0" borderId="4" xfId="0" applyNumberFormat="1" applyBorder="1"/>
    <xf numFmtId="2" fontId="3" fillId="0" borderId="0" xfId="0" applyNumberFormat="1" applyFont="1" applyAlignment="1">
      <alignment horizontal="left"/>
    </xf>
    <xf numFmtId="2" fontId="12" fillId="0" borderId="0" xfId="0" applyNumberFormat="1" applyFont="1" applyAlignment="1">
      <alignment horizontal="right"/>
    </xf>
    <xf numFmtId="2" fontId="2" fillId="0" borderId="2" xfId="0" applyNumberFormat="1" applyFont="1" applyBorder="1" applyAlignment="1">
      <alignment horizontal="left"/>
    </xf>
    <xf numFmtId="2" fontId="3" fillId="0" borderId="0" xfId="0" applyNumberFormat="1" applyFont="1" applyAlignment="1">
      <alignment horizontal="right"/>
    </xf>
    <xf numFmtId="2" fontId="3" fillId="0" borderId="0" xfId="0" applyNumberFormat="1" applyFont="1"/>
    <xf numFmtId="2" fontId="3" fillId="0" borderId="0" xfId="0" applyNumberFormat="1" applyFont="1" applyAlignment="1">
      <alignment vertical="top"/>
    </xf>
    <xf numFmtId="1" fontId="2" fillId="0" borderId="0" xfId="0" quotePrefix="1" applyNumberFormat="1" applyFont="1" applyAlignment="1">
      <alignment horizontal="right"/>
    </xf>
    <xf numFmtId="2" fontId="0" fillId="0" borderId="0" xfId="0" quotePrefix="1" applyNumberFormat="1" applyBorder="1" applyAlignment="1">
      <alignment horizontal="right"/>
    </xf>
    <xf numFmtId="2" fontId="0" fillId="0" borderId="0" xfId="0" applyNumberFormat="1" applyBorder="1" applyAlignment="1">
      <alignment horizontal="center"/>
    </xf>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2" fontId="0" fillId="0" borderId="9" xfId="0" applyNumberFormat="1" applyBorder="1"/>
    <xf numFmtId="2" fontId="0" fillId="0" borderId="8" xfId="0" quotePrefix="1" applyNumberFormat="1" applyBorder="1" applyAlignment="1">
      <alignment horizontal="center"/>
    </xf>
    <xf numFmtId="2" fontId="0" fillId="0" borderId="10" xfId="0" quotePrefix="1" applyNumberFormat="1" applyBorder="1" applyAlignment="1">
      <alignment horizontal="left"/>
    </xf>
    <xf numFmtId="0" fontId="2" fillId="0" borderId="0" xfId="0" applyFont="1" applyAlignment="1">
      <alignment horizontal="left"/>
    </xf>
    <xf numFmtId="1" fontId="2" fillId="0" borderId="0" xfId="0" applyNumberFormat="1" applyFont="1" applyAlignment="1">
      <alignment vertical="top"/>
    </xf>
    <xf numFmtId="0" fontId="0" fillId="0" borderId="0" xfId="0" applyAlignment="1">
      <alignment horizontal="right" vertical="top"/>
    </xf>
    <xf numFmtId="175" fontId="0" fillId="0" borderId="0" xfId="0" applyNumberFormat="1" applyAlignment="1">
      <alignment vertical="top"/>
    </xf>
    <xf numFmtId="175" fontId="0" fillId="0" borderId="0" xfId="0" applyNumberFormat="1"/>
    <xf numFmtId="0" fontId="4" fillId="0" borderId="0" xfId="0" applyFont="1"/>
    <xf numFmtId="0" fontId="2" fillId="0" borderId="0" xfId="0" applyFont="1" applyAlignment="1">
      <alignment vertical="top"/>
    </xf>
    <xf numFmtId="0" fontId="0" fillId="0" borderId="0" xfId="0" applyAlignment="1"/>
    <xf numFmtId="0" fontId="0" fillId="0" borderId="0" xfId="0" quotePrefix="1" applyAlignment="1"/>
    <xf numFmtId="2" fontId="0" fillId="0" borderId="0" xfId="0" applyNumberFormat="1" applyAlignment="1"/>
    <xf numFmtId="0" fontId="4" fillId="0" borderId="0" xfId="0" applyFont="1" applyAlignment="1"/>
    <xf numFmtId="175" fontId="0" fillId="0" borderId="0" xfId="0" applyNumberFormat="1" applyAlignment="1"/>
    <xf numFmtId="2" fontId="0" fillId="0" borderId="0" xfId="0" quotePrefix="1" applyNumberFormat="1" applyAlignment="1"/>
    <xf numFmtId="1" fontId="0" fillId="0" borderId="0" xfId="0" applyNumberFormat="1" applyAlignment="1"/>
    <xf numFmtId="1" fontId="2" fillId="0" borderId="0" xfId="0" applyNumberFormat="1" applyFont="1" applyAlignment="1"/>
    <xf numFmtId="0" fontId="2" fillId="0" borderId="0" xfId="0" applyFont="1" applyAlignment="1"/>
    <xf numFmtId="0" fontId="2" fillId="0" borderId="0" xfId="0" applyFont="1" applyAlignment="1">
      <alignment horizontal="right"/>
    </xf>
    <xf numFmtId="0" fontId="14" fillId="0" borderId="0" xfId="0" applyFont="1"/>
    <xf numFmtId="173" fontId="0" fillId="0" borderId="0" xfId="0" applyNumberFormat="1" applyAlignment="1">
      <alignment vertical="top"/>
    </xf>
    <xf numFmtId="2" fontId="7" fillId="0" borderId="0" xfId="7" applyNumberFormat="1" applyBorder="1" applyAlignment="1">
      <alignment horizontal="center"/>
    </xf>
    <xf numFmtId="2" fontId="0" fillId="0" borderId="1" xfId="0" applyNumberFormat="1" applyBorder="1" applyAlignment="1">
      <alignment horizontal="center"/>
    </xf>
    <xf numFmtId="0" fontId="7" fillId="0" borderId="0" xfId="7" applyFont="1"/>
    <xf numFmtId="0" fontId="0" fillId="0" borderId="0" xfId="0" applyAlignment="1">
      <alignment horizontal="center"/>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center"/>
    </xf>
    <xf numFmtId="0" fontId="0" fillId="0" borderId="0" xfId="0" applyAlignment="1">
      <alignment horizontal="left" vertical="top" wrapText="1"/>
    </xf>
    <xf numFmtId="2" fontId="0" fillId="2" borderId="0" xfId="0" applyNumberFormat="1" applyFill="1"/>
    <xf numFmtId="2" fontId="0" fillId="2" borderId="0" xfId="0" applyNumberFormat="1" applyFill="1" applyAlignment="1">
      <alignment vertical="top"/>
    </xf>
    <xf numFmtId="2" fontId="16" fillId="0" borderId="0" xfId="0" applyNumberFormat="1" applyFont="1" applyBorder="1" applyAlignment="1">
      <alignment horizontal="left"/>
    </xf>
    <xf numFmtId="2" fontId="0" fillId="0" borderId="0" xfId="0" applyNumberFormat="1" applyFill="1" applyAlignment="1">
      <alignment vertical="top"/>
    </xf>
    <xf numFmtId="2" fontId="14" fillId="0" borderId="0" xfId="0" applyNumberFormat="1" applyFont="1" applyAlignment="1">
      <alignment horizontal="left"/>
    </xf>
    <xf numFmtId="1" fontId="0" fillId="0" borderId="0" xfId="0" quotePrefix="1" applyNumberFormat="1" applyAlignment="1">
      <alignment horizontal="left" vertical="top"/>
    </xf>
    <xf numFmtId="1" fontId="0" fillId="0" borderId="0" xfId="0" applyNumberFormat="1" applyAlignment="1">
      <alignment horizontal="left" vertical="top"/>
    </xf>
    <xf numFmtId="173" fontId="0" fillId="0" borderId="0" xfId="0" quotePrefix="1" applyNumberFormat="1" applyAlignment="1">
      <alignment horizontal="left" vertical="top"/>
    </xf>
    <xf numFmtId="2" fontId="0" fillId="0" borderId="0" xfId="0" quotePrefix="1" applyNumberFormat="1" applyAlignment="1">
      <alignment horizontal="left" vertical="top" wrapText="1"/>
    </xf>
    <xf numFmtId="2" fontId="0" fillId="0" borderId="0" xfId="0" quotePrefix="1" applyNumberFormat="1" applyAlignment="1">
      <alignment horizontal="left" vertical="top"/>
    </xf>
    <xf numFmtId="1" fontId="0" fillId="0" borderId="0" xfId="0" quotePrefix="1" applyNumberFormat="1" applyAlignment="1">
      <alignment horizontal="left"/>
    </xf>
    <xf numFmtId="0" fontId="2" fillId="0" borderId="0" xfId="0" applyFont="1" applyAlignment="1">
      <alignment horizontal="left" vertical="top"/>
    </xf>
    <xf numFmtId="0" fontId="1" fillId="0" borderId="0" xfId="0" applyFont="1" applyAlignment="1">
      <alignment horizontal="left" vertical="top" wrapText="1"/>
    </xf>
    <xf numFmtId="2" fontId="1" fillId="0" borderId="0" xfId="0" applyNumberFormat="1" applyFont="1"/>
    <xf numFmtId="0" fontId="1" fillId="0" borderId="0" xfId="0" quotePrefix="1" applyFont="1" applyAlignment="1">
      <alignment horizontal="left"/>
    </xf>
    <xf numFmtId="0" fontId="1" fillId="0" borderId="0" xfId="0" applyFont="1"/>
    <xf numFmtId="0" fontId="1" fillId="0" borderId="0" xfId="0" applyFont="1" applyAlignment="1">
      <alignment horizontal="right" vertical="top" wrapText="1"/>
    </xf>
    <xf numFmtId="2" fontId="1" fillId="0" borderId="0" xfId="0" applyNumberFormat="1" applyFont="1" applyAlignment="1">
      <alignment horizontal="left" vertical="top" wrapText="1"/>
    </xf>
    <xf numFmtId="2" fontId="1" fillId="0" borderId="0" xfId="0" quotePrefix="1" applyNumberFormat="1" applyFont="1"/>
    <xf numFmtId="0" fontId="1" fillId="0" borderId="0" xfId="0" quotePrefix="1" applyFont="1"/>
    <xf numFmtId="0" fontId="1" fillId="0" borderId="0" xfId="0" quotePrefix="1" applyFont="1" applyAlignment="1">
      <alignment horizontal="left" vertical="top" wrapText="1"/>
    </xf>
    <xf numFmtId="0" fontId="1" fillId="0" borderId="0" xfId="0" applyFont="1" applyAlignment="1">
      <alignment horizontal="right"/>
    </xf>
    <xf numFmtId="1" fontId="1" fillId="0" borderId="0" xfId="0" applyNumberFormat="1" applyFont="1"/>
    <xf numFmtId="0" fontId="1" fillId="0" borderId="0" xfId="0" applyFont="1" applyAlignment="1">
      <alignment horizontal="left"/>
    </xf>
    <xf numFmtId="1" fontId="1" fillId="0" borderId="0" xfId="0" applyNumberFormat="1" applyFont="1" applyAlignment="1">
      <alignment horizontal="centerContinuous"/>
    </xf>
    <xf numFmtId="0" fontId="0" fillId="0" borderId="0" xfId="0" quotePrefix="1" applyAlignment="1">
      <alignment horizontal="left"/>
    </xf>
    <xf numFmtId="1" fontId="2" fillId="0" borderId="0" xfId="0" quotePrefix="1" applyNumberFormat="1" applyFont="1" applyAlignment="1">
      <alignment horizontal="left"/>
    </xf>
    <xf numFmtId="2" fontId="1" fillId="0" borderId="0" xfId="0" applyNumberFormat="1" applyFont="1" applyBorder="1"/>
    <xf numFmtId="1" fontId="14" fillId="0" borderId="0" xfId="0" quotePrefix="1" applyNumberFormat="1" applyFont="1" applyAlignment="1">
      <alignment horizontal="left"/>
    </xf>
    <xf numFmtId="1" fontId="2" fillId="0" borderId="0" xfId="0" applyNumberFormat="1" applyFont="1" applyAlignment="1">
      <alignment horizontal="left"/>
    </xf>
    <xf numFmtId="2" fontId="1" fillId="0" borderId="0" xfId="0" applyNumberFormat="1" applyFont="1" applyAlignment="1">
      <alignment horizontal="right" vertical="top"/>
    </xf>
    <xf numFmtId="2" fontId="1" fillId="0" borderId="0" xfId="0" quotePrefix="1" applyNumberFormat="1" applyFont="1" applyAlignment="1">
      <alignment horizontal="center"/>
    </xf>
    <xf numFmtId="2" fontId="1" fillId="0" borderId="0" xfId="0" applyNumberFormat="1" applyFont="1" applyAlignment="1">
      <alignment horizontal="left"/>
    </xf>
    <xf numFmtId="2" fontId="1" fillId="0" borderId="0" xfId="0" quotePrefix="1" applyNumberFormat="1" applyFont="1" applyAlignment="1">
      <alignment horizontal="right" vertical="top"/>
    </xf>
    <xf numFmtId="2" fontId="1" fillId="0" borderId="0" xfId="0" quotePrefix="1" applyNumberFormat="1" applyFont="1" applyAlignment="1">
      <alignment horizontal="left"/>
    </xf>
    <xf numFmtId="1" fontId="14" fillId="0" borderId="0" xfId="0" applyNumberFormat="1" applyFont="1" applyAlignment="1">
      <alignment horizontal="center"/>
    </xf>
    <xf numFmtId="0" fontId="0" fillId="0" borderId="0" xfId="0" applyBorder="1" applyAlignment="1">
      <alignment horizontal="center"/>
    </xf>
    <xf numFmtId="1" fontId="0" fillId="0" borderId="0" xfId="0" applyNumberFormat="1" applyAlignment="1">
      <alignment horizontal="center" vertical="top"/>
    </xf>
    <xf numFmtId="1" fontId="0" fillId="0" borderId="0" xfId="0" applyNumberFormat="1" applyAlignment="1">
      <alignment horizontal="center"/>
    </xf>
    <xf numFmtId="0" fontId="0" fillId="0" borderId="0" xfId="0" applyBorder="1" applyAlignment="1">
      <alignment horizontal="left"/>
    </xf>
    <xf numFmtId="2" fontId="18" fillId="0" borderId="0" xfId="0" applyNumberFormat="1" applyFont="1"/>
    <xf numFmtId="43" fontId="18" fillId="0" borderId="0" xfId="0" applyNumberFormat="1" applyFont="1"/>
    <xf numFmtId="2" fontId="20" fillId="0" borderId="0" xfId="0" quotePrefix="1" applyNumberFormat="1" applyFont="1"/>
    <xf numFmtId="2" fontId="22" fillId="0" borderId="1" xfId="7" applyNumberFormat="1" applyFont="1" applyBorder="1" applyAlignment="1">
      <alignment horizontal="center"/>
    </xf>
    <xf numFmtId="173" fontId="9" fillId="0" borderId="0" xfId="7" applyNumberFormat="1" applyFont="1" applyAlignment="1">
      <alignment horizontal="center"/>
    </xf>
    <xf numFmtId="43" fontId="1" fillId="0" borderId="0" xfId="1" applyAlignment="1"/>
    <xf numFmtId="0" fontId="0" fillId="0" borderId="0" xfId="0" applyBorder="1" applyAlignment="1">
      <alignment vertical="top" wrapText="1"/>
    </xf>
    <xf numFmtId="2" fontId="23" fillId="0" borderId="0" xfId="0" applyNumberFormat="1" applyFont="1" applyAlignment="1">
      <alignment vertical="top"/>
    </xf>
    <xf numFmtId="173" fontId="23" fillId="0" borderId="0" xfId="0" applyNumberFormat="1" applyFont="1" applyAlignment="1">
      <alignment vertical="top"/>
    </xf>
    <xf numFmtId="173" fontId="0" fillId="0" borderId="0" xfId="0" applyNumberFormat="1" applyBorder="1"/>
    <xf numFmtId="173" fontId="2" fillId="0" borderId="0" xfId="0" applyNumberFormat="1" applyFont="1" applyBorder="1"/>
    <xf numFmtId="173" fontId="0" fillId="0" borderId="0" xfId="0" applyNumberFormat="1" applyBorder="1" applyAlignment="1">
      <alignment vertical="top"/>
    </xf>
    <xf numFmtId="0" fontId="27" fillId="0" borderId="0" xfId="0" applyFont="1" applyAlignment="1">
      <alignment horizontal="left"/>
    </xf>
    <xf numFmtId="0" fontId="23" fillId="0" borderId="0" xfId="0" applyFont="1"/>
    <xf numFmtId="0" fontId="27" fillId="0" borderId="0" xfId="0" quotePrefix="1" applyFont="1"/>
    <xf numFmtId="2" fontId="29" fillId="0" borderId="0" xfId="0" applyNumberFormat="1" applyFont="1"/>
    <xf numFmtId="0" fontId="27" fillId="0" borderId="0" xfId="0" applyFont="1" applyAlignment="1">
      <alignment horizontal="left" vertical="top" wrapText="1"/>
    </xf>
    <xf numFmtId="173" fontId="29" fillId="0" borderId="0" xfId="0" applyNumberFormat="1" applyFont="1"/>
    <xf numFmtId="173" fontId="3" fillId="0" borderId="0" xfId="0" applyNumberFormat="1" applyFont="1" applyAlignment="1">
      <alignment vertical="top"/>
    </xf>
    <xf numFmtId="1" fontId="3" fillId="0" borderId="0" xfId="0" applyNumberFormat="1" applyFont="1"/>
    <xf numFmtId="0" fontId="25" fillId="0" borderId="0" xfId="0" applyFont="1" applyAlignment="1">
      <alignment horizontal="left"/>
    </xf>
    <xf numFmtId="0" fontId="26" fillId="0" borderId="0" xfId="0" applyFont="1" applyAlignment="1">
      <alignment horizontal="left"/>
    </xf>
    <xf numFmtId="0" fontId="27" fillId="0" borderId="0" xfId="0" applyFont="1"/>
    <xf numFmtId="0" fontId="27" fillId="0" borderId="0" xfId="0" applyFont="1" applyAlignment="1">
      <alignment horizontal="right"/>
    </xf>
    <xf numFmtId="2" fontId="27" fillId="0" borderId="0" xfId="0" applyNumberFormat="1" applyFont="1"/>
    <xf numFmtId="0" fontId="28" fillId="0" borderId="0" xfId="0" applyFont="1" applyAlignment="1">
      <alignment horizontal="right"/>
    </xf>
    <xf numFmtId="173" fontId="23" fillId="0" borderId="0" xfId="0" applyNumberFormat="1" applyFont="1"/>
    <xf numFmtId="0" fontId="0" fillId="0" borderId="0" xfId="0" quotePrefix="1" applyAlignment="1">
      <alignment horizontal="center"/>
    </xf>
    <xf numFmtId="0" fontId="29" fillId="0" borderId="0" xfId="0" applyFont="1"/>
    <xf numFmtId="0" fontId="27" fillId="0" borderId="0" xfId="0" applyFont="1" applyAlignment="1">
      <alignment horizontal="left" indent="8"/>
    </xf>
    <xf numFmtId="2" fontId="23" fillId="0" borderId="0" xfId="0" applyNumberFormat="1" applyFont="1"/>
    <xf numFmtId="0" fontId="2" fillId="3" borderId="0" xfId="0" applyFont="1" applyFill="1"/>
    <xf numFmtId="2" fontId="2" fillId="3" borderId="0" xfId="0" applyNumberFormat="1" applyFont="1" applyFill="1"/>
    <xf numFmtId="0" fontId="0" fillId="0" borderId="0" xfId="0" applyFill="1"/>
    <xf numFmtId="0" fontId="2" fillId="0" borderId="0" xfId="0" applyFont="1" applyFill="1"/>
    <xf numFmtId="2" fontId="2" fillId="0" borderId="11" xfId="0" applyNumberFormat="1" applyFont="1" applyBorder="1"/>
    <xf numFmtId="2" fontId="2" fillId="0" borderId="12" xfId="0" applyNumberFormat="1" applyFont="1" applyBorder="1"/>
    <xf numFmtId="0" fontId="6" fillId="0" borderId="0" xfId="0" applyFont="1" applyAlignment="1">
      <alignment vertical="top"/>
    </xf>
    <xf numFmtId="173" fontId="1" fillId="0" borderId="0" xfId="0" applyNumberFormat="1" applyFont="1" applyAlignment="1">
      <alignment vertical="top"/>
    </xf>
    <xf numFmtId="2" fontId="2" fillId="0" borderId="0" xfId="0" quotePrefix="1" applyNumberFormat="1" applyFont="1" applyAlignment="1">
      <alignment horizontal="right" vertical="top"/>
    </xf>
    <xf numFmtId="0" fontId="30" fillId="0" borderId="0" xfId="0" applyFont="1" applyAlignment="1">
      <alignment vertical="top" wrapText="1"/>
    </xf>
    <xf numFmtId="0" fontId="30" fillId="0" borderId="0" xfId="0" applyFont="1" applyAlignment="1">
      <alignment vertical="top"/>
    </xf>
    <xf numFmtId="0" fontId="30" fillId="0" borderId="0" xfId="0" applyFont="1" applyAlignment="1">
      <alignment horizontal="right" vertical="top"/>
    </xf>
    <xf numFmtId="0" fontId="30" fillId="0" borderId="0" xfId="0" applyFont="1"/>
    <xf numFmtId="2" fontId="30" fillId="0" borderId="0" xfId="0" applyNumberFormat="1" applyFont="1" applyAlignment="1">
      <alignment horizontal="right" vertical="top"/>
    </xf>
    <xf numFmtId="0" fontId="31" fillId="0" borderId="0" xfId="0" applyFont="1" applyAlignment="1">
      <alignment vertical="top" wrapText="1"/>
    </xf>
    <xf numFmtId="173" fontId="0" fillId="0" borderId="0" xfId="0" applyNumberFormat="1" applyAlignment="1">
      <alignment horizontal="right" vertical="top"/>
    </xf>
    <xf numFmtId="1" fontId="0" fillId="0" borderId="0" xfId="0" applyNumberFormat="1" applyAlignment="1">
      <alignment horizontal="right" vertical="top"/>
    </xf>
    <xf numFmtId="1" fontId="0" fillId="2" borderId="0" xfId="0" applyNumberFormat="1" applyFill="1" applyAlignment="1">
      <alignment horizontal="right" vertical="top"/>
    </xf>
    <xf numFmtId="0" fontId="30" fillId="0" borderId="0" xfId="0" applyFont="1" applyAlignment="1">
      <alignment horizontal="left" vertical="top"/>
    </xf>
    <xf numFmtId="1" fontId="0" fillId="0" borderId="0" xfId="0" applyNumberFormat="1" applyAlignment="1">
      <alignment vertical="top"/>
    </xf>
    <xf numFmtId="0" fontId="2" fillId="0" borderId="0" xfId="0" applyFont="1" applyAlignment="1">
      <alignment horizontal="center" vertical="top"/>
    </xf>
    <xf numFmtId="2" fontId="0" fillId="0" borderId="0" xfId="0" applyNumberFormat="1" applyAlignment="1">
      <alignment horizontal="right" vertical="top"/>
    </xf>
    <xf numFmtId="0" fontId="20" fillId="0" borderId="0" xfId="0" applyFont="1"/>
    <xf numFmtId="0" fontId="32" fillId="0" borderId="0" xfId="0" applyFont="1"/>
    <xf numFmtId="0" fontId="34" fillId="0" borderId="0" xfId="0" applyFont="1" applyAlignment="1">
      <alignment horizontal="left"/>
    </xf>
    <xf numFmtId="0" fontId="2" fillId="0" borderId="0" xfId="0" quotePrefix="1" applyFont="1"/>
    <xf numFmtId="180" fontId="22" fillId="0" borderId="0" xfId="7" applyNumberFormat="1" applyFont="1"/>
    <xf numFmtId="2" fontId="22" fillId="0" borderId="0" xfId="7" applyNumberFormat="1" applyFont="1"/>
    <xf numFmtId="43" fontId="0" fillId="0" borderId="1" xfId="1" applyFont="1" applyBorder="1" applyAlignment="1"/>
    <xf numFmtId="196" fontId="0" fillId="0" borderId="1" xfId="1" applyNumberFormat="1" applyFont="1" applyBorder="1" applyAlignment="1">
      <alignment horizontal="center"/>
    </xf>
    <xf numFmtId="196" fontId="0" fillId="0" borderId="1" xfId="0" applyNumberFormat="1" applyBorder="1" applyAlignment="1">
      <alignment horizontal="center"/>
    </xf>
    <xf numFmtId="2" fontId="35" fillId="0" borderId="0" xfId="0" applyNumberFormat="1" applyFont="1" applyAlignment="1">
      <alignment vertical="top"/>
    </xf>
    <xf numFmtId="0" fontId="35" fillId="0" borderId="0" xfId="0" applyFont="1"/>
    <xf numFmtId="2" fontId="35" fillId="0" borderId="0" xfId="0" applyNumberFormat="1" applyFont="1"/>
    <xf numFmtId="2" fontId="20" fillId="0" borderId="0" xfId="0" applyNumberFormat="1" applyFont="1" applyAlignment="1">
      <alignment vertical="top"/>
    </xf>
    <xf numFmtId="2" fontId="20" fillId="0" borderId="0" xfId="0" quotePrefix="1" applyNumberFormat="1" applyFont="1" applyAlignment="1">
      <alignment vertical="top"/>
    </xf>
    <xf numFmtId="2" fontId="20" fillId="0" borderId="0" xfId="0" applyNumberFormat="1" applyFont="1" applyAlignment="1">
      <alignment horizontal="left"/>
    </xf>
    <xf numFmtId="0" fontId="35" fillId="0" borderId="0" xfId="0" applyFont="1" applyAlignment="1">
      <alignment vertical="top"/>
    </xf>
    <xf numFmtId="0" fontId="35" fillId="0" borderId="0" xfId="0" quotePrefix="1" applyFont="1"/>
    <xf numFmtId="173" fontId="35" fillId="0" borderId="0" xfId="0" applyNumberFormat="1" applyFont="1"/>
    <xf numFmtId="1" fontId="35" fillId="0" borderId="0" xfId="0" applyNumberFormat="1" applyFont="1" applyAlignment="1">
      <alignment horizontal="right" vertical="top"/>
    </xf>
    <xf numFmtId="1" fontId="2" fillId="0" borderId="13" xfId="0" applyNumberFormat="1" applyFont="1" applyBorder="1" applyAlignment="1">
      <alignment horizontal="right" vertical="top"/>
    </xf>
    <xf numFmtId="0" fontId="2" fillId="0" borderId="14" xfId="0" applyFont="1" applyBorder="1" applyAlignment="1">
      <alignment vertical="top"/>
    </xf>
    <xf numFmtId="1" fontId="20" fillId="0" borderId="0" xfId="0" applyNumberFormat="1" applyFont="1"/>
    <xf numFmtId="0" fontId="0" fillId="0" borderId="1" xfId="0" applyBorder="1"/>
    <xf numFmtId="196" fontId="0" fillId="0" borderId="0" xfId="1" applyNumberFormat="1" applyFont="1" applyBorder="1" applyAlignment="1">
      <alignment horizontal="center"/>
    </xf>
    <xf numFmtId="0" fontId="27" fillId="0" borderId="0" xfId="0" applyFont="1" applyAlignment="1"/>
    <xf numFmtId="173" fontId="2" fillId="0" borderId="0" xfId="0" applyNumberFormat="1" applyFont="1"/>
    <xf numFmtId="2" fontId="78" fillId="0" borderId="0" xfId="0" quotePrefix="1" applyNumberFormat="1" applyFont="1"/>
    <xf numFmtId="2" fontId="23" fillId="0" borderId="0" xfId="0" applyNumberFormat="1" applyFont="1" applyAlignment="1">
      <alignment vertical="top" wrapText="1"/>
    </xf>
    <xf numFmtId="0" fontId="6" fillId="0" borderId="0" xfId="0" applyFont="1" applyBorder="1" applyAlignment="1">
      <alignment vertical="top" wrapText="1"/>
    </xf>
    <xf numFmtId="43" fontId="0" fillId="0" borderId="0" xfId="1" applyFont="1" applyBorder="1" applyAlignment="1"/>
    <xf numFmtId="0" fontId="6" fillId="0" borderId="0" xfId="0" applyFont="1" applyAlignment="1">
      <alignment wrapText="1"/>
    </xf>
    <xf numFmtId="173" fontId="7" fillId="0" borderId="0" xfId="7" applyNumberFormat="1"/>
    <xf numFmtId="2" fontId="0" fillId="0" borderId="1" xfId="0" applyNumberFormat="1" applyBorder="1"/>
    <xf numFmtId="173" fontId="0" fillId="0" borderId="1" xfId="0" applyNumberFormat="1" applyBorder="1"/>
    <xf numFmtId="173" fontId="79" fillId="0" borderId="0" xfId="0" applyNumberFormat="1" applyFont="1" applyAlignment="1">
      <alignment vertical="top"/>
    </xf>
    <xf numFmtId="2" fontId="7" fillId="0" borderId="0" xfId="7" applyNumberFormat="1" applyBorder="1"/>
    <xf numFmtId="0" fontId="39" fillId="0" borderId="14" xfId="3" applyFont="1" applyBorder="1" applyAlignment="1">
      <alignment horizontal="left" vertical="center"/>
    </xf>
    <xf numFmtId="0" fontId="0" fillId="5" borderId="1" xfId="0" applyFill="1" applyBorder="1"/>
    <xf numFmtId="0" fontId="0" fillId="5" borderId="1" xfId="0" applyFill="1" applyBorder="1" applyAlignment="1">
      <alignment horizontal="center"/>
    </xf>
    <xf numFmtId="0" fontId="0" fillId="5" borderId="1" xfId="0" applyFill="1" applyBorder="1" applyAlignment="1">
      <alignment horizontal="left"/>
    </xf>
    <xf numFmtId="173" fontId="27" fillId="0" borderId="0" xfId="0" applyNumberFormat="1" applyFont="1"/>
    <xf numFmtId="173" fontId="13" fillId="0" borderId="0" xfId="0" applyNumberFormat="1" applyFont="1"/>
    <xf numFmtId="0" fontId="17" fillId="0" borderId="0" xfId="0" applyFont="1"/>
    <xf numFmtId="0" fontId="42" fillId="0" borderId="0" xfId="3" applyFont="1"/>
    <xf numFmtId="0" fontId="3" fillId="0" borderId="0" xfId="3" applyFont="1"/>
    <xf numFmtId="0" fontId="43" fillId="0" borderId="0" xfId="3" applyFont="1"/>
    <xf numFmtId="0" fontId="6" fillId="0" borderId="0" xfId="3"/>
    <xf numFmtId="0" fontId="17" fillId="0" borderId="0" xfId="3" applyFont="1"/>
    <xf numFmtId="0" fontId="6" fillId="0" borderId="0" xfId="3" applyAlignment="1">
      <alignment horizontal="center"/>
    </xf>
    <xf numFmtId="0" fontId="2" fillId="2" borderId="0" xfId="3" applyFont="1" applyFill="1"/>
    <xf numFmtId="49" fontId="2" fillId="0" borderId="0" xfId="3" applyNumberFormat="1" applyFont="1" applyAlignment="1">
      <alignment horizontal="center"/>
    </xf>
    <xf numFmtId="0" fontId="2" fillId="0" borderId="0" xfId="3" applyFont="1"/>
    <xf numFmtId="0" fontId="2" fillId="0" borderId="0" xfId="3" applyFont="1" applyAlignment="1">
      <alignment horizontal="center"/>
    </xf>
    <xf numFmtId="0" fontId="6" fillId="0" borderId="0" xfId="3" applyAlignment="1">
      <alignment horizontal="right" vertical="top"/>
    </xf>
    <xf numFmtId="199" fontId="6" fillId="0" borderId="0" xfId="3" applyNumberFormat="1" applyAlignment="1">
      <alignment horizontal="left"/>
    </xf>
    <xf numFmtId="0" fontId="6" fillId="0" borderId="0" xfId="3" applyAlignment="1">
      <alignment horizontal="left" vertical="top"/>
    </xf>
    <xf numFmtId="0" fontId="6" fillId="0" borderId="0" xfId="3" applyAlignment="1">
      <alignment horizontal="center" vertical="top"/>
    </xf>
    <xf numFmtId="0" fontId="6" fillId="0" borderId="0" xfId="3" applyAlignment="1">
      <alignment horizontal="left"/>
    </xf>
    <xf numFmtId="0" fontId="20" fillId="0" borderId="0" xfId="3" applyFont="1"/>
    <xf numFmtId="0" fontId="6" fillId="4" borderId="0" xfId="3" applyFill="1" applyAlignment="1">
      <alignment horizontal="left"/>
    </xf>
    <xf numFmtId="2" fontId="6" fillId="0" borderId="0" xfId="3" applyNumberFormat="1"/>
    <xf numFmtId="0" fontId="6" fillId="4" borderId="0" xfId="3" applyFill="1"/>
    <xf numFmtId="0" fontId="23" fillId="0" borderId="0" xfId="3" applyFont="1"/>
    <xf numFmtId="0" fontId="6" fillId="2" borderId="0" xfId="3" applyFill="1"/>
    <xf numFmtId="2" fontId="6" fillId="2" borderId="0" xfId="3" applyNumberFormat="1" applyFill="1" applyAlignment="1" applyProtection="1">
      <alignment horizontal="right"/>
      <protection locked="0"/>
    </xf>
    <xf numFmtId="2" fontId="6" fillId="0" borderId="0" xfId="3" applyNumberFormat="1" applyAlignment="1">
      <alignment horizontal="left"/>
    </xf>
    <xf numFmtId="0" fontId="2" fillId="0" borderId="0" xfId="3" applyFont="1" applyAlignment="1">
      <alignment horizontal="left"/>
    </xf>
    <xf numFmtId="0" fontId="2" fillId="0" borderId="0" xfId="3" applyFont="1" applyAlignment="1">
      <alignment horizontal="right"/>
    </xf>
    <xf numFmtId="200" fontId="6" fillId="2" borderId="0" xfId="3" applyNumberFormat="1" applyFill="1" applyAlignment="1">
      <alignment horizontal="right"/>
    </xf>
    <xf numFmtId="201" fontId="6" fillId="2" borderId="0" xfId="3" applyNumberFormat="1" applyFill="1" applyAlignment="1">
      <alignment horizontal="right"/>
    </xf>
    <xf numFmtId="0" fontId="19" fillId="0" borderId="0" xfId="3" applyFont="1"/>
    <xf numFmtId="201" fontId="6" fillId="2" borderId="0" xfId="3" applyNumberFormat="1" applyFill="1" applyAlignment="1">
      <alignment horizontal="center"/>
    </xf>
    <xf numFmtId="172" fontId="6" fillId="0" borderId="0" xfId="3" applyNumberFormat="1" applyAlignment="1">
      <alignment horizontal="left"/>
    </xf>
    <xf numFmtId="172" fontId="6" fillId="0" borderId="0" xfId="3" quotePrefix="1" applyNumberFormat="1" applyAlignment="1">
      <alignment horizontal="left"/>
    </xf>
    <xf numFmtId="202" fontId="6" fillId="0" borderId="0" xfId="3" applyNumberFormat="1" applyAlignment="1">
      <alignment horizontal="left"/>
    </xf>
    <xf numFmtId="172" fontId="6" fillId="2" borderId="0" xfId="3" applyNumberFormat="1" applyFill="1" applyAlignment="1">
      <alignment horizontal="left"/>
    </xf>
    <xf numFmtId="203" fontId="6" fillId="0" borderId="0" xfId="3" applyNumberFormat="1"/>
    <xf numFmtId="0" fontId="6" fillId="0" borderId="0" xfId="3" applyAlignment="1">
      <alignment horizontal="right"/>
    </xf>
    <xf numFmtId="204" fontId="6" fillId="0" borderId="0" xfId="3" applyNumberFormat="1" applyAlignment="1">
      <alignment horizontal="center" vertical="top"/>
    </xf>
    <xf numFmtId="0" fontId="6" fillId="6" borderId="1" xfId="3" applyFill="1" applyBorder="1" applyAlignment="1">
      <alignment horizontal="right"/>
    </xf>
    <xf numFmtId="202" fontId="6" fillId="0" borderId="0" xfId="3" applyNumberFormat="1"/>
    <xf numFmtId="173" fontId="6" fillId="0" borderId="0" xfId="3" applyNumberFormat="1" applyAlignment="1">
      <alignment horizontal="left"/>
    </xf>
    <xf numFmtId="205" fontId="6" fillId="0" borderId="0" xfId="3" applyNumberFormat="1" applyAlignment="1">
      <alignment horizontal="left"/>
    </xf>
    <xf numFmtId="172" fontId="6" fillId="0" borderId="0" xfId="3" applyNumberFormat="1" applyAlignment="1">
      <alignment horizontal="right" vertical="top"/>
    </xf>
    <xf numFmtId="0" fontId="23" fillId="0" borderId="0" xfId="3" applyFont="1" applyAlignment="1">
      <alignment horizontal="left"/>
    </xf>
    <xf numFmtId="2" fontId="6" fillId="5" borderId="0" xfId="3" applyNumberFormat="1" applyFill="1" applyAlignment="1">
      <alignment horizontal="right"/>
    </xf>
    <xf numFmtId="2" fontId="2" fillId="0" borderId="0" xfId="3" applyNumberFormat="1" applyFont="1" applyAlignment="1">
      <alignment horizontal="left"/>
    </xf>
    <xf numFmtId="2" fontId="6" fillId="5" borderId="0" xfId="3" applyNumberFormat="1" applyFill="1"/>
    <xf numFmtId="200" fontId="6" fillId="0" borderId="0" xfId="3" applyNumberFormat="1" applyAlignment="1">
      <alignment horizontal="center"/>
    </xf>
    <xf numFmtId="200" fontId="6" fillId="0" borderId="0" xfId="3" applyNumberFormat="1" applyAlignment="1">
      <alignment horizontal="left"/>
    </xf>
    <xf numFmtId="203" fontId="6" fillId="0" borderId="0" xfId="3" applyNumberFormat="1" applyAlignment="1">
      <alignment horizontal="center" vertical="top"/>
    </xf>
    <xf numFmtId="204" fontId="6" fillId="0" borderId="0" xfId="3" applyNumberFormat="1" applyAlignment="1">
      <alignment horizontal="right" vertical="top"/>
    </xf>
    <xf numFmtId="0" fontId="6" fillId="0" borderId="0" xfId="3" applyAlignment="1">
      <alignment vertical="top"/>
    </xf>
    <xf numFmtId="202" fontId="45" fillId="0" borderId="0" xfId="3" applyNumberFormat="1" applyFont="1" applyAlignment="1">
      <alignment horizontal="left"/>
    </xf>
    <xf numFmtId="0" fontId="46" fillId="0" borderId="5" xfId="3" applyFont="1" applyBorder="1"/>
    <xf numFmtId="0" fontId="47" fillId="0" borderId="6" xfId="3" applyFont="1" applyBorder="1"/>
    <xf numFmtId="0" fontId="47" fillId="0" borderId="7" xfId="3" applyFont="1" applyBorder="1"/>
    <xf numFmtId="0" fontId="2" fillId="0" borderId="5" xfId="3" applyFont="1" applyBorder="1"/>
    <xf numFmtId="0" fontId="6" fillId="0" borderId="6" xfId="3" applyBorder="1"/>
    <xf numFmtId="0" fontId="6" fillId="0" borderId="7" xfId="3" applyBorder="1"/>
    <xf numFmtId="0" fontId="47" fillId="0" borderId="8" xfId="3" applyFont="1" applyBorder="1" applyProtection="1">
      <protection hidden="1"/>
    </xf>
    <xf numFmtId="0" fontId="47" fillId="0" borderId="0" xfId="3" applyFont="1" applyProtection="1">
      <protection hidden="1"/>
    </xf>
    <xf numFmtId="0" fontId="47" fillId="0" borderId="9" xfId="3" applyFont="1" applyBorder="1" applyProtection="1">
      <protection hidden="1"/>
    </xf>
    <xf numFmtId="0" fontId="6" fillId="0" borderId="8" xfId="3" applyBorder="1" applyProtection="1">
      <protection hidden="1"/>
    </xf>
    <xf numFmtId="0" fontId="6" fillId="0" borderId="0" xfId="3" applyProtection="1">
      <protection hidden="1"/>
    </xf>
    <xf numFmtId="0" fontId="6" fillId="0" borderId="9" xfId="3" applyBorder="1" applyProtection="1">
      <protection hidden="1"/>
    </xf>
    <xf numFmtId="206" fontId="47" fillId="0" borderId="0" xfId="3" applyNumberFormat="1" applyFont="1" applyAlignment="1">
      <alignment horizontal="center"/>
    </xf>
    <xf numFmtId="172" fontId="47" fillId="0" borderId="0" xfId="3" applyNumberFormat="1" applyFont="1" applyAlignment="1">
      <alignment horizontal="center"/>
    </xf>
    <xf numFmtId="207" fontId="47" fillId="0" borderId="0" xfId="3" applyNumberFormat="1" applyFont="1" applyAlignment="1">
      <alignment horizontal="left" vertical="top"/>
    </xf>
    <xf numFmtId="0" fontId="47" fillId="0" borderId="8" xfId="3" applyFont="1" applyBorder="1"/>
    <xf numFmtId="0" fontId="6" fillId="0" borderId="8" xfId="3" applyBorder="1"/>
    <xf numFmtId="0" fontId="23" fillId="4" borderId="0" xfId="3" applyFont="1" applyFill="1"/>
    <xf numFmtId="2" fontId="47" fillId="0" borderId="10" xfId="3" applyNumberFormat="1" applyFont="1" applyBorder="1"/>
    <xf numFmtId="0" fontId="47" fillId="0" borderId="3" xfId="3" applyFont="1" applyBorder="1"/>
    <xf numFmtId="0" fontId="47" fillId="0" borderId="4" xfId="3" applyFont="1" applyBorder="1" applyProtection="1">
      <protection hidden="1"/>
    </xf>
    <xf numFmtId="2" fontId="6" fillId="0" borderId="10" xfId="3" applyNumberFormat="1" applyBorder="1"/>
    <xf numFmtId="0" fontId="6" fillId="0" borderId="3" xfId="3" applyBorder="1"/>
    <xf numFmtId="0" fontId="6" fillId="0" borderId="4" xfId="3" applyBorder="1" applyProtection="1">
      <protection hidden="1"/>
    </xf>
    <xf numFmtId="0" fontId="47" fillId="0" borderId="0" xfId="3" applyFont="1"/>
    <xf numFmtId="2" fontId="6" fillId="0" borderId="0" xfId="3" applyNumberFormat="1" applyAlignment="1">
      <alignment horizontal="right"/>
    </xf>
    <xf numFmtId="0" fontId="47" fillId="0" borderId="9" xfId="3" applyFont="1" applyBorder="1"/>
    <xf numFmtId="0" fontId="6" fillId="0" borderId="9" xfId="3" applyBorder="1"/>
    <xf numFmtId="2" fontId="6" fillId="0" borderId="0" xfId="3" quotePrefix="1" applyNumberFormat="1" applyAlignment="1">
      <alignment horizontal="left"/>
    </xf>
    <xf numFmtId="203" fontId="6" fillId="0" borderId="0" xfId="3" applyNumberFormat="1" applyAlignment="1">
      <alignment horizontal="left"/>
    </xf>
    <xf numFmtId="2" fontId="47" fillId="0" borderId="0" xfId="3" applyNumberFormat="1" applyFont="1"/>
    <xf numFmtId="0" fontId="47" fillId="0" borderId="4" xfId="3" applyFont="1" applyBorder="1"/>
    <xf numFmtId="0" fontId="6" fillId="0" borderId="4" xfId="3" applyBorder="1"/>
    <xf numFmtId="172" fontId="6" fillId="0" borderId="0" xfId="3" applyNumberFormat="1" applyAlignment="1">
      <alignment horizontal="center"/>
    </xf>
    <xf numFmtId="0" fontId="6" fillId="2" borderId="15" xfId="3" applyFill="1" applyBorder="1"/>
    <xf numFmtId="0" fontId="6" fillId="2" borderId="6" xfId="3" applyFill="1" applyBorder="1" applyAlignment="1">
      <alignment horizontal="center"/>
    </xf>
    <xf numFmtId="0" fontId="6" fillId="2" borderId="7" xfId="3" applyFill="1" applyBorder="1" applyAlignment="1">
      <alignment horizontal="center"/>
    </xf>
    <xf numFmtId="0" fontId="6" fillId="4" borderId="0" xfId="3" applyFill="1" applyAlignment="1">
      <alignment horizontal="right"/>
    </xf>
    <xf numFmtId="0" fontId="15" fillId="0" borderId="0" xfId="2" applyAlignment="1" applyProtection="1"/>
    <xf numFmtId="0" fontId="6" fillId="2" borderId="8" xfId="3" applyFill="1" applyBorder="1" applyAlignment="1">
      <alignment horizontal="center"/>
    </xf>
    <xf numFmtId="0" fontId="6" fillId="2" borderId="0" xfId="3" applyFill="1" applyAlignment="1">
      <alignment horizontal="center"/>
    </xf>
    <xf numFmtId="0" fontId="6" fillId="2" borderId="9" xfId="3" applyFill="1" applyBorder="1" applyAlignment="1">
      <alignment horizontal="center"/>
    </xf>
    <xf numFmtId="172" fontId="6" fillId="2" borderId="8" xfId="3" applyNumberFormat="1" applyFill="1" applyBorder="1" applyAlignment="1">
      <alignment horizontal="center"/>
    </xf>
    <xf numFmtId="0" fontId="6" fillId="0" borderId="10" xfId="3" applyBorder="1"/>
    <xf numFmtId="0" fontId="6" fillId="0" borderId="3" xfId="3" applyBorder="1" applyAlignment="1">
      <alignment horizontal="center"/>
    </xf>
    <xf numFmtId="0" fontId="6" fillId="0" borderId="4" xfId="3" applyBorder="1" applyAlignment="1">
      <alignment horizontal="center"/>
    </xf>
    <xf numFmtId="172" fontId="6" fillId="0" borderId="0" xfId="3" applyNumberFormat="1"/>
    <xf numFmtId="0" fontId="6" fillId="0" borderId="5" xfId="3" applyBorder="1" applyAlignment="1">
      <alignment horizontal="center"/>
    </xf>
    <xf numFmtId="0" fontId="6" fillId="0" borderId="6" xfId="3" applyBorder="1" applyAlignment="1">
      <alignment horizontal="center"/>
    </xf>
    <xf numFmtId="0" fontId="6" fillId="0" borderId="7" xfId="3" applyBorder="1" applyAlignment="1">
      <alignment horizontal="center"/>
    </xf>
    <xf numFmtId="0" fontId="6" fillId="0" borderId="8" xfId="3" applyBorder="1" applyAlignment="1">
      <alignment horizontal="center"/>
    </xf>
    <xf numFmtId="0" fontId="6" fillId="0" borderId="9" xfId="3" applyBorder="1" applyAlignment="1">
      <alignment horizontal="center"/>
    </xf>
    <xf numFmtId="0" fontId="6" fillId="0" borderId="10" xfId="3" applyBorder="1" applyAlignment="1">
      <alignment horizontal="center"/>
    </xf>
    <xf numFmtId="0" fontId="6" fillId="2" borderId="5" xfId="3" applyFill="1" applyBorder="1" applyAlignment="1">
      <alignment horizontal="center"/>
    </xf>
    <xf numFmtId="0" fontId="46" fillId="0" borderId="16" xfId="3" applyFont="1" applyBorder="1" applyAlignment="1">
      <alignment horizontal="center" vertical="center" wrapText="1"/>
    </xf>
    <xf numFmtId="172" fontId="38" fillId="0" borderId="17" xfId="3" applyNumberFormat="1" applyFont="1" applyBorder="1" applyAlignment="1">
      <alignment horizontal="center"/>
    </xf>
    <xf numFmtId="172" fontId="6" fillId="0" borderId="1" xfId="3" applyNumberFormat="1" applyBorder="1" applyAlignment="1">
      <alignment horizontal="center"/>
    </xf>
    <xf numFmtId="173" fontId="6" fillId="0" borderId="2" xfId="3" applyNumberFormat="1" applyBorder="1" applyAlignment="1">
      <alignment horizontal="center"/>
    </xf>
    <xf numFmtId="173" fontId="6" fillId="0" borderId="18" xfId="3" applyNumberFormat="1" applyBorder="1" applyAlignment="1">
      <alignment horizontal="center"/>
    </xf>
    <xf numFmtId="172" fontId="38" fillId="0" borderId="19" xfId="3" applyNumberFormat="1" applyFont="1" applyBorder="1" applyAlignment="1">
      <alignment horizontal="center"/>
    </xf>
    <xf numFmtId="172" fontId="6" fillId="0" borderId="20" xfId="3" applyNumberFormat="1" applyBorder="1" applyAlignment="1">
      <alignment horizontal="center"/>
    </xf>
    <xf numFmtId="173" fontId="6" fillId="0" borderId="21" xfId="3" applyNumberFormat="1" applyBorder="1" applyAlignment="1">
      <alignment horizontal="center"/>
    </xf>
    <xf numFmtId="173" fontId="6" fillId="0" borderId="22" xfId="3" applyNumberFormat="1" applyBorder="1" applyAlignment="1">
      <alignment horizontal="center"/>
    </xf>
    <xf numFmtId="0" fontId="46" fillId="0" borderId="1" xfId="3" applyFont="1" applyBorder="1" applyAlignment="1">
      <alignment horizontal="center" vertical="center" wrapText="1"/>
    </xf>
    <xf numFmtId="0" fontId="6" fillId="0" borderId="17" xfId="3" applyBorder="1"/>
    <xf numFmtId="0" fontId="6" fillId="0" borderId="1" xfId="3" applyBorder="1"/>
    <xf numFmtId="172" fontId="38" fillId="0" borderId="1" xfId="3" applyNumberFormat="1" applyFont="1" applyBorder="1" applyAlignment="1">
      <alignment horizontal="center"/>
    </xf>
    <xf numFmtId="172" fontId="38" fillId="0" borderId="20" xfId="3" applyNumberFormat="1" applyFont="1" applyBorder="1" applyAlignment="1">
      <alignment horizontal="center"/>
    </xf>
    <xf numFmtId="2" fontId="41" fillId="0" borderId="0" xfId="3" applyNumberFormat="1" applyFont="1" applyAlignment="1">
      <alignment horizontal="left" vertical="top"/>
    </xf>
    <xf numFmtId="0" fontId="41" fillId="0" borderId="0" xfId="3" applyFont="1"/>
    <xf numFmtId="2" fontId="41" fillId="0" borderId="1" xfId="3" applyNumberFormat="1" applyFont="1" applyBorder="1" applyAlignment="1">
      <alignment horizontal="left" vertical="top"/>
    </xf>
    <xf numFmtId="0" fontId="41" fillId="0" borderId="1" xfId="3" applyFont="1" applyBorder="1" applyAlignment="1">
      <alignment horizontal="left" vertical="top"/>
    </xf>
    <xf numFmtId="0" fontId="41" fillId="0" borderId="1" xfId="3" applyFont="1" applyBorder="1"/>
    <xf numFmtId="0" fontId="41" fillId="0" borderId="1" xfId="3" quotePrefix="1" applyFont="1" applyBorder="1" applyAlignment="1">
      <alignment horizontal="center"/>
    </xf>
    <xf numFmtId="2" fontId="41" fillId="0" borderId="1" xfId="3" applyNumberFormat="1" applyFont="1" applyBorder="1"/>
    <xf numFmtId="0" fontId="41" fillId="0" borderId="1" xfId="3" applyFont="1" applyBorder="1" applyAlignment="1">
      <alignment vertical="top"/>
    </xf>
    <xf numFmtId="0" fontId="41" fillId="0" borderId="1" xfId="3" quotePrefix="1" applyFont="1" applyBorder="1" applyAlignment="1">
      <alignment horizontal="center" vertical="top"/>
    </xf>
    <xf numFmtId="2" fontId="41" fillId="0" borderId="1" xfId="3" applyNumberFormat="1" applyFont="1" applyBorder="1" applyAlignment="1">
      <alignment vertical="top"/>
    </xf>
    <xf numFmtId="2" fontId="2" fillId="0" borderId="1" xfId="0" applyNumberFormat="1" applyFont="1" applyFill="1" applyBorder="1" applyAlignment="1">
      <alignment horizontal="center"/>
    </xf>
    <xf numFmtId="2" fontId="2" fillId="0" borderId="1" xfId="0" applyNumberFormat="1" applyFont="1" applyFill="1" applyBorder="1" applyAlignment="1">
      <alignment vertical="top"/>
    </xf>
    <xf numFmtId="2" fontId="2" fillId="0" borderId="1" xfId="0" applyNumberFormat="1" applyFont="1" applyFill="1" applyBorder="1" applyAlignment="1">
      <alignment horizontal="center" vertical="top"/>
    </xf>
    <xf numFmtId="2" fontId="2" fillId="0" borderId="1" xfId="0" applyNumberFormat="1" applyFont="1" applyFill="1" applyBorder="1"/>
    <xf numFmtId="2" fontId="0" fillId="7" borderId="1" xfId="0" applyNumberFormat="1" applyFill="1" applyBorder="1"/>
    <xf numFmtId="173" fontId="0" fillId="7" borderId="1" xfId="0" applyNumberFormat="1" applyFill="1" applyBorder="1"/>
    <xf numFmtId="1" fontId="0" fillId="7" borderId="1" xfId="0" applyNumberFormat="1" applyFill="1" applyBorder="1"/>
    <xf numFmtId="2" fontId="6" fillId="0" borderId="0" xfId="0" applyNumberFormat="1" applyFont="1"/>
    <xf numFmtId="2" fontId="2" fillId="8" borderId="1" xfId="0" applyNumberFormat="1" applyFont="1" applyFill="1" applyBorder="1"/>
    <xf numFmtId="2" fontId="6" fillId="8" borderId="1" xfId="0" applyNumberFormat="1" applyFont="1" applyFill="1" applyBorder="1"/>
    <xf numFmtId="2" fontId="2" fillId="8" borderId="1" xfId="0" quotePrefix="1" applyNumberFormat="1" applyFont="1" applyFill="1" applyBorder="1" applyAlignment="1">
      <alignment horizontal="right"/>
    </xf>
    <xf numFmtId="2" fontId="0" fillId="8" borderId="1" xfId="0" applyNumberFormat="1" applyFill="1" applyBorder="1" applyAlignment="1">
      <alignment horizontal="center"/>
    </xf>
    <xf numFmtId="2" fontId="0" fillId="8" borderId="1" xfId="0" quotePrefix="1" applyNumberFormat="1" applyFill="1" applyBorder="1" applyAlignment="1">
      <alignment horizontal="center"/>
    </xf>
    <xf numFmtId="0" fontId="80" fillId="0" borderId="0" xfId="3" applyFont="1" applyAlignment="1">
      <alignment horizontal="center" vertical="top"/>
    </xf>
    <xf numFmtId="173" fontId="80" fillId="0" borderId="0" xfId="3" applyNumberFormat="1" applyFont="1" applyAlignment="1">
      <alignment horizontal="center" vertical="top"/>
    </xf>
    <xf numFmtId="0" fontId="9" fillId="0" borderId="0" xfId="7" quotePrefix="1" applyFont="1"/>
    <xf numFmtId="0" fontId="17" fillId="0" borderId="0" xfId="0" applyFont="1" applyAlignment="1">
      <alignment horizontal="left"/>
    </xf>
    <xf numFmtId="0" fontId="0" fillId="0" borderId="0" xfId="0" applyAlignment="1">
      <alignment horizontal="center" vertical="top" wrapText="1"/>
    </xf>
    <xf numFmtId="0" fontId="17" fillId="0" borderId="0" xfId="0" applyFont="1" applyAlignment="1">
      <alignment horizontal="center"/>
    </xf>
    <xf numFmtId="0" fontId="2" fillId="0" borderId="0" xfId="0" applyFont="1" applyAlignment="1">
      <alignment horizontal="left" vertical="top" wrapText="1"/>
    </xf>
    <xf numFmtId="2" fontId="0" fillId="0" borderId="23" xfId="0" applyNumberFormat="1" applyBorder="1" applyAlignment="1">
      <alignment horizontal="center"/>
    </xf>
    <xf numFmtId="172" fontId="0" fillId="0" borderId="0" xfId="0" applyNumberFormat="1" applyAlignment="1">
      <alignment horizontal="center"/>
    </xf>
    <xf numFmtId="0" fontId="49" fillId="0" borderId="0" xfId="0" applyFont="1" applyAlignment="1">
      <alignment horizontal="center"/>
    </xf>
    <xf numFmtId="0" fontId="0" fillId="0" borderId="23" xfId="0" applyBorder="1" applyAlignment="1">
      <alignment horizontal="center"/>
    </xf>
    <xf numFmtId="0" fontId="50" fillId="0" borderId="0" xfId="0" applyFont="1"/>
    <xf numFmtId="2" fontId="0" fillId="0" borderId="1" xfId="0" applyNumberFormat="1" applyBorder="1" applyAlignment="1">
      <alignment horizontal="right"/>
    </xf>
    <xf numFmtId="0" fontId="0" fillId="0" borderId="0" xfId="0" quotePrefix="1" applyAlignment="1">
      <alignment horizontal="center" vertical="top" wrapText="1"/>
    </xf>
    <xf numFmtId="0" fontId="51" fillId="0" borderId="0" xfId="0" applyFont="1"/>
    <xf numFmtId="0" fontId="51" fillId="0" borderId="0" xfId="0" applyFont="1" applyAlignment="1">
      <alignment horizontal="left" vertical="top" wrapText="1"/>
    </xf>
    <xf numFmtId="0" fontId="52" fillId="0" borderId="0" xfId="0" applyFont="1" applyAlignment="1">
      <alignment vertical="top" wrapText="1"/>
    </xf>
    <xf numFmtId="0" fontId="52" fillId="0" borderId="0" xfId="0" applyFont="1" applyAlignment="1">
      <alignment vertical="top"/>
    </xf>
    <xf numFmtId="0" fontId="52" fillId="0" borderId="0" xfId="0" applyFont="1" applyAlignment="1">
      <alignment horizontal="right" vertical="top"/>
    </xf>
    <xf numFmtId="0" fontId="52" fillId="0" borderId="0" xfId="0" applyFont="1"/>
    <xf numFmtId="2" fontId="52" fillId="0" borderId="0" xfId="0" applyNumberFormat="1" applyFont="1" applyAlignment="1">
      <alignment horizontal="right" vertical="top"/>
    </xf>
    <xf numFmtId="0" fontId="52" fillId="0" borderId="0" xfId="0" applyFont="1" applyAlignment="1">
      <alignment horizontal="left" vertical="top"/>
    </xf>
    <xf numFmtId="1" fontId="2" fillId="0" borderId="0" xfId="0" applyNumberFormat="1" applyFont="1" applyAlignment="1">
      <alignment horizontal="right" vertical="top"/>
    </xf>
    <xf numFmtId="1" fontId="0" fillId="0" borderId="0" xfId="0" applyNumberFormat="1" applyAlignment="1">
      <alignment horizontal="right"/>
    </xf>
    <xf numFmtId="0" fontId="48" fillId="0" borderId="0" xfId="0" applyFont="1"/>
    <xf numFmtId="0" fontId="48" fillId="0" borderId="0" xfId="0" quotePrefix="1" applyFont="1"/>
    <xf numFmtId="2" fontId="48" fillId="0" borderId="0" xfId="0" quotePrefix="1" applyNumberFormat="1" applyFont="1"/>
    <xf numFmtId="2" fontId="53" fillId="0" borderId="0" xfId="0" applyNumberFormat="1" applyFont="1" applyAlignment="1">
      <alignment horizontal="right"/>
    </xf>
    <xf numFmtId="2" fontId="48" fillId="0" borderId="0" xfId="0" applyNumberFormat="1" applyFont="1"/>
    <xf numFmtId="0" fontId="13" fillId="0" borderId="0" xfId="0" applyFont="1"/>
    <xf numFmtId="173" fontId="81" fillId="0" borderId="0" xfId="0" applyNumberFormat="1" applyFont="1"/>
    <xf numFmtId="0" fontId="81" fillId="0" borderId="0" xfId="0" applyFont="1"/>
    <xf numFmtId="1" fontId="13" fillId="0" borderId="0" xfId="0" applyNumberFormat="1" applyFont="1"/>
    <xf numFmtId="0" fontId="54" fillId="0" borderId="0" xfId="0" applyFont="1"/>
    <xf numFmtId="0" fontId="13" fillId="0" borderId="0" xfId="0" applyFont="1" applyAlignment="1">
      <alignment horizontal="center"/>
    </xf>
    <xf numFmtId="0" fontId="13" fillId="0" borderId="0" xfId="0" applyFont="1" applyAlignment="1">
      <alignment horizontal="right"/>
    </xf>
    <xf numFmtId="0" fontId="13" fillId="0" borderId="0" xfId="0" applyFont="1" applyAlignment="1">
      <alignment horizontal="left"/>
    </xf>
    <xf numFmtId="0" fontId="13" fillId="0" borderId="0" xfId="0" applyFont="1" applyAlignment="1">
      <alignment horizontal="right" vertical="center" textRotation="90"/>
    </xf>
    <xf numFmtId="0" fontId="13" fillId="0" borderId="0" xfId="0" applyFont="1" applyAlignment="1">
      <alignment horizontal="left" vertical="center" textRotation="90"/>
    </xf>
    <xf numFmtId="0" fontId="13" fillId="0" borderId="0" xfId="0" applyFont="1" applyAlignment="1">
      <alignment vertical="center"/>
    </xf>
    <xf numFmtId="1" fontId="17" fillId="0" borderId="0" xfId="0" applyNumberFormat="1" applyFont="1" applyAlignment="1">
      <alignment horizontal="left"/>
    </xf>
    <xf numFmtId="0" fontId="6" fillId="0" borderId="0" xfId="0" applyFont="1"/>
    <xf numFmtId="2" fontId="6" fillId="5" borderId="0" xfId="0" applyNumberFormat="1" applyFont="1" applyFill="1"/>
    <xf numFmtId="0" fontId="6" fillId="0" borderId="0" xfId="0" applyFont="1" applyAlignment="1">
      <alignment horizontal="right"/>
    </xf>
    <xf numFmtId="0" fontId="4" fillId="0" borderId="0" xfId="0" applyFont="1" applyAlignment="1">
      <alignment horizontal="left"/>
    </xf>
    <xf numFmtId="0" fontId="27" fillId="0" borderId="0" xfId="0" applyFont="1" applyAlignment="1">
      <alignment horizontal="center"/>
    </xf>
    <xf numFmtId="0" fontId="17" fillId="0" borderId="0" xfId="0" applyFont="1" applyAlignment="1">
      <alignment horizontal="right"/>
    </xf>
    <xf numFmtId="0" fontId="6" fillId="0" borderId="0" xfId="0" quotePrefix="1" applyFont="1"/>
    <xf numFmtId="11" fontId="27" fillId="0" borderId="0" xfId="0" applyNumberFormat="1" applyFont="1"/>
    <xf numFmtId="0" fontId="27" fillId="0" borderId="0" xfId="0" applyFont="1" applyAlignment="1">
      <alignment vertical="top" wrapText="1"/>
    </xf>
    <xf numFmtId="11" fontId="6" fillId="0" borderId="0" xfId="0" applyNumberFormat="1" applyFont="1"/>
    <xf numFmtId="0" fontId="6" fillId="0" borderId="0" xfId="0" applyFont="1" applyAlignment="1">
      <alignment horizontal="left"/>
    </xf>
    <xf numFmtId="0" fontId="27" fillId="0" borderId="0" xfId="0" applyFont="1" applyAlignment="1">
      <alignment horizontal="right" vertical="top" wrapText="1"/>
    </xf>
    <xf numFmtId="11" fontId="6" fillId="0" borderId="0" xfId="0" quotePrefix="1" applyNumberFormat="1" applyFont="1"/>
    <xf numFmtId="0" fontId="23" fillId="0" borderId="0" xfId="0" quotePrefix="1" applyFont="1"/>
    <xf numFmtId="2" fontId="6" fillId="0" borderId="0" xfId="0" applyNumberFormat="1" applyFont="1" applyAlignment="1">
      <alignment horizontal="right"/>
    </xf>
    <xf numFmtId="0" fontId="23" fillId="0" borderId="0" xfId="0" applyFont="1" applyAlignment="1">
      <alignment horizontal="right"/>
    </xf>
    <xf numFmtId="0" fontId="27" fillId="0" borderId="0" xfId="0" quotePrefix="1" applyFont="1" applyAlignment="1">
      <alignment horizontal="right"/>
    </xf>
    <xf numFmtId="0" fontId="17" fillId="0" borderId="15" xfId="0" applyFont="1" applyBorder="1" applyAlignment="1">
      <alignment vertical="top" wrapText="1"/>
    </xf>
    <xf numFmtId="0" fontId="17" fillId="0" borderId="24" xfId="0" applyFont="1" applyBorder="1" applyAlignment="1">
      <alignment vertical="top" wrapText="1"/>
    </xf>
    <xf numFmtId="0" fontId="27" fillId="0" borderId="9" xfId="0" applyFont="1" applyBorder="1" applyAlignment="1">
      <alignment horizontal="center" vertical="top" wrapText="1"/>
    </xf>
    <xf numFmtId="0" fontId="2" fillId="0" borderId="25" xfId="0" applyFont="1" applyBorder="1" applyAlignment="1">
      <alignment vertical="top" wrapText="1"/>
    </xf>
    <xf numFmtId="0" fontId="27" fillId="0" borderId="4" xfId="0" applyFont="1" applyBorder="1" applyAlignment="1">
      <alignment horizontal="center" vertical="top" wrapText="1"/>
    </xf>
    <xf numFmtId="0" fontId="17" fillId="0" borderId="25" xfId="0" applyFont="1" applyBorder="1" applyAlignment="1">
      <alignment vertical="top" wrapText="1"/>
    </xf>
    <xf numFmtId="0" fontId="27" fillId="0" borderId="4" xfId="0" applyFont="1" applyBorder="1" applyAlignment="1">
      <alignment vertical="top" wrapText="1"/>
    </xf>
    <xf numFmtId="2" fontId="27" fillId="0" borderId="4" xfId="0" applyNumberFormat="1" applyFont="1" applyBorder="1" applyAlignment="1">
      <alignment horizontal="center" vertical="top" wrapText="1"/>
    </xf>
    <xf numFmtId="173" fontId="27" fillId="0" borderId="4" xfId="0" applyNumberFormat="1" applyFont="1" applyBorder="1" applyAlignment="1">
      <alignment horizontal="center" vertical="top" wrapText="1"/>
    </xf>
    <xf numFmtId="0" fontId="27" fillId="0" borderId="9" xfId="0" applyFont="1" applyBorder="1" applyAlignment="1">
      <alignment vertical="top" wrapText="1"/>
    </xf>
    <xf numFmtId="0" fontId="27" fillId="0" borderId="4" xfId="0" applyFont="1" applyBorder="1" applyAlignment="1">
      <alignment horizontal="right" vertical="top" wrapText="1"/>
    </xf>
    <xf numFmtId="0" fontId="17" fillId="0" borderId="9" xfId="0" applyFont="1" applyBorder="1" applyAlignment="1">
      <alignment vertical="top" wrapText="1"/>
    </xf>
    <xf numFmtId="0" fontId="17" fillId="0" borderId="4" xfId="0" applyFont="1" applyBorder="1" applyAlignment="1">
      <alignment vertical="top" wrapText="1"/>
    </xf>
    <xf numFmtId="2" fontId="23" fillId="0" borderId="0" xfId="0" applyNumberFormat="1" applyFont="1" applyAlignment="1">
      <alignment horizontal="center"/>
    </xf>
    <xf numFmtId="0" fontId="78" fillId="0" borderId="0" xfId="0" applyFont="1"/>
    <xf numFmtId="2" fontId="51" fillId="0" borderId="0" xfId="0" quotePrefix="1" applyNumberFormat="1" applyFont="1" applyAlignment="1">
      <alignment horizontal="right" vertical="top"/>
    </xf>
    <xf numFmtId="2" fontId="51" fillId="0" borderId="0" xfId="0" applyNumberFormat="1" applyFont="1"/>
    <xf numFmtId="2" fontId="23" fillId="0" borderId="0" xfId="0" quotePrefix="1" applyNumberFormat="1" applyFont="1" applyAlignment="1">
      <alignment horizontal="right" vertical="top"/>
    </xf>
    <xf numFmtId="173" fontId="51" fillId="0" borderId="0" xfId="0" applyNumberFormat="1" applyFont="1" applyAlignment="1">
      <alignment vertical="top"/>
    </xf>
    <xf numFmtId="0" fontId="2" fillId="0" borderId="0" xfId="0" applyFont="1" applyAlignment="1">
      <alignment vertical="top" wrapText="1"/>
    </xf>
    <xf numFmtId="0" fontId="2" fillId="0" borderId="0" xfId="0" applyFont="1" applyAlignment="1">
      <alignment horizontal="right" vertical="top"/>
    </xf>
    <xf numFmtId="2" fontId="2" fillId="0" borderId="0" xfId="0" applyNumberFormat="1" applyFont="1" applyAlignment="1">
      <alignment horizontal="right" vertical="top"/>
    </xf>
    <xf numFmtId="1" fontId="23" fillId="0" borderId="0" xfId="0" applyNumberFormat="1" applyFont="1" applyAlignment="1">
      <alignment vertical="top"/>
    </xf>
    <xf numFmtId="0" fontId="38" fillId="0" borderId="0" xfId="0" applyFont="1"/>
    <xf numFmtId="0" fontId="38" fillId="0" borderId="0" xfId="0" quotePrefix="1" applyFont="1"/>
    <xf numFmtId="2" fontId="38" fillId="0" borderId="0" xfId="0" quotePrefix="1" applyNumberFormat="1" applyFont="1"/>
    <xf numFmtId="2" fontId="38" fillId="0" borderId="0" xfId="0" applyNumberFormat="1" applyFont="1"/>
    <xf numFmtId="0" fontId="41" fillId="0" borderId="0" xfId="0" applyFont="1"/>
    <xf numFmtId="0" fontId="0" fillId="0" borderId="26" xfId="0" applyBorder="1"/>
    <xf numFmtId="2" fontId="0" fillId="0" borderId="27" xfId="0" applyNumberFormat="1" applyBorder="1"/>
    <xf numFmtId="0" fontId="0" fillId="0" borderId="28" xfId="0" applyBorder="1"/>
    <xf numFmtId="2" fontId="0" fillId="0" borderId="29" xfId="0" applyNumberFormat="1" applyBorder="1"/>
    <xf numFmtId="0" fontId="23" fillId="0" borderId="0" xfId="0" applyFont="1" applyAlignment="1">
      <alignment horizontal="left" vertical="center"/>
    </xf>
    <xf numFmtId="0" fontId="23" fillId="0" borderId="0" xfId="0" applyFont="1" applyAlignment="1">
      <alignment horizontal="left"/>
    </xf>
    <xf numFmtId="2" fontId="51" fillId="0" borderId="23" xfId="0" applyNumberFormat="1" applyFont="1" applyBorder="1" applyAlignment="1">
      <alignment horizontal="left"/>
    </xf>
    <xf numFmtId="0" fontId="51" fillId="0" borderId="23" xfId="0" applyFont="1" applyBorder="1" applyAlignment="1">
      <alignment horizontal="center" vertical="center"/>
    </xf>
    <xf numFmtId="0" fontId="51" fillId="0" borderId="23" xfId="0" applyFont="1" applyBorder="1" applyAlignment="1">
      <alignment horizontal="left" vertical="center"/>
    </xf>
    <xf numFmtId="0" fontId="0" fillId="0" borderId="0" xfId="0" applyAlignment="1">
      <alignment horizontal="left" vertical="center"/>
    </xf>
    <xf numFmtId="0" fontId="51" fillId="0" borderId="0" xfId="0" applyFont="1" applyAlignment="1">
      <alignment horizontal="left"/>
    </xf>
    <xf numFmtId="0" fontId="51" fillId="0" borderId="0" xfId="0" applyFont="1" applyAlignment="1">
      <alignment horizontal="left" vertical="center"/>
    </xf>
    <xf numFmtId="0" fontId="51" fillId="0" borderId="0" xfId="0" applyFont="1" applyAlignment="1">
      <alignment horizontal="center"/>
    </xf>
    <xf numFmtId="0" fontId="51" fillId="0" borderId="23" xfId="0" applyFont="1" applyBorder="1" applyAlignment="1">
      <alignment horizontal="left"/>
    </xf>
    <xf numFmtId="2" fontId="0" fillId="0" borderId="23" xfId="0" applyNumberFormat="1" applyBorder="1" applyAlignment="1">
      <alignment horizontal="right"/>
    </xf>
    <xf numFmtId="0" fontId="0" fillId="0" borderId="23" xfId="0" applyBorder="1"/>
    <xf numFmtId="0" fontId="0" fillId="0" borderId="23" xfId="0" applyBorder="1" applyAlignment="1">
      <alignment horizontal="left"/>
    </xf>
    <xf numFmtId="1" fontId="0" fillId="0" borderId="0" xfId="0" applyNumberFormat="1" applyAlignment="1">
      <alignment horizontal="left"/>
    </xf>
    <xf numFmtId="0" fontId="3" fillId="0" borderId="0" xfId="0" applyFont="1"/>
    <xf numFmtId="173" fontId="0" fillId="0" borderId="0" xfId="0" applyNumberFormat="1" applyAlignment="1">
      <alignment horizontal="left"/>
    </xf>
    <xf numFmtId="0" fontId="0" fillId="0" borderId="23" xfId="0" applyBorder="1" applyAlignment="1">
      <alignment horizontal="right"/>
    </xf>
    <xf numFmtId="172" fontId="0" fillId="0" borderId="0" xfId="0" applyNumberFormat="1" applyAlignment="1">
      <alignment horizontal="left"/>
    </xf>
    <xf numFmtId="0" fontId="0" fillId="0" borderId="2" xfId="0" applyBorder="1" applyAlignment="1">
      <alignment horizontal="center"/>
    </xf>
    <xf numFmtId="0" fontId="43" fillId="0" borderId="0" xfId="0" applyFont="1" applyAlignment="1">
      <alignment horizontal="right" vertical="center"/>
    </xf>
    <xf numFmtId="0" fontId="0" fillId="0" borderId="0" xfId="0" applyAlignment="1">
      <alignment vertical="center"/>
    </xf>
    <xf numFmtId="2" fontId="20" fillId="0" borderId="0" xfId="0" applyNumberFormat="1" applyFont="1"/>
    <xf numFmtId="0" fontId="43" fillId="0" borderId="0" xfId="0" quotePrefix="1" applyFont="1" applyAlignment="1">
      <alignment horizontal="center"/>
    </xf>
    <xf numFmtId="0" fontId="0" fillId="0" borderId="0" xfId="0" quotePrefix="1" applyAlignment="1">
      <alignment horizontal="right"/>
    </xf>
    <xf numFmtId="39" fontId="0" fillId="0" borderId="1" xfId="1" quotePrefix="1" applyNumberFormat="1" applyFont="1" applyBorder="1" applyAlignment="1"/>
    <xf numFmtId="43" fontId="0" fillId="0" borderId="0" xfId="0" applyNumberFormat="1" applyBorder="1" applyAlignment="1">
      <alignment vertical="top" wrapText="1"/>
    </xf>
    <xf numFmtId="173" fontId="7" fillId="0" borderId="0" xfId="7" applyNumberFormat="1" applyBorder="1"/>
    <xf numFmtId="0" fontId="7" fillId="0" borderId="0" xfId="7" applyBorder="1"/>
    <xf numFmtId="2" fontId="78" fillId="0" borderId="30" xfId="0" applyNumberFormat="1" applyFont="1" applyBorder="1" applyAlignment="1">
      <alignment horizontal="right"/>
    </xf>
    <xf numFmtId="2" fontId="78" fillId="0" borderId="31" xfId="0" applyNumberFormat="1" applyFont="1" applyBorder="1"/>
    <xf numFmtId="2" fontId="79" fillId="9" borderId="1" xfId="0" applyNumberFormat="1" applyFont="1" applyFill="1" applyBorder="1"/>
    <xf numFmtId="2" fontId="79" fillId="0" borderId="0" xfId="0" applyNumberFormat="1" applyFont="1"/>
    <xf numFmtId="2" fontId="79" fillId="0" borderId="5" xfId="0" applyNumberFormat="1" applyFont="1" applyBorder="1" applyAlignment="1">
      <alignment horizontal="left" vertical="top" wrapText="1"/>
    </xf>
    <xf numFmtId="2" fontId="82" fillId="0" borderId="6" xfId="0" quotePrefix="1" applyNumberFormat="1" applyFont="1" applyBorder="1"/>
    <xf numFmtId="2" fontId="78" fillId="0" borderId="6" xfId="0" quotePrefix="1" applyNumberFormat="1" applyFont="1" applyBorder="1" applyAlignment="1">
      <alignment vertical="top"/>
    </xf>
    <xf numFmtId="2" fontId="78" fillId="0" borderId="6" xfId="0" applyNumberFormat="1" applyFont="1" applyBorder="1" applyAlignment="1">
      <alignment horizontal="left" vertical="top" wrapText="1"/>
    </xf>
    <xf numFmtId="2" fontId="82" fillId="0" borderId="0" xfId="0" quotePrefix="1" applyNumberFormat="1" applyFont="1"/>
    <xf numFmtId="2" fontId="82" fillId="0" borderId="3" xfId="0" applyNumberFormat="1" applyFont="1" applyBorder="1" applyAlignment="1">
      <alignment horizontal="right"/>
    </xf>
    <xf numFmtId="2" fontId="82" fillId="0" borderId="3" xfId="0" quotePrefix="1" applyNumberFormat="1" applyFont="1" applyBorder="1" applyAlignment="1">
      <alignment horizontal="left"/>
    </xf>
    <xf numFmtId="2" fontId="79" fillId="0" borderId="0" xfId="0" applyNumberFormat="1" applyFont="1" applyBorder="1"/>
    <xf numFmtId="2" fontId="83" fillId="0" borderId="0" xfId="0" applyNumberFormat="1" applyFont="1" applyBorder="1"/>
    <xf numFmtId="0" fontId="17" fillId="0" borderId="0" xfId="0" applyFont="1" applyAlignment="1">
      <alignment horizontal="center" vertical="top" wrapText="1"/>
    </xf>
    <xf numFmtId="0" fontId="46" fillId="0" borderId="1" xfId="0" applyFont="1" applyBorder="1"/>
    <xf numFmtId="0" fontId="41" fillId="0" borderId="1" xfId="0" applyFont="1" applyBorder="1"/>
    <xf numFmtId="0" fontId="58" fillId="0" borderId="0" xfId="0" applyFont="1"/>
    <xf numFmtId="0" fontId="59" fillId="0" borderId="0" xfId="0" applyFont="1"/>
    <xf numFmtId="0" fontId="58" fillId="0" borderId="0" xfId="0" applyFont="1" applyAlignment="1">
      <alignment vertical="top" wrapText="1"/>
    </xf>
    <xf numFmtId="0" fontId="58" fillId="8" borderId="1" xfId="0" applyFont="1" applyFill="1" applyBorder="1"/>
    <xf numFmtId="173" fontId="58" fillId="8" borderId="1" xfId="0" applyNumberFormat="1" applyFont="1" applyFill="1" applyBorder="1"/>
    <xf numFmtId="0" fontId="58" fillId="8" borderId="0" xfId="0" applyFont="1" applyFill="1" applyBorder="1"/>
    <xf numFmtId="173" fontId="58" fillId="8" borderId="0" xfId="0" applyNumberFormat="1" applyFont="1" applyFill="1" applyBorder="1"/>
    <xf numFmtId="0" fontId="59" fillId="0" borderId="0" xfId="0" applyFont="1" applyAlignment="1">
      <alignment vertical="top"/>
    </xf>
    <xf numFmtId="0" fontId="58" fillId="8" borderId="1" xfId="0" applyFont="1" applyFill="1" applyBorder="1" applyAlignment="1">
      <alignment vertical="top" wrapText="1"/>
    </xf>
    <xf numFmtId="0" fontId="58" fillId="0" borderId="0" xfId="0" applyFont="1" applyAlignment="1">
      <alignment horizontal="right"/>
    </xf>
    <xf numFmtId="0" fontId="58" fillId="8" borderId="11" xfId="0" applyFont="1" applyFill="1" applyBorder="1"/>
    <xf numFmtId="0" fontId="58" fillId="0" borderId="0" xfId="0" applyFont="1" applyAlignment="1">
      <alignment vertical="top"/>
    </xf>
    <xf numFmtId="0" fontId="58" fillId="8" borderId="1" xfId="0" applyFont="1" applyFill="1" applyBorder="1" applyAlignment="1">
      <alignment horizontal="left" vertical="top"/>
    </xf>
    <xf numFmtId="2" fontId="58" fillId="8" borderId="0" xfId="0" applyNumberFormat="1" applyFont="1" applyFill="1" applyAlignment="1">
      <alignment horizontal="left" vertical="top"/>
    </xf>
    <xf numFmtId="2" fontId="58" fillId="8" borderId="1" xfId="0" applyNumberFormat="1" applyFont="1" applyFill="1" applyBorder="1" applyAlignment="1">
      <alignment vertical="top"/>
    </xf>
    <xf numFmtId="0" fontId="58" fillId="0" borderId="0" xfId="0" applyFont="1" applyAlignment="1">
      <alignment horizontal="right" vertical="top"/>
    </xf>
    <xf numFmtId="0" fontId="58" fillId="10" borderId="1" xfId="0" applyFont="1" applyFill="1" applyBorder="1" applyAlignment="1">
      <alignment vertical="top"/>
    </xf>
    <xf numFmtId="0" fontId="61" fillId="0" borderId="0" xfId="0" applyFont="1"/>
    <xf numFmtId="0" fontId="0" fillId="10" borderId="0" xfId="0" applyFill="1"/>
    <xf numFmtId="0" fontId="6" fillId="10" borderId="0" xfId="0" applyFont="1" applyFill="1"/>
    <xf numFmtId="0" fontId="78" fillId="0" borderId="1" xfId="0" applyFont="1" applyFill="1" applyBorder="1"/>
    <xf numFmtId="0" fontId="13" fillId="8" borderId="1" xfId="0" applyFont="1" applyFill="1" applyBorder="1"/>
    <xf numFmtId="0" fontId="81" fillId="0" borderId="1" xfId="0" applyFont="1" applyBorder="1"/>
    <xf numFmtId="2" fontId="13" fillId="0" borderId="0" xfId="0" applyNumberFormat="1" applyFont="1"/>
    <xf numFmtId="2" fontId="27" fillId="0" borderId="0" xfId="0" applyNumberFormat="1" applyFont="1" applyAlignment="1">
      <alignment horizontal="right"/>
    </xf>
    <xf numFmtId="2" fontId="17" fillId="0" borderId="11" xfId="0" applyNumberFormat="1" applyFont="1" applyBorder="1"/>
    <xf numFmtId="2" fontId="17" fillId="0" borderId="12" xfId="0" applyNumberFormat="1" applyFont="1" applyBorder="1"/>
    <xf numFmtId="0" fontId="27" fillId="0" borderId="0" xfId="0" applyFont="1" applyAlignment="1">
      <alignment vertical="top"/>
    </xf>
    <xf numFmtId="2" fontId="27" fillId="0" borderId="0" xfId="0" quotePrefix="1" applyNumberFormat="1" applyFont="1" applyAlignment="1">
      <alignment horizontal="right" vertical="top"/>
    </xf>
    <xf numFmtId="2" fontId="17" fillId="0" borderId="0" xfId="0" applyNumberFormat="1" applyFont="1" applyAlignment="1">
      <alignment vertical="top"/>
    </xf>
    <xf numFmtId="2" fontId="29" fillId="0" borderId="0" xfId="0" quotePrefix="1" applyNumberFormat="1" applyFont="1" applyAlignment="1">
      <alignment horizontal="right" vertical="top"/>
    </xf>
    <xf numFmtId="173" fontId="27" fillId="0" borderId="0" xfId="0" applyNumberFormat="1" applyFont="1" applyAlignment="1">
      <alignment vertical="top"/>
    </xf>
    <xf numFmtId="2" fontId="17" fillId="0" borderId="0" xfId="0" quotePrefix="1" applyNumberFormat="1" applyFont="1" applyAlignment="1">
      <alignment horizontal="right" vertical="top"/>
    </xf>
    <xf numFmtId="0" fontId="17" fillId="0" borderId="0" xfId="0" applyFont="1" applyAlignment="1">
      <alignment vertical="top" wrapText="1"/>
    </xf>
    <xf numFmtId="0" fontId="17" fillId="0" borderId="0" xfId="0" applyFont="1" applyAlignment="1">
      <alignment vertical="top"/>
    </xf>
    <xf numFmtId="0" fontId="17" fillId="0" borderId="0" xfId="0" applyFont="1" applyAlignment="1">
      <alignment horizontal="right" vertical="top"/>
    </xf>
    <xf numFmtId="2" fontId="17" fillId="0" borderId="0" xfId="0" applyNumberFormat="1" applyFont="1" applyAlignment="1">
      <alignment horizontal="right" vertical="top"/>
    </xf>
    <xf numFmtId="0" fontId="63" fillId="0" borderId="0" xfId="0" applyFont="1" applyAlignment="1">
      <alignment vertical="top" wrapText="1"/>
    </xf>
    <xf numFmtId="173" fontId="27" fillId="0" borderId="0" xfId="0" applyNumberFormat="1" applyFont="1" applyAlignment="1">
      <alignment horizontal="right" vertical="top"/>
    </xf>
    <xf numFmtId="1" fontId="27" fillId="0" borderId="0" xfId="0" applyNumberFormat="1" applyFont="1" applyAlignment="1">
      <alignment horizontal="right" vertical="top"/>
    </xf>
    <xf numFmtId="0" fontId="17" fillId="0" borderId="0" xfId="0" applyFont="1" applyAlignment="1">
      <alignment horizontal="left" vertical="top"/>
    </xf>
    <xf numFmtId="0" fontId="27" fillId="0" borderId="0" xfId="0" applyFont="1" applyAlignment="1">
      <alignment horizontal="left" vertical="top"/>
    </xf>
    <xf numFmtId="1" fontId="27" fillId="2" borderId="0" xfId="0" applyNumberFormat="1" applyFont="1" applyFill="1" applyAlignment="1">
      <alignment horizontal="right" vertical="top"/>
    </xf>
    <xf numFmtId="0" fontId="27" fillId="0" borderId="0" xfId="0" applyFont="1" applyAlignment="1">
      <alignment horizontal="right" vertical="top"/>
    </xf>
    <xf numFmtId="1" fontId="29" fillId="0" borderId="0" xfId="0" applyNumberFormat="1" applyFont="1" applyAlignment="1">
      <alignment vertical="top"/>
    </xf>
    <xf numFmtId="1" fontId="17" fillId="0" borderId="0" xfId="0" applyNumberFormat="1" applyFont="1" applyAlignment="1">
      <alignment horizontal="right" vertical="top"/>
    </xf>
    <xf numFmtId="0" fontId="64" fillId="0" borderId="0" xfId="0" applyFont="1"/>
    <xf numFmtId="0" fontId="17" fillId="0" borderId="0" xfId="0" applyFont="1" applyAlignment="1">
      <alignment horizontal="center" vertical="top"/>
    </xf>
    <xf numFmtId="0" fontId="6" fillId="0" borderId="0" xfId="0" applyFont="1" applyAlignment="1">
      <alignment horizontal="left" vertical="top" wrapText="1"/>
    </xf>
    <xf numFmtId="2" fontId="6" fillId="0" borderId="0" xfId="0" quotePrefix="1" applyNumberFormat="1" applyFont="1" applyAlignment="1">
      <alignment horizontal="right" vertical="top"/>
    </xf>
    <xf numFmtId="2" fontId="79" fillId="0" borderId="30" xfId="0" applyNumberFormat="1" applyFont="1" applyBorder="1"/>
    <xf numFmtId="0" fontId="79" fillId="0" borderId="32" xfId="0" applyFont="1" applyBorder="1"/>
    <xf numFmtId="0" fontId="79" fillId="0" borderId="31" xfId="0" applyFont="1" applyBorder="1"/>
    <xf numFmtId="173" fontId="6" fillId="0" borderId="0" xfId="0" applyNumberFormat="1" applyFont="1" applyAlignment="1">
      <alignment vertical="top"/>
    </xf>
    <xf numFmtId="1" fontId="79" fillId="0" borderId="33" xfId="0" applyNumberFormat="1" applyFont="1" applyBorder="1" applyAlignment="1">
      <alignment horizontal="right" vertical="top"/>
    </xf>
    <xf numFmtId="0" fontId="6" fillId="0" borderId="0" xfId="0" quotePrefix="1" applyFont="1" applyAlignment="1">
      <alignment horizontal="right"/>
    </xf>
    <xf numFmtId="2" fontId="6" fillId="0" borderId="0" xfId="0" quotePrefix="1" applyNumberFormat="1" applyFont="1"/>
    <xf numFmtId="2" fontId="78" fillId="0" borderId="0" xfId="0" applyNumberFormat="1" applyFont="1" applyAlignment="1">
      <alignment vertical="top"/>
    </xf>
    <xf numFmtId="1" fontId="23" fillId="0" borderId="0" xfId="0" applyNumberFormat="1" applyFont="1"/>
    <xf numFmtId="0" fontId="6" fillId="0" borderId="0" xfId="0" quotePrefix="1" applyFont="1" applyAlignment="1">
      <alignment horizontal="left"/>
    </xf>
    <xf numFmtId="0" fontId="6" fillId="0" borderId="0" xfId="0" applyFont="1" applyAlignment="1">
      <alignment horizontal="right" vertical="top" wrapText="1"/>
    </xf>
    <xf numFmtId="2" fontId="6" fillId="0" borderId="0" xfId="0" applyNumberFormat="1" applyFont="1" applyAlignment="1">
      <alignment horizontal="left" vertical="top" wrapText="1"/>
    </xf>
    <xf numFmtId="0" fontId="6" fillId="0" borderId="0" xfId="0" quotePrefix="1" applyFont="1" applyAlignment="1">
      <alignment horizontal="left" vertical="top" wrapText="1"/>
    </xf>
    <xf numFmtId="1" fontId="6" fillId="0" borderId="0" xfId="0" applyNumberFormat="1" applyFont="1"/>
    <xf numFmtId="1" fontId="6" fillId="0" borderId="0" xfId="0" applyNumberFormat="1" applyFont="1" applyAlignment="1">
      <alignment horizontal="centerContinuous"/>
    </xf>
    <xf numFmtId="2" fontId="6" fillId="0" borderId="0" xfId="0" applyNumberFormat="1" applyFont="1" applyAlignment="1">
      <alignment horizontal="right" vertical="top"/>
    </xf>
    <xf numFmtId="2" fontId="6" fillId="0" borderId="0" xfId="0" quotePrefix="1" applyNumberFormat="1" applyFont="1" applyAlignment="1">
      <alignment horizontal="center"/>
    </xf>
    <xf numFmtId="2" fontId="6" fillId="0" borderId="0" xfId="0" quotePrefix="1" applyNumberFormat="1" applyFont="1" applyAlignment="1">
      <alignment horizontal="left"/>
    </xf>
    <xf numFmtId="2" fontId="6" fillId="0" borderId="23" xfId="0" applyNumberFormat="1" applyFont="1" applyBorder="1" applyAlignment="1">
      <alignment horizontal="left"/>
    </xf>
    <xf numFmtId="0" fontId="6" fillId="0" borderId="23" xfId="0" applyFont="1" applyBorder="1" applyAlignment="1">
      <alignment horizontal="center" vertical="center"/>
    </xf>
    <xf numFmtId="0" fontId="6" fillId="0" borderId="23" xfId="0" applyFont="1" applyBorder="1" applyAlignment="1">
      <alignment horizontal="left" vertical="center"/>
    </xf>
    <xf numFmtId="0" fontId="6" fillId="0" borderId="0" xfId="0" applyFont="1" applyAlignment="1">
      <alignment horizontal="left" vertical="center"/>
    </xf>
    <xf numFmtId="0" fontId="6" fillId="0" borderId="0" xfId="0" applyFont="1" applyAlignment="1">
      <alignment horizontal="center"/>
    </xf>
    <xf numFmtId="0" fontId="6" fillId="0" borderId="23" xfId="0" applyFont="1" applyBorder="1" applyAlignment="1">
      <alignment horizontal="left"/>
    </xf>
    <xf numFmtId="0" fontId="55" fillId="0" borderId="0" xfId="0" applyFont="1" applyAlignment="1">
      <alignment horizontal="center"/>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horizontal="justify" vertical="top" wrapText="1"/>
    </xf>
    <xf numFmtId="0" fontId="6" fillId="0" borderId="0" xfId="0" applyFont="1" applyAlignment="1">
      <alignment vertical="center"/>
    </xf>
    <xf numFmtId="2" fontId="2" fillId="0" borderId="0" xfId="0" applyNumberFormat="1" applyFont="1" applyAlignment="1">
      <alignment horizontal="justify" vertical="top" wrapText="1"/>
    </xf>
    <xf numFmtId="0" fontId="68" fillId="0" borderId="0" xfId="0" applyFont="1" applyAlignment="1">
      <alignment horizontal="center"/>
    </xf>
    <xf numFmtId="0" fontId="69" fillId="0" borderId="0" xfId="0" applyFont="1" applyAlignment="1">
      <alignment vertical="justify" wrapText="1"/>
    </xf>
    <xf numFmtId="0" fontId="70" fillId="0" borderId="0" xfId="0" applyFont="1"/>
    <xf numFmtId="0" fontId="45" fillId="0" borderId="2" xfId="0" applyFont="1" applyBorder="1" applyAlignment="1">
      <alignment horizontal="right"/>
    </xf>
    <xf numFmtId="0" fontId="45" fillId="0" borderId="2" xfId="0" applyFont="1" applyBorder="1"/>
    <xf numFmtId="0" fontId="45" fillId="0" borderId="2" xfId="0" applyFont="1" applyBorder="1" applyAlignment="1">
      <alignment horizontal="center"/>
    </xf>
    <xf numFmtId="0" fontId="70" fillId="0" borderId="0" xfId="0" applyFont="1" applyAlignment="1">
      <alignment horizontal="right"/>
    </xf>
    <xf numFmtId="0" fontId="70" fillId="0" borderId="0" xfId="0" applyFont="1" applyAlignment="1">
      <alignment horizontal="center"/>
    </xf>
    <xf numFmtId="0" fontId="70" fillId="0" borderId="0" xfId="0" applyFont="1" applyAlignment="1">
      <alignment horizontal="center" vertical="center"/>
    </xf>
    <xf numFmtId="0" fontId="71" fillId="0" borderId="0" xfId="0" applyFont="1" applyAlignment="1">
      <alignment horizontal="left" vertical="center"/>
    </xf>
    <xf numFmtId="0" fontId="70" fillId="0" borderId="0" xfId="0" applyFont="1" applyAlignment="1">
      <alignment vertical="center"/>
    </xf>
    <xf numFmtId="2" fontId="2" fillId="0" borderId="0" xfId="0" applyNumberFormat="1" applyFont="1" applyAlignment="1">
      <alignment horizontal="right" vertical="center" indent="1"/>
    </xf>
    <xf numFmtId="0" fontId="72" fillId="0" borderId="0" xfId="0" applyFont="1" applyAlignment="1">
      <alignment horizontal="left" vertical="center"/>
    </xf>
    <xf numFmtId="2" fontId="6" fillId="0" borderId="0" xfId="0" applyNumberFormat="1" applyFont="1" applyAlignment="1">
      <alignment horizontal="right" vertical="center" indent="1"/>
    </xf>
    <xf numFmtId="0" fontId="70" fillId="0" borderId="2" xfId="0" applyFont="1" applyBorder="1"/>
    <xf numFmtId="0" fontId="0" fillId="0" borderId="2" xfId="0" applyBorder="1"/>
    <xf numFmtId="2" fontId="45" fillId="0" borderId="2" xfId="0" applyNumberFormat="1" applyFont="1" applyBorder="1" applyAlignment="1">
      <alignment horizontal="right" vertical="center" indent="1"/>
    </xf>
    <xf numFmtId="0" fontId="71" fillId="0" borderId="0" xfId="0" applyFont="1"/>
    <xf numFmtId="0" fontId="72" fillId="0" borderId="0" xfId="0" applyFont="1"/>
    <xf numFmtId="2" fontId="72" fillId="0" borderId="0" xfId="0" applyNumberFormat="1" applyFont="1" applyAlignment="1">
      <alignment horizontal="right" vertical="top" wrapText="1"/>
    </xf>
    <xf numFmtId="2" fontId="72" fillId="0" borderId="0" xfId="0" applyNumberFormat="1" applyFont="1" applyAlignment="1">
      <alignment horizontal="right" indent="1"/>
    </xf>
    <xf numFmtId="2" fontId="72" fillId="0" borderId="0" xfId="0" applyNumberFormat="1" applyFont="1" applyAlignment="1">
      <alignment horizontal="right"/>
    </xf>
    <xf numFmtId="0" fontId="72" fillId="0" borderId="0" xfId="0" applyFont="1" applyAlignment="1">
      <alignment horizontal="right" indent="1"/>
    </xf>
    <xf numFmtId="2" fontId="73" fillId="0" borderId="0" xfId="0" applyNumberFormat="1" applyFont="1" applyAlignment="1">
      <alignment horizontal="right"/>
    </xf>
    <xf numFmtId="2" fontId="73" fillId="0" borderId="2" xfId="0" applyNumberFormat="1" applyFont="1" applyBorder="1" applyAlignment="1">
      <alignment horizontal="right" indent="1"/>
    </xf>
    <xf numFmtId="2" fontId="73" fillId="0" borderId="0" xfId="0" applyNumberFormat="1" applyFont="1" applyAlignment="1">
      <alignment horizontal="right" indent="1"/>
    </xf>
    <xf numFmtId="2" fontId="74" fillId="0" borderId="0" xfId="0" applyNumberFormat="1" applyFont="1" applyAlignment="1">
      <alignment horizontal="right"/>
    </xf>
    <xf numFmtId="2" fontId="74" fillId="0" borderId="0" xfId="0" applyNumberFormat="1" applyFont="1" applyAlignment="1">
      <alignment horizontal="center"/>
    </xf>
    <xf numFmtId="0" fontId="75" fillId="0" borderId="0" xfId="0" applyFont="1" applyAlignment="1">
      <alignment vertical="justify" wrapText="1"/>
    </xf>
    <xf numFmtId="0" fontId="17" fillId="0" borderId="1" xfId="0" applyFont="1" applyBorder="1" applyAlignment="1">
      <alignment horizontal="center"/>
    </xf>
    <xf numFmtId="0" fontId="17" fillId="0" borderId="1" xfId="0" applyFont="1" applyBorder="1" applyAlignment="1">
      <alignment vertical="top" wrapText="1"/>
    </xf>
    <xf numFmtId="0" fontId="17" fillId="0" borderId="1" xfId="0" applyFont="1" applyBorder="1" applyAlignment="1">
      <alignment horizontal="right"/>
    </xf>
    <xf numFmtId="0" fontId="2" fillId="0" borderId="1" xfId="0" applyFont="1" applyBorder="1"/>
    <xf numFmtId="0" fontId="17" fillId="0" borderId="1" xfId="0" applyFont="1" applyBorder="1" applyAlignment="1">
      <alignment horizontal="left"/>
    </xf>
    <xf numFmtId="0" fontId="27" fillId="0" borderId="1" xfId="6" applyFont="1" applyBorder="1" applyAlignment="1">
      <alignment horizontal="center" vertical="top" wrapText="1"/>
    </xf>
    <xf numFmtId="0" fontId="27" fillId="0" borderId="1" xfId="4" applyFont="1" applyBorder="1" applyAlignment="1">
      <alignment vertical="top" wrapText="1"/>
    </xf>
    <xf numFmtId="0" fontId="27" fillId="0" borderId="1" xfId="6" applyFont="1" applyBorder="1"/>
    <xf numFmtId="0" fontId="6" fillId="0" borderId="1" xfId="6" applyFont="1" applyBorder="1" applyAlignment="1">
      <alignment horizontal="left"/>
    </xf>
    <xf numFmtId="2" fontId="27" fillId="0" borderId="1" xfId="6" applyNumberFormat="1" applyFont="1" applyBorder="1"/>
    <xf numFmtId="0" fontId="27" fillId="0" borderId="1" xfId="6" applyFont="1" applyBorder="1" applyAlignment="1">
      <alignment horizontal="left"/>
    </xf>
    <xf numFmtId="2" fontId="27" fillId="0" borderId="1" xfId="6" applyNumberFormat="1" applyFont="1" applyBorder="1" applyAlignment="1">
      <alignment horizontal="center"/>
    </xf>
    <xf numFmtId="0" fontId="27" fillId="0" borderId="0" xfId="6" applyFont="1"/>
    <xf numFmtId="2" fontId="17" fillId="0" borderId="0" xfId="6" applyNumberFormat="1" applyFont="1"/>
    <xf numFmtId="0" fontId="27" fillId="0" borderId="1" xfId="0" applyFont="1" applyBorder="1" applyAlignment="1">
      <alignment vertical="top" wrapText="1"/>
    </xf>
    <xf numFmtId="2" fontId="17" fillId="0" borderId="1" xfId="6" applyNumberFormat="1" applyFont="1" applyBorder="1" applyAlignment="1">
      <alignment horizontal="right"/>
    </xf>
    <xf numFmtId="0" fontId="2" fillId="0" borderId="1" xfId="6" applyFont="1" applyBorder="1" applyAlignment="1">
      <alignment horizontal="left"/>
    </xf>
    <xf numFmtId="2" fontId="27" fillId="0" borderId="1" xfId="0" applyNumberFormat="1" applyFont="1" applyBorder="1" applyAlignment="1">
      <alignment horizontal="center"/>
    </xf>
    <xf numFmtId="2" fontId="27" fillId="0" borderId="1" xfId="6" applyNumberFormat="1" applyFont="1" applyBorder="1" applyAlignment="1">
      <alignment horizontal="right"/>
    </xf>
    <xf numFmtId="0" fontId="27" fillId="0" borderId="1" xfId="6" quotePrefix="1" applyFont="1" applyBorder="1" applyAlignment="1">
      <alignment horizontal="center" vertical="top" wrapText="1"/>
    </xf>
    <xf numFmtId="0" fontId="6" fillId="0" borderId="1" xfId="6" applyFont="1" applyBorder="1"/>
    <xf numFmtId="0" fontId="27" fillId="0" borderId="1" xfId="6" applyFont="1" applyBorder="1" applyAlignment="1">
      <alignment vertical="top" wrapText="1"/>
    </xf>
    <xf numFmtId="2" fontId="27" fillId="0" borderId="0" xfId="6" applyNumberFormat="1" applyFont="1"/>
    <xf numFmtId="0" fontId="76" fillId="0" borderId="1" xfId="6" applyFont="1" applyBorder="1" applyAlignment="1">
      <alignment vertical="top" wrapText="1"/>
    </xf>
    <xf numFmtId="0" fontId="6" fillId="0" borderId="1" xfId="6" applyFont="1" applyBorder="1" applyAlignment="1">
      <alignment horizontal="left" wrapText="1"/>
    </xf>
    <xf numFmtId="0" fontId="27" fillId="0" borderId="1" xfId="6" applyFont="1" applyBorder="1" applyAlignment="1">
      <alignment horizontal="left" wrapText="1"/>
    </xf>
    <xf numFmtId="0" fontId="76" fillId="0" borderId="1" xfId="0" applyFont="1" applyBorder="1" applyAlignment="1">
      <alignment vertical="top" wrapText="1"/>
    </xf>
    <xf numFmtId="0" fontId="84" fillId="0" borderId="0" xfId="6" applyFont="1"/>
    <xf numFmtId="2" fontId="85" fillId="0" borderId="0" xfId="6" applyNumberFormat="1" applyFont="1"/>
    <xf numFmtId="1" fontId="27" fillId="0" borderId="1" xfId="0" applyNumberFormat="1" applyFont="1" applyBorder="1" applyAlignment="1">
      <alignment horizontal="center" vertical="top"/>
    </xf>
    <xf numFmtId="0" fontId="27" fillId="0" borderId="1" xfId="0" applyFont="1" applyBorder="1" applyAlignment="1">
      <alignment vertical="top"/>
    </xf>
    <xf numFmtId="0" fontId="6" fillId="0" borderId="1" xfId="0" applyFont="1" applyBorder="1" applyAlignment="1">
      <alignment vertical="top"/>
    </xf>
    <xf numFmtId="0" fontId="27" fillId="0" borderId="1" xfId="0" applyFont="1" applyBorder="1" applyAlignment="1">
      <alignment horizontal="left" vertical="top"/>
    </xf>
    <xf numFmtId="0" fontId="6" fillId="0" borderId="1" xfId="0" applyFont="1" applyBorder="1" applyAlignment="1">
      <alignment horizontal="left" vertical="top"/>
    </xf>
    <xf numFmtId="2" fontId="27" fillId="0" borderId="1" xfId="0" applyNumberFormat="1" applyFont="1" applyBorder="1" applyAlignment="1">
      <alignment horizontal="center" vertical="top"/>
    </xf>
    <xf numFmtId="0" fontId="27" fillId="0" borderId="1" xfId="0" applyFont="1" applyBorder="1" applyAlignment="1">
      <alignment horizontal="center" vertical="top"/>
    </xf>
    <xf numFmtId="2" fontId="27" fillId="0" borderId="1" xfId="0" applyNumberFormat="1" applyFont="1" applyBorder="1" applyAlignment="1">
      <alignment vertical="top"/>
    </xf>
    <xf numFmtId="2" fontId="17" fillId="0" borderId="1" xfId="6" applyNumberFormat="1" applyFont="1" applyBorder="1" applyAlignment="1">
      <alignment horizontal="center"/>
    </xf>
    <xf numFmtId="0" fontId="75" fillId="0" borderId="0" xfId="0" applyFont="1" applyAlignment="1">
      <alignment vertical="top" wrapText="1"/>
    </xf>
    <xf numFmtId="0" fontId="27" fillId="0" borderId="0" xfId="0" applyFont="1" applyAlignment="1">
      <alignment horizontal="center" vertical="top"/>
    </xf>
    <xf numFmtId="0" fontId="27" fillId="0" borderId="23" xfId="0" applyFont="1" applyBorder="1" applyAlignment="1">
      <alignment vertical="top"/>
    </xf>
    <xf numFmtId="0" fontId="17" fillId="0" borderId="13" xfId="0" applyFont="1" applyBorder="1"/>
    <xf numFmtId="0" fontId="17" fillId="0" borderId="2" xfId="0" applyFont="1" applyBorder="1" applyAlignment="1">
      <alignment horizontal="center"/>
    </xf>
    <xf numFmtId="0" fontId="17" fillId="0" borderId="2" xfId="0" applyFont="1" applyBorder="1" applyAlignment="1">
      <alignment vertical="top" wrapText="1"/>
    </xf>
    <xf numFmtId="0" fontId="27" fillId="0" borderId="0" xfId="0" applyFont="1" applyAlignment="1">
      <alignment horizontal="center" vertical="top" wrapText="1"/>
    </xf>
    <xf numFmtId="0" fontId="42" fillId="0" borderId="0" xfId="0" applyFont="1" applyAlignment="1">
      <alignment vertical="top" wrapText="1"/>
    </xf>
    <xf numFmtId="2" fontId="17" fillId="0" borderId="0" xfId="0" applyNumberFormat="1" applyFont="1"/>
    <xf numFmtId="2" fontId="17" fillId="0" borderId="2" xfId="0" applyNumberFormat="1" applyFont="1" applyBorder="1"/>
    <xf numFmtId="2" fontId="17" fillId="0" borderId="0" xfId="0" applyNumberFormat="1" applyFont="1" applyAlignment="1">
      <alignment horizontal="right"/>
    </xf>
    <xf numFmtId="2" fontId="27" fillId="8" borderId="1" xfId="0" applyNumberFormat="1" applyFont="1" applyFill="1" applyBorder="1"/>
    <xf numFmtId="175" fontId="27" fillId="0" borderId="0" xfId="0" applyNumberFormat="1" applyFont="1" applyAlignment="1">
      <alignment vertical="top"/>
    </xf>
    <xf numFmtId="173" fontId="27" fillId="0" borderId="0" xfId="0" applyNumberFormat="1" applyFont="1" applyAlignment="1">
      <alignment horizontal="right"/>
    </xf>
    <xf numFmtId="2" fontId="27" fillId="0" borderId="0" xfId="0" applyNumberFormat="1" applyFont="1" applyFill="1" applyAlignment="1">
      <alignment horizontal="right"/>
    </xf>
    <xf numFmtId="4" fontId="27" fillId="0" borderId="0" xfId="0" applyNumberFormat="1" applyFont="1"/>
    <xf numFmtId="180" fontId="27" fillId="5" borderId="0" xfId="0" applyNumberFormat="1" applyFont="1" applyFill="1"/>
    <xf numFmtId="2" fontId="27" fillId="0" borderId="0" xfId="0" applyNumberFormat="1" applyFont="1" applyAlignment="1">
      <alignment vertical="top"/>
    </xf>
    <xf numFmtId="180" fontId="27" fillId="5" borderId="0" xfId="0" applyNumberFormat="1" applyFont="1" applyFill="1" applyAlignment="1">
      <alignment vertical="top"/>
    </xf>
    <xf numFmtId="0" fontId="17" fillId="0" borderId="0" xfId="5" applyFont="1"/>
    <xf numFmtId="0" fontId="17" fillId="0" borderId="0" xfId="5" quotePrefix="1" applyFont="1"/>
    <xf numFmtId="2" fontId="17" fillId="0" borderId="0" xfId="5" applyNumberFormat="1" applyFont="1"/>
    <xf numFmtId="0" fontId="77" fillId="0" borderId="0" xfId="0" applyFont="1" applyAlignment="1">
      <alignment vertical="top" wrapText="1"/>
    </xf>
    <xf numFmtId="2" fontId="27" fillId="0" borderId="0" xfId="0" applyNumberFormat="1" applyFont="1" applyAlignment="1">
      <alignment vertical="top" wrapText="1"/>
    </xf>
    <xf numFmtId="2" fontId="84" fillId="0" borderId="0" xfId="0" applyNumberFormat="1" applyFont="1"/>
    <xf numFmtId="1" fontId="27" fillId="0" borderId="0" xfId="0" applyNumberFormat="1" applyFont="1" applyAlignment="1">
      <alignment horizontal="center" vertical="top"/>
    </xf>
    <xf numFmtId="2" fontId="27" fillId="0" borderId="0" xfId="0" applyNumberFormat="1" applyFont="1" applyAlignment="1">
      <alignment horizontal="center" vertical="top"/>
    </xf>
    <xf numFmtId="2" fontId="27" fillId="0" borderId="0" xfId="0" applyNumberFormat="1" applyFont="1" applyAlignment="1">
      <alignment horizontal="left" vertical="top"/>
    </xf>
    <xf numFmtId="0" fontId="6" fillId="0" borderId="0" xfId="0" applyFont="1" applyAlignment="1">
      <alignment horizontal="left" vertical="top"/>
    </xf>
    <xf numFmtId="2" fontId="17" fillId="0" borderId="0" xfId="0" applyNumberFormat="1" applyFont="1" applyBorder="1"/>
    <xf numFmtId="0" fontId="57" fillId="0" borderId="0" xfId="0" applyFont="1" applyAlignment="1">
      <alignment horizontal="center"/>
    </xf>
    <xf numFmtId="0" fontId="41" fillId="0" borderId="0" xfId="0" applyFont="1" applyAlignment="1">
      <alignment horizontal="center"/>
    </xf>
    <xf numFmtId="0" fontId="17" fillId="0" borderId="0" xfId="0" applyFont="1" applyAlignment="1">
      <alignment horizontal="left"/>
    </xf>
    <xf numFmtId="0" fontId="27" fillId="0" borderId="0" xfId="0" applyFont="1" applyAlignment="1">
      <alignment horizontal="left" vertical="top" wrapText="1"/>
    </xf>
    <xf numFmtId="0" fontId="24" fillId="0" borderId="0" xfId="0" applyFont="1" applyAlignment="1">
      <alignment horizontal="center" vertical="top" wrapText="1"/>
    </xf>
    <xf numFmtId="0" fontId="17" fillId="0" borderId="0" xfId="0" applyFont="1" applyAlignment="1">
      <alignment horizontal="center" vertical="top" wrapText="1"/>
    </xf>
    <xf numFmtId="0" fontId="8" fillId="0" borderId="0" xfId="7" quotePrefix="1" applyFont="1" applyAlignment="1">
      <alignment horizontal="center" vertical="top" wrapText="1"/>
    </xf>
    <xf numFmtId="0" fontId="0" fillId="0" borderId="0" xfId="0" applyAlignment="1">
      <alignment horizontal="center" vertical="top" wrapText="1"/>
    </xf>
    <xf numFmtId="180" fontId="22" fillId="0" borderId="0" xfId="7" applyNumberFormat="1" applyFont="1" applyAlignment="1">
      <alignment horizontal="left" vertical="top" wrapText="1"/>
    </xf>
    <xf numFmtId="0" fontId="40" fillId="5" borderId="1" xfId="3" applyFont="1" applyFill="1" applyBorder="1" applyAlignment="1">
      <alignment horizontal="center" vertical="top"/>
    </xf>
    <xf numFmtId="0" fontId="39" fillId="0" borderId="1" xfId="3" applyFont="1" applyBorder="1" applyAlignment="1">
      <alignment horizontal="left" vertical="center" wrapText="1"/>
    </xf>
    <xf numFmtId="173" fontId="39" fillId="0" borderId="2" xfId="3" applyNumberFormat="1" applyFont="1" applyBorder="1" applyAlignment="1">
      <alignment horizontal="center" vertical="center"/>
    </xf>
    <xf numFmtId="173" fontId="39" fillId="5" borderId="2" xfId="3" applyNumberFormat="1" applyFont="1" applyFill="1" applyBorder="1" applyAlignment="1">
      <alignment horizontal="center" vertical="center"/>
    </xf>
    <xf numFmtId="0" fontId="32" fillId="0" borderId="0" xfId="0" applyFont="1" applyAlignment="1">
      <alignment horizontal="center"/>
    </xf>
    <xf numFmtId="0" fontId="32" fillId="0" borderId="0" xfId="0" applyFont="1" applyAlignment="1">
      <alignment horizontal="left" vertical="top" wrapText="1"/>
    </xf>
    <xf numFmtId="0" fontId="17" fillId="0" borderId="0" xfId="0" applyFont="1" applyAlignment="1">
      <alignment horizontal="center"/>
    </xf>
    <xf numFmtId="0" fontId="0" fillId="0" borderId="1" xfId="0" applyBorder="1" applyAlignment="1">
      <alignment horizontal="center"/>
    </xf>
    <xf numFmtId="2" fontId="2" fillId="0" borderId="0" xfId="0" applyNumberFormat="1" applyFont="1" applyAlignment="1">
      <alignment vertical="top" wrapText="1"/>
    </xf>
    <xf numFmtId="2" fontId="2" fillId="0" borderId="0" xfId="0" applyNumberFormat="1" applyFont="1" applyAlignment="1">
      <alignment horizontal="left" vertical="top" wrapText="1"/>
    </xf>
    <xf numFmtId="1" fontId="13" fillId="0" borderId="0" xfId="0" applyNumberFormat="1" applyFont="1" applyAlignment="1">
      <alignment horizontal="center" vertical="top" wrapText="1"/>
    </xf>
    <xf numFmtId="2" fontId="0" fillId="0" borderId="0" xfId="0" applyNumberFormat="1" applyAlignment="1">
      <alignment horizontal="center"/>
    </xf>
    <xf numFmtId="2" fontId="0" fillId="0" borderId="0" xfId="0" applyNumberFormat="1" applyAlignment="1">
      <alignment horizontal="left" vertical="top" wrapText="1"/>
    </xf>
    <xf numFmtId="2" fontId="2" fillId="0" borderId="0" xfId="0" applyNumberFormat="1" applyFont="1" applyAlignment="1">
      <alignment horizontal="center"/>
    </xf>
    <xf numFmtId="2" fontId="2" fillId="7" borderId="1" xfId="0" applyNumberFormat="1" applyFont="1" applyFill="1" applyBorder="1" applyAlignment="1">
      <alignment horizontal="center"/>
    </xf>
    <xf numFmtId="1"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left" vertical="top" wrapText="1"/>
    </xf>
    <xf numFmtId="0" fontId="0" fillId="0" borderId="0" xfId="0" applyAlignment="1">
      <alignment vertical="top" wrapText="1"/>
    </xf>
    <xf numFmtId="0" fontId="19" fillId="0" borderId="0" xfId="0" applyFont="1" applyAlignment="1">
      <alignment vertical="top" wrapText="1"/>
    </xf>
    <xf numFmtId="0" fontId="2" fillId="0" borderId="0" xfId="0" applyFont="1" applyAlignment="1">
      <alignment horizontal="center" vertical="top" wrapText="1"/>
    </xf>
    <xf numFmtId="1" fontId="2" fillId="0" borderId="0" xfId="0" applyNumberFormat="1" applyFont="1" applyAlignment="1">
      <alignment horizontal="center" vertical="top" wrapText="1"/>
    </xf>
    <xf numFmtId="2" fontId="16" fillId="0" borderId="0" xfId="0" applyNumberFormat="1" applyFont="1" applyBorder="1" applyAlignment="1">
      <alignment horizontal="justify" vertical="top" wrapText="1"/>
    </xf>
    <xf numFmtId="0" fontId="0" fillId="0" borderId="0" xfId="0" applyAlignment="1">
      <alignment horizontal="center"/>
    </xf>
    <xf numFmtId="0" fontId="0" fillId="0" borderId="0" xfId="0" applyAlignment="1">
      <alignment horizontal="center" vertical="center"/>
    </xf>
    <xf numFmtId="0" fontId="0" fillId="0" borderId="23" xfId="0" applyBorder="1" applyAlignment="1">
      <alignment horizontal="center"/>
    </xf>
    <xf numFmtId="2" fontId="0" fillId="0" borderId="0" xfId="0" applyNumberFormat="1" applyAlignment="1">
      <alignment horizontal="center" vertical="center"/>
    </xf>
    <xf numFmtId="0" fontId="6" fillId="0" borderId="0" xfId="3" applyAlignment="1">
      <alignment horizontal="center" vertical="top"/>
    </xf>
    <xf numFmtId="0" fontId="6" fillId="0" borderId="0" xfId="3" applyAlignment="1">
      <alignment horizontal="center"/>
    </xf>
    <xf numFmtId="203" fontId="6" fillId="0" borderId="0" xfId="3" applyNumberFormat="1" applyAlignment="1">
      <alignment horizontal="center" vertical="top"/>
    </xf>
    <xf numFmtId="173" fontId="6" fillId="0" borderId="0" xfId="3" applyNumberFormat="1" applyAlignment="1">
      <alignment horizontal="center" vertical="top"/>
    </xf>
    <xf numFmtId="0" fontId="47" fillId="0" borderId="0" xfId="3" applyFont="1" applyAlignment="1">
      <alignment horizontal="center" vertical="top"/>
    </xf>
    <xf numFmtId="0" fontId="47" fillId="0" borderId="0" xfId="3" applyFont="1" applyAlignment="1">
      <alignment horizontal="center"/>
    </xf>
    <xf numFmtId="208" fontId="6" fillId="0" borderId="0" xfId="3" applyNumberFormat="1" applyAlignment="1">
      <alignment horizontal="center"/>
    </xf>
    <xf numFmtId="0" fontId="2" fillId="0" borderId="41" xfId="3" applyFont="1" applyBorder="1" applyAlignment="1">
      <alignment horizontal="center" vertical="center" wrapText="1"/>
    </xf>
    <xf numFmtId="0" fontId="2" fillId="0" borderId="42" xfId="3" applyFont="1" applyBorder="1" applyAlignment="1">
      <alignment horizontal="center" vertical="center" wrapText="1"/>
    </xf>
    <xf numFmtId="0" fontId="2" fillId="0" borderId="17" xfId="3" applyFont="1" applyBorder="1" applyAlignment="1">
      <alignment horizontal="center" vertical="center" wrapText="1"/>
    </xf>
    <xf numFmtId="0" fontId="2" fillId="0" borderId="1" xfId="3" applyFont="1" applyBorder="1" applyAlignment="1">
      <alignment horizontal="center" vertical="center" wrapText="1"/>
    </xf>
    <xf numFmtId="0" fontId="6" fillId="0" borderId="19" xfId="3" applyBorder="1" applyAlignment="1">
      <alignment horizontal="left" vertical="center" wrapText="1"/>
    </xf>
    <xf numFmtId="0" fontId="6" fillId="0" borderId="20" xfId="3" applyBorder="1" applyAlignment="1">
      <alignment horizontal="left" vertical="center" wrapText="1"/>
    </xf>
    <xf numFmtId="0" fontId="19" fillId="0" borderId="0" xfId="3" applyFont="1" applyAlignment="1">
      <alignment horizontal="left"/>
    </xf>
    <xf numFmtId="172" fontId="38" fillId="0" borderId="43" xfId="3" applyNumberFormat="1" applyFont="1" applyBorder="1" applyAlignment="1">
      <alignment horizontal="center"/>
    </xf>
    <xf numFmtId="172" fontId="38" fillId="0" borderId="44" xfId="3" applyNumberFormat="1" applyFont="1" applyBorder="1" applyAlignment="1">
      <alignment horizontal="center"/>
    </xf>
    <xf numFmtId="172" fontId="6" fillId="0" borderId="20" xfId="3" applyNumberFormat="1" applyBorder="1" applyAlignment="1">
      <alignment horizontal="center"/>
    </xf>
    <xf numFmtId="0" fontId="6" fillId="0" borderId="34" xfId="3" applyBorder="1" applyAlignment="1">
      <alignment horizontal="center"/>
    </xf>
    <xf numFmtId="0" fontId="6" fillId="0" borderId="36" xfId="3" applyBorder="1" applyAlignment="1">
      <alignment horizontal="center"/>
    </xf>
    <xf numFmtId="0" fontId="2" fillId="0" borderId="45" xfId="3" applyFont="1" applyBorder="1" applyAlignment="1">
      <alignment horizontal="center" wrapText="1"/>
    </xf>
    <xf numFmtId="0" fontId="2" fillId="0" borderId="46" xfId="3" applyFont="1" applyBorder="1" applyAlignment="1">
      <alignment horizontal="center" vertical="center" wrapText="1"/>
    </xf>
    <xf numFmtId="0" fontId="6" fillId="0" borderId="12" xfId="3" applyBorder="1"/>
    <xf numFmtId="0" fontId="2" fillId="0" borderId="38" xfId="3" applyFont="1" applyBorder="1" applyAlignment="1">
      <alignment horizontal="center" vertical="center" wrapText="1"/>
    </xf>
    <xf numFmtId="0" fontId="2" fillId="0" borderId="40" xfId="3" applyFont="1" applyBorder="1" applyAlignment="1">
      <alignment horizontal="center" vertical="center" wrapText="1"/>
    </xf>
    <xf numFmtId="172" fontId="38" fillId="0" borderId="13" xfId="3" applyNumberFormat="1" applyFont="1" applyBorder="1" applyAlignment="1">
      <alignment horizontal="center"/>
    </xf>
    <xf numFmtId="172" fontId="38" fillId="0" borderId="14" xfId="3" applyNumberFormat="1" applyFont="1" applyBorder="1" applyAlignment="1">
      <alignment horizontal="center"/>
    </xf>
    <xf numFmtId="172" fontId="6" fillId="0" borderId="1" xfId="3" applyNumberFormat="1" applyBorder="1" applyAlignment="1">
      <alignment horizontal="center"/>
    </xf>
    <xf numFmtId="0" fontId="2" fillId="0" borderId="34" xfId="3" applyFont="1" applyBorder="1" applyAlignment="1">
      <alignment horizontal="center" wrapText="1"/>
    </xf>
    <xf numFmtId="0" fontId="2" fillId="0" borderId="35" xfId="3" applyFont="1" applyBorder="1" applyAlignment="1">
      <alignment horizontal="center" wrapText="1"/>
    </xf>
    <xf numFmtId="0" fontId="2" fillId="0" borderId="36" xfId="3" applyFont="1" applyBorder="1" applyAlignment="1">
      <alignment horizontal="center" wrapText="1"/>
    </xf>
    <xf numFmtId="0" fontId="2" fillId="0" borderId="37" xfId="3" applyFont="1" applyBorder="1" applyAlignment="1">
      <alignment horizontal="center" vertical="center" wrapText="1"/>
    </xf>
    <xf numFmtId="0" fontId="2" fillId="0" borderId="39" xfId="3" applyFont="1" applyBorder="1" applyAlignment="1">
      <alignment horizontal="center" vertical="center" wrapText="1"/>
    </xf>
    <xf numFmtId="0" fontId="46" fillId="0" borderId="13" xfId="3" applyFont="1" applyBorder="1" applyAlignment="1">
      <alignment horizontal="center" vertical="center" wrapText="1"/>
    </xf>
    <xf numFmtId="0" fontId="46" fillId="0" borderId="14" xfId="3" applyFont="1" applyBorder="1" applyAlignment="1">
      <alignment horizontal="center" vertical="center" wrapText="1"/>
    </xf>
    <xf numFmtId="0" fontId="41" fillId="0" borderId="13" xfId="3" applyFont="1" applyBorder="1" applyAlignment="1">
      <alignment horizontal="center"/>
    </xf>
    <xf numFmtId="0" fontId="41" fillId="0" borderId="2" xfId="3" applyFont="1" applyBorder="1" applyAlignment="1">
      <alignment horizontal="center"/>
    </xf>
    <xf numFmtId="0" fontId="41" fillId="0" borderId="14" xfId="3" applyFont="1" applyBorder="1" applyAlignment="1">
      <alignment horizontal="center"/>
    </xf>
    <xf numFmtId="2" fontId="41" fillId="0" borderId="1" xfId="3" applyNumberFormat="1" applyFont="1" applyBorder="1" applyAlignment="1">
      <alignment horizontal="left" vertical="top" wrapText="1"/>
    </xf>
    <xf numFmtId="2" fontId="41" fillId="0" borderId="13" xfId="3" applyNumberFormat="1" applyFont="1" applyBorder="1" applyAlignment="1">
      <alignment horizontal="center" vertical="top"/>
    </xf>
    <xf numFmtId="2" fontId="41" fillId="0" borderId="2" xfId="3" applyNumberFormat="1" applyFont="1" applyBorder="1" applyAlignment="1">
      <alignment horizontal="center" vertical="top"/>
    </xf>
    <xf numFmtId="2" fontId="41" fillId="0" borderId="14" xfId="3" applyNumberFormat="1" applyFont="1" applyBorder="1" applyAlignment="1">
      <alignment horizontal="center" vertical="top"/>
    </xf>
    <xf numFmtId="1" fontId="13" fillId="0" borderId="0" xfId="0" applyNumberFormat="1" applyFont="1" applyAlignment="1">
      <alignment horizontal="center"/>
    </xf>
    <xf numFmtId="0" fontId="13" fillId="0" borderId="0" xfId="0" applyFont="1" applyAlignment="1">
      <alignment horizontal="center" vertical="center" textRotation="90"/>
    </xf>
    <xf numFmtId="0" fontId="55" fillId="0" borderId="0" xfId="0" applyFont="1" applyAlignment="1">
      <alignment horizontal="center" vertical="center"/>
    </xf>
    <xf numFmtId="0" fontId="46" fillId="0" borderId="0" xfId="0" applyFont="1" applyAlignment="1">
      <alignment horizontal="left" vertical="center" textRotation="90"/>
    </xf>
    <xf numFmtId="0" fontId="27" fillId="0" borderId="0" xfId="0" applyFont="1" applyAlignment="1">
      <alignment horizontal="right"/>
    </xf>
    <xf numFmtId="0" fontId="17" fillId="0" borderId="3" xfId="0" applyFont="1" applyBorder="1" applyAlignment="1">
      <alignment horizontal="center"/>
    </xf>
    <xf numFmtId="0" fontId="27" fillId="0" borderId="15" xfId="0" applyFont="1" applyBorder="1" applyAlignment="1">
      <alignment vertical="top" wrapText="1"/>
    </xf>
    <xf numFmtId="0" fontId="27" fillId="0" borderId="24" xfId="0" applyFont="1" applyBorder="1" applyAlignment="1">
      <alignment vertical="top" wrapText="1"/>
    </xf>
    <xf numFmtId="0" fontId="27" fillId="0" borderId="25" xfId="0" applyFont="1" applyBorder="1" applyAlignment="1">
      <alignment vertical="top" wrapText="1"/>
    </xf>
    <xf numFmtId="0" fontId="27" fillId="0" borderId="30" xfId="0" applyFont="1" applyBorder="1" applyAlignment="1">
      <alignment horizontal="center" vertical="top" wrapText="1"/>
    </xf>
    <xf numFmtId="0" fontId="27" fillId="0" borderId="31" xfId="0" applyFont="1" applyBorder="1" applyAlignment="1">
      <alignment horizontal="center" vertical="top" wrapText="1"/>
    </xf>
    <xf numFmtId="0" fontId="27" fillId="0" borderId="32" xfId="0" applyFont="1" applyBorder="1" applyAlignment="1">
      <alignment horizontal="center" vertical="top" wrapText="1"/>
    </xf>
    <xf numFmtId="0" fontId="27" fillId="0" borderId="15" xfId="0" applyFont="1" applyBorder="1" applyAlignment="1">
      <alignment horizontal="center" vertical="top" wrapText="1"/>
    </xf>
    <xf numFmtId="0" fontId="27" fillId="0" borderId="25" xfId="0" applyFont="1" applyBorder="1" applyAlignment="1">
      <alignment horizontal="center" vertical="top" wrapText="1"/>
    </xf>
    <xf numFmtId="0" fontId="17" fillId="0" borderId="15" xfId="0" applyFont="1" applyBorder="1" applyAlignment="1">
      <alignment vertical="top" wrapText="1"/>
    </xf>
    <xf numFmtId="0" fontId="17" fillId="0" borderId="25" xfId="0" applyFont="1" applyBorder="1" applyAlignment="1">
      <alignment vertical="top" wrapText="1"/>
    </xf>
    <xf numFmtId="2" fontId="27" fillId="0" borderId="15" xfId="0" applyNumberFormat="1" applyFont="1" applyBorder="1" applyAlignment="1">
      <alignment horizontal="center" vertical="top" wrapText="1"/>
    </xf>
    <xf numFmtId="2" fontId="27" fillId="0" borderId="25" xfId="0" applyNumberFormat="1" applyFont="1" applyBorder="1" applyAlignment="1">
      <alignment horizontal="center" vertical="top" wrapText="1"/>
    </xf>
    <xf numFmtId="2" fontId="17" fillId="0" borderId="15" xfId="0" applyNumberFormat="1" applyFont="1" applyBorder="1" applyAlignment="1">
      <alignment horizontal="center" vertical="top" wrapText="1"/>
    </xf>
    <xf numFmtId="2" fontId="17" fillId="0" borderId="25" xfId="0" applyNumberFormat="1" applyFont="1" applyBorder="1" applyAlignment="1">
      <alignment horizontal="center" vertical="top" wrapText="1"/>
    </xf>
    <xf numFmtId="0" fontId="17" fillId="0" borderId="25" xfId="0" applyFont="1" applyBorder="1" applyAlignment="1">
      <alignment horizontal="center" vertical="top" wrapText="1"/>
    </xf>
    <xf numFmtId="173" fontId="27" fillId="0" borderId="15" xfId="0" applyNumberFormat="1" applyFont="1" applyBorder="1" applyAlignment="1">
      <alignment horizontal="center" vertical="top" wrapText="1"/>
    </xf>
    <xf numFmtId="173" fontId="27" fillId="0" borderId="25" xfId="0" applyNumberFormat="1" applyFont="1" applyBorder="1" applyAlignment="1">
      <alignment horizontal="center" vertical="top" wrapText="1"/>
    </xf>
    <xf numFmtId="0" fontId="17" fillId="0" borderId="15" xfId="0" applyFont="1" applyBorder="1" applyAlignment="1">
      <alignment horizontal="center" vertical="top" wrapText="1"/>
    </xf>
    <xf numFmtId="2" fontId="16" fillId="0" borderId="0" xfId="0" applyNumberFormat="1" applyFont="1" applyAlignment="1">
      <alignment horizontal="justify" vertical="top" wrapText="1"/>
    </xf>
    <xf numFmtId="0" fontId="0" fillId="0" borderId="0" xfId="0" applyAlignment="1">
      <alignment horizontal="left" vertical="center"/>
    </xf>
    <xf numFmtId="0" fontId="0" fillId="0" borderId="23" xfId="0" applyBorder="1" applyAlignment="1">
      <alignment horizontal="left"/>
    </xf>
    <xf numFmtId="0" fontId="0" fillId="0" borderId="0" xfId="0" applyAlignment="1">
      <alignment horizontal="left"/>
    </xf>
    <xf numFmtId="0" fontId="0" fillId="0" borderId="0" xfId="0" applyAlignment="1">
      <alignment horizontal="right"/>
    </xf>
    <xf numFmtId="0" fontId="0" fillId="0" borderId="47" xfId="0" applyBorder="1" applyAlignment="1">
      <alignment horizontal="center"/>
    </xf>
    <xf numFmtId="0" fontId="23" fillId="0" borderId="0" xfId="0" applyFont="1" applyAlignment="1">
      <alignment horizontal="center"/>
    </xf>
    <xf numFmtId="0" fontId="0" fillId="0" borderId="0" xfId="0" quotePrefix="1" applyAlignment="1">
      <alignment horizontal="center" vertical="center"/>
    </xf>
    <xf numFmtId="0" fontId="0" fillId="0" borderId="23" xfId="0" applyBorder="1" applyAlignment="1">
      <alignment horizontal="right"/>
    </xf>
    <xf numFmtId="0" fontId="0" fillId="0" borderId="47" xfId="0" applyBorder="1" applyAlignment="1">
      <alignment horizontal="left"/>
    </xf>
    <xf numFmtId="173" fontId="0" fillId="0" borderId="0" xfId="0" applyNumberFormat="1" applyAlignment="1">
      <alignment horizontal="center"/>
    </xf>
    <xf numFmtId="0" fontId="43" fillId="0" borderId="0" xfId="0" applyFont="1" applyAlignment="1">
      <alignment horizontal="right" vertical="center"/>
    </xf>
    <xf numFmtId="0" fontId="0" fillId="0" borderId="0" xfId="0" applyAlignment="1">
      <alignment horizontal="right" vertical="center"/>
    </xf>
    <xf numFmtId="0" fontId="58" fillId="0" borderId="0" xfId="0" applyFont="1" applyAlignment="1">
      <alignment horizontal="left" vertical="top" wrapText="1"/>
    </xf>
    <xf numFmtId="0" fontId="59" fillId="0" borderId="0" xfId="0" applyFont="1" applyAlignment="1">
      <alignment horizontal="left" vertical="top" wrapText="1"/>
    </xf>
    <xf numFmtId="0" fontId="58" fillId="0" borderId="0" xfId="0" applyFont="1" applyAlignment="1">
      <alignment vertical="top" wrapText="1"/>
    </xf>
    <xf numFmtId="0" fontId="58" fillId="0" borderId="0" xfId="0" applyFont="1" applyAlignment="1">
      <alignment horizontal="center"/>
    </xf>
    <xf numFmtId="2" fontId="27" fillId="0" borderId="0" xfId="0" applyNumberFormat="1" applyFont="1" applyAlignment="1">
      <alignment horizontal="justify" vertical="top" wrapText="1"/>
    </xf>
    <xf numFmtId="0" fontId="65" fillId="0" borderId="0" xfId="0" applyFont="1" applyAlignment="1">
      <alignment horizontal="center"/>
    </xf>
    <xf numFmtId="0" fontId="66" fillId="0" borderId="0" xfId="0" applyFont="1" applyAlignment="1">
      <alignment horizontal="center"/>
    </xf>
    <xf numFmtId="0" fontId="67" fillId="0" borderId="0" xfId="0" applyFont="1" applyAlignment="1">
      <alignment horizontal="center"/>
    </xf>
    <xf numFmtId="0" fontId="69" fillId="0" borderId="0" xfId="0" applyFont="1" applyAlignment="1">
      <alignment horizontal="left" vertical="top" wrapText="1"/>
    </xf>
    <xf numFmtId="0" fontId="69" fillId="0" borderId="0" xfId="0" applyFont="1" applyAlignment="1">
      <alignment horizontal="center" vertical="justify" wrapText="1"/>
    </xf>
    <xf numFmtId="0" fontId="45" fillId="0" borderId="2" xfId="0" applyFont="1" applyBorder="1" applyAlignment="1">
      <alignment horizontal="left"/>
    </xf>
    <xf numFmtId="0" fontId="42" fillId="0" borderId="0" xfId="0" applyFont="1" applyAlignment="1">
      <alignment horizontal="center"/>
    </xf>
    <xf numFmtId="0" fontId="75" fillId="0" borderId="0" xfId="0" applyFont="1" applyAlignment="1">
      <alignment horizontal="left" vertical="top" wrapText="1"/>
    </xf>
    <xf numFmtId="0" fontId="75" fillId="0" borderId="0" xfId="0" applyFont="1" applyAlignment="1">
      <alignment horizontal="center" vertical="justify" wrapText="1"/>
    </xf>
    <xf numFmtId="0" fontId="77" fillId="0" borderId="0" xfId="0" applyFont="1" applyAlignment="1">
      <alignment horizontal="center" vertical="top"/>
    </xf>
    <xf numFmtId="0" fontId="17" fillId="0" borderId="2" xfId="0" applyFont="1" applyBorder="1" applyAlignment="1">
      <alignment horizontal="center"/>
    </xf>
    <xf numFmtId="0" fontId="17" fillId="0" borderId="14" xfId="0" applyFont="1" applyBorder="1" applyAlignment="1">
      <alignment horizontal="center"/>
    </xf>
  </cellXfs>
  <cellStyles count="8">
    <cellStyle name="Comma" xfId="1" builtinId="3"/>
    <cellStyle name="Hyperlink" xfId="2" builtinId="8"/>
    <cellStyle name="Normal" xfId="0" builtinId="0"/>
    <cellStyle name="Normal 10 2 2" xfId="3"/>
    <cellStyle name="Normal 2" xfId="4"/>
    <cellStyle name="Normal 46" xfId="5"/>
    <cellStyle name="Normal_BOQ RJ-03-04 NP RIDF XX (2015)" xfId="6"/>
    <cellStyle name="Normal_Hydraulic Data Analysis DESIGN MAHI BRIDGEBy Sheladia AssociatesSai_rk"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externalLink" Target="externalLinks/externalLink9.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8" Type="http://schemas.openxmlformats.org/officeDocument/2006/relationships/externalLink" Target="externalLinks/externalLink1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externalLink" Target="externalLinks/externalLink1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9468009505834168E-2"/>
          <c:y val="0.10317500300332885"/>
          <c:w val="0.74491506644150163"/>
          <c:h val="0.71825675167702008"/>
        </c:manualLayout>
      </c:layout>
      <c:scatterChart>
        <c:scatterStyle val="line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'CROSS SECTION'!$A$6:$A$27</c:f>
              <c:numCache>
                <c:formatCode>General</c:formatCode>
                <c:ptCount val="22"/>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numCache>
            </c:numRef>
          </c:xVal>
          <c:yVal>
            <c:numRef>
              <c:f>'CROSS SECTION'!$B$6:$B$29</c:f>
              <c:numCache>
                <c:formatCode>0.000</c:formatCode>
                <c:ptCount val="24"/>
                <c:pt idx="0">
                  <c:v>102</c:v>
                </c:pt>
                <c:pt idx="1">
                  <c:v>100.95</c:v>
                </c:pt>
                <c:pt idx="2">
                  <c:v>98.19</c:v>
                </c:pt>
                <c:pt idx="3">
                  <c:v>97.589999999999989</c:v>
                </c:pt>
                <c:pt idx="4">
                  <c:v>97.21</c:v>
                </c:pt>
                <c:pt idx="5">
                  <c:v>96.86999999999999</c:v>
                </c:pt>
                <c:pt idx="6">
                  <c:v>97.95999999999998</c:v>
                </c:pt>
                <c:pt idx="7">
                  <c:v>97.11999999999999</c:v>
                </c:pt>
                <c:pt idx="8">
                  <c:v>96.799999999999983</c:v>
                </c:pt>
                <c:pt idx="9">
                  <c:v>96.469999999999985</c:v>
                </c:pt>
                <c:pt idx="10">
                  <c:v>96.49</c:v>
                </c:pt>
                <c:pt idx="11">
                  <c:v>97.039999999999978</c:v>
                </c:pt>
                <c:pt idx="12">
                  <c:v>97.289999999999978</c:v>
                </c:pt>
                <c:pt idx="13">
                  <c:v>97.739999999999981</c:v>
                </c:pt>
                <c:pt idx="14">
                  <c:v>98.129999999999981</c:v>
                </c:pt>
                <c:pt idx="15">
                  <c:v>98.84999999999998</c:v>
                </c:pt>
                <c:pt idx="16">
                  <c:v>98.07</c:v>
                </c:pt>
                <c:pt idx="17">
                  <c:v>98.75</c:v>
                </c:pt>
                <c:pt idx="18">
                  <c:v>101.85</c:v>
                </c:pt>
                <c:pt idx="19">
                  <c:v>102</c:v>
                </c:pt>
                <c:pt idx="22" formatCode="_(* #,##0.00_);_(* \(#,##0.00\);_(* &quot;-&quot;??_);_(@_)">
                  <c:v>100.6</c:v>
                </c:pt>
                <c:pt idx="23" formatCode="_(* #,##0.00_);_(* \(#,##0.00\);_(* &quot;-&quot;??_);_(@_)">
                  <c:v>100.6</c:v>
                </c:pt>
              </c:numCache>
            </c:numRef>
          </c:yVal>
          <c:smooth val="0"/>
        </c:ser>
        <c:ser>
          <c:idx val="1"/>
          <c:order val="1"/>
          <c:tx>
            <c:v>series 2</c:v>
          </c:tx>
          <c:xVal>
            <c:numRef>
              <c:f>'CROSS SECTION'!$A$28:$A$29</c:f>
              <c:numCache>
                <c:formatCode>0.00</c:formatCode>
                <c:ptCount val="2"/>
                <c:pt idx="0">
                  <c:v>0</c:v>
                </c:pt>
                <c:pt idx="1">
                  <c:v>190</c:v>
                </c:pt>
              </c:numCache>
            </c:numRef>
          </c:xVal>
          <c:yVal>
            <c:numRef>
              <c:f>'CROSS SECTION'!$B$28:$B$29</c:f>
              <c:numCache>
                <c:formatCode>_(* #,##0.00_);_(* \(#,##0.00\);_(* "-"??_);_(@_)</c:formatCode>
                <c:ptCount val="2"/>
                <c:pt idx="0">
                  <c:v>100.6</c:v>
                </c:pt>
                <c:pt idx="1">
                  <c:v>100.6</c:v>
                </c:pt>
              </c:numCache>
            </c:numRef>
          </c:yVal>
          <c:smooth val="0"/>
        </c:ser>
        <c:dLbls>
          <c:showLegendKey val="0"/>
          <c:showVal val="0"/>
          <c:showCatName val="0"/>
          <c:showSerName val="0"/>
          <c:showPercent val="0"/>
          <c:showBubbleSize val="0"/>
        </c:dLbls>
        <c:axId val="1856976128"/>
        <c:axId val="1856963072"/>
      </c:scatterChart>
      <c:valAx>
        <c:axId val="1856976128"/>
        <c:scaling>
          <c:orientation val="minMax"/>
          <c:max val="190"/>
          <c:min val="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856963072"/>
        <c:crosses val="autoZero"/>
        <c:crossBetween val="midCat"/>
      </c:valAx>
      <c:valAx>
        <c:axId val="1856963072"/>
        <c:scaling>
          <c:orientation val="minMax"/>
          <c:max val="102"/>
          <c:min val="95"/>
        </c:scaling>
        <c:delete val="0"/>
        <c:axPos val="l"/>
        <c:majorGridlines>
          <c:spPr>
            <a:ln w="3175">
              <a:solidFill>
                <a:srgbClr val="000000"/>
              </a:solidFill>
              <a:prstDash val="solid"/>
            </a:ln>
          </c:spPr>
        </c:majorGridlines>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856976128"/>
        <c:crosses val="autoZero"/>
        <c:crossBetween val="midCat"/>
      </c:valAx>
      <c:spPr>
        <a:solidFill>
          <a:srgbClr val="C0C0C0"/>
        </a:solidFill>
        <a:ln w="12700">
          <a:solidFill>
            <a:srgbClr val="808080"/>
          </a:solidFill>
          <a:prstDash val="solid"/>
        </a:ln>
      </c:spPr>
    </c:plotArea>
    <c:legend>
      <c:legendPos val="r"/>
      <c:layout>
        <c:manualLayout>
          <c:xMode val="edge"/>
          <c:yMode val="edge"/>
          <c:x val="0.85759129874023954"/>
          <c:y val="0.42063650950513776"/>
          <c:w val="0.12800233304170316"/>
          <c:h val="0.1682013027723761"/>
        </c:manualLayout>
      </c:layout>
      <c:overlay val="0"/>
      <c:spPr>
        <a:solidFill>
          <a:srgbClr val="FFFFFF"/>
        </a:solidFill>
        <a:ln w="3175">
          <a:solidFill>
            <a:srgbClr val="000000"/>
          </a:solidFill>
          <a:prstDash val="solid"/>
        </a:ln>
      </c:spPr>
      <c:txPr>
        <a:bodyPr/>
        <a:lstStyle/>
        <a:p>
          <a:pPr>
            <a:defRPr sz="7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6333283426789E-2"/>
          <c:y val="0.10317500300332885"/>
          <c:w val="0.74268160652928072"/>
          <c:h val="0.65079617279022817"/>
        </c:manualLayout>
      </c:layout>
      <c:scatterChart>
        <c:scatterStyle val="line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'Bed Slope'!$A$4:$A$14</c:f>
              <c:numCache>
                <c:formatCode>_(* #,##0.00_);_(* \(#,##0.00\);_(* "-"??_);_(@_)</c:formatCode>
                <c:ptCount val="11"/>
                <c:pt idx="0" formatCode="#,##0.00_);\(#,##0.00\)">
                  <c:v>0</c:v>
                </c:pt>
                <c:pt idx="1">
                  <c:v>25</c:v>
                </c:pt>
                <c:pt idx="2">
                  <c:v>50</c:v>
                </c:pt>
                <c:pt idx="3">
                  <c:v>75</c:v>
                </c:pt>
                <c:pt idx="4">
                  <c:v>100</c:v>
                </c:pt>
                <c:pt idx="5">
                  <c:v>125</c:v>
                </c:pt>
                <c:pt idx="6">
                  <c:v>150</c:v>
                </c:pt>
                <c:pt idx="7">
                  <c:v>175</c:v>
                </c:pt>
                <c:pt idx="8">
                  <c:v>200</c:v>
                </c:pt>
                <c:pt idx="9">
                  <c:v>225</c:v>
                </c:pt>
                <c:pt idx="10">
                  <c:v>235</c:v>
                </c:pt>
              </c:numCache>
            </c:numRef>
          </c:xVal>
          <c:yVal>
            <c:numRef>
              <c:f>'Bed Slope'!$B$4:$B$14</c:f>
              <c:numCache>
                <c:formatCode>_(* #,##0.000_);_(* \(#,##0.000\);_(* "-"??_);_(@_)</c:formatCode>
                <c:ptCount val="11"/>
                <c:pt idx="0">
                  <c:v>94.504999999999995</c:v>
                </c:pt>
                <c:pt idx="1">
                  <c:v>94.47999999999999</c:v>
                </c:pt>
                <c:pt idx="2">
                  <c:v>94.454999999999984</c:v>
                </c:pt>
                <c:pt idx="3">
                  <c:v>94.429999999999978</c:v>
                </c:pt>
                <c:pt idx="4">
                  <c:v>94.404999999999973</c:v>
                </c:pt>
                <c:pt idx="5">
                  <c:v>94.37</c:v>
                </c:pt>
                <c:pt idx="6">
                  <c:v>94.36</c:v>
                </c:pt>
                <c:pt idx="7">
                  <c:v>94.334999999999994</c:v>
                </c:pt>
                <c:pt idx="8">
                  <c:v>94.309999999999988</c:v>
                </c:pt>
                <c:pt idx="9">
                  <c:v>94.284999999999982</c:v>
                </c:pt>
                <c:pt idx="10">
                  <c:v>94.259999999999977</c:v>
                </c:pt>
              </c:numCache>
            </c:numRef>
          </c:yVal>
          <c:smooth val="0"/>
        </c:ser>
        <c:dLbls>
          <c:showLegendKey val="0"/>
          <c:showVal val="0"/>
          <c:showCatName val="0"/>
          <c:showSerName val="0"/>
          <c:showPercent val="0"/>
          <c:showBubbleSize val="0"/>
        </c:dLbls>
        <c:axId val="1856977216"/>
        <c:axId val="1856966336"/>
      </c:scatterChart>
      <c:valAx>
        <c:axId val="1856977216"/>
        <c:scaling>
          <c:orientation val="minMax"/>
          <c:max val="235"/>
          <c:min val="0"/>
        </c:scaling>
        <c:delete val="0"/>
        <c:axPos val="b"/>
        <c:numFmt formatCode="#,##0.00_);\(#,##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856966336"/>
        <c:crosses val="autoZero"/>
        <c:crossBetween val="midCat"/>
      </c:valAx>
      <c:valAx>
        <c:axId val="1856966336"/>
        <c:scaling>
          <c:orientation val="minMax"/>
          <c:max val="94.6"/>
          <c:min val="94.2"/>
        </c:scaling>
        <c:delete val="0"/>
        <c:axPos val="l"/>
        <c:majorGridlines>
          <c:spPr>
            <a:ln w="3175">
              <a:solidFill>
                <a:srgbClr val="000000"/>
              </a:solidFill>
              <a:prstDash val="solid"/>
            </a:ln>
          </c:spPr>
        </c:majorGridlines>
        <c:numFmt formatCode="_(* #,##0.000_);_(* \(#,##0.000\);_(* &quot;-&quot;??_);_(@_)"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856977216"/>
        <c:crosses val="autoZero"/>
        <c:crossBetween val="midCat"/>
      </c:valAx>
      <c:spPr>
        <a:solidFill>
          <a:srgbClr val="C0C0C0"/>
        </a:solidFill>
        <a:ln w="12700">
          <a:solidFill>
            <a:srgbClr val="808080"/>
          </a:solidFill>
          <a:prstDash val="solid"/>
        </a:ln>
      </c:spPr>
    </c:plotArea>
    <c:legend>
      <c:legendPos val="r"/>
      <c:layout>
        <c:manualLayout>
          <c:xMode val="edge"/>
          <c:yMode val="edge"/>
          <c:x val="0.85978493058167416"/>
          <c:y val="0.3849223013789943"/>
          <c:w val="0.12788922185959417"/>
          <c:h val="8.7302003916177151E-2"/>
        </c:manualLayout>
      </c:layout>
      <c:overlay val="0"/>
      <c:spPr>
        <a:solidFill>
          <a:srgbClr val="FFFFFF"/>
        </a:solidFill>
        <a:ln w="3175">
          <a:solidFill>
            <a:srgbClr val="000000"/>
          </a:solidFill>
          <a:prstDash val="solid"/>
        </a:ln>
      </c:spPr>
      <c:txPr>
        <a:bodyPr/>
        <a:lstStyle/>
        <a:p>
          <a:pPr>
            <a:defRPr sz="7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457200</xdr:colOff>
      <xdr:row>12</xdr:row>
      <xdr:rowOff>0</xdr:rowOff>
    </xdr:from>
    <xdr:to>
      <xdr:col>3</xdr:col>
      <xdr:colOff>457200</xdr:colOff>
      <xdr:row>12</xdr:row>
      <xdr:rowOff>0</xdr:rowOff>
    </xdr:to>
    <xdr:sp macro="" textlink="">
      <xdr:nvSpPr>
        <xdr:cNvPr id="536827" name="Line 1"/>
        <xdr:cNvSpPr>
          <a:spLocks noChangeShapeType="1"/>
        </xdr:cNvSpPr>
      </xdr:nvSpPr>
      <xdr:spPr bwMode="auto">
        <a:xfrm>
          <a:off x="5019675"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533400</xdr:colOff>
      <xdr:row>12</xdr:row>
      <xdr:rowOff>0</xdr:rowOff>
    </xdr:from>
    <xdr:to>
      <xdr:col>4</xdr:col>
      <xdr:colOff>533400</xdr:colOff>
      <xdr:row>12</xdr:row>
      <xdr:rowOff>0</xdr:rowOff>
    </xdr:to>
    <xdr:sp macro="" textlink="">
      <xdr:nvSpPr>
        <xdr:cNvPr id="536828" name="Line 2"/>
        <xdr:cNvSpPr>
          <a:spLocks noChangeShapeType="1"/>
        </xdr:cNvSpPr>
      </xdr:nvSpPr>
      <xdr:spPr bwMode="auto">
        <a:xfrm>
          <a:off x="5753100"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266700</xdr:colOff>
      <xdr:row>12</xdr:row>
      <xdr:rowOff>0</xdr:rowOff>
    </xdr:from>
    <xdr:to>
      <xdr:col>2</xdr:col>
      <xdr:colOff>266700</xdr:colOff>
      <xdr:row>12</xdr:row>
      <xdr:rowOff>0</xdr:rowOff>
    </xdr:to>
    <xdr:sp macro="" textlink="">
      <xdr:nvSpPr>
        <xdr:cNvPr id="536829" name="Line 3"/>
        <xdr:cNvSpPr>
          <a:spLocks noChangeShapeType="1"/>
        </xdr:cNvSpPr>
      </xdr:nvSpPr>
      <xdr:spPr bwMode="auto">
        <a:xfrm>
          <a:off x="4000500"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342900</xdr:colOff>
      <xdr:row>12</xdr:row>
      <xdr:rowOff>0</xdr:rowOff>
    </xdr:from>
    <xdr:to>
      <xdr:col>3</xdr:col>
      <xdr:colOff>342900</xdr:colOff>
      <xdr:row>12</xdr:row>
      <xdr:rowOff>0</xdr:rowOff>
    </xdr:to>
    <xdr:sp macro="" textlink="">
      <xdr:nvSpPr>
        <xdr:cNvPr id="536830" name="Line 4"/>
        <xdr:cNvSpPr>
          <a:spLocks noChangeShapeType="1"/>
        </xdr:cNvSpPr>
      </xdr:nvSpPr>
      <xdr:spPr bwMode="auto">
        <a:xfrm>
          <a:off x="4905375" y="31337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266700</xdr:colOff>
      <xdr:row>32</xdr:row>
      <xdr:rowOff>0</xdr:rowOff>
    </xdr:from>
    <xdr:to>
      <xdr:col>2</xdr:col>
      <xdr:colOff>266700</xdr:colOff>
      <xdr:row>32</xdr:row>
      <xdr:rowOff>0</xdr:rowOff>
    </xdr:to>
    <xdr:sp macro="" textlink="">
      <xdr:nvSpPr>
        <xdr:cNvPr id="536831" name="Line 5"/>
        <xdr:cNvSpPr>
          <a:spLocks noChangeShapeType="1"/>
        </xdr:cNvSpPr>
      </xdr:nvSpPr>
      <xdr:spPr bwMode="auto">
        <a:xfrm>
          <a:off x="4000500" y="71913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32</xdr:row>
      <xdr:rowOff>0</xdr:rowOff>
    </xdr:from>
    <xdr:to>
      <xdr:col>1</xdr:col>
      <xdr:colOff>190500</xdr:colOff>
      <xdr:row>32</xdr:row>
      <xdr:rowOff>0</xdr:rowOff>
    </xdr:to>
    <xdr:sp macro="" textlink="">
      <xdr:nvSpPr>
        <xdr:cNvPr id="536832" name="Line 6"/>
        <xdr:cNvSpPr>
          <a:spLocks noChangeShapeType="1"/>
        </xdr:cNvSpPr>
      </xdr:nvSpPr>
      <xdr:spPr bwMode="auto">
        <a:xfrm>
          <a:off x="2914650" y="71913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29</xdr:row>
      <xdr:rowOff>0</xdr:rowOff>
    </xdr:from>
    <xdr:to>
      <xdr:col>9</xdr:col>
      <xdr:colOff>600075</xdr:colOff>
      <xdr:row>43</xdr:row>
      <xdr:rowOff>85725</xdr:rowOff>
    </xdr:to>
    <xdr:graphicFrame macro="">
      <xdr:nvGraphicFramePr>
        <xdr:cNvPr id="1301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171448</xdr:colOff>
      <xdr:row>33</xdr:row>
      <xdr:rowOff>38098</xdr:rowOff>
    </xdr:from>
    <xdr:to>
      <xdr:col>6</xdr:col>
      <xdr:colOff>285749</xdr:colOff>
      <xdr:row>34</xdr:row>
      <xdr:rowOff>47624</xdr:rowOff>
    </xdr:to>
    <xdr:sp macro="" textlink="">
      <xdr:nvSpPr>
        <xdr:cNvPr id="5" name="Text Box 3"/>
        <xdr:cNvSpPr txBox="1">
          <a:spLocks noChangeArrowheads="1"/>
        </xdr:cNvSpPr>
      </xdr:nvSpPr>
      <xdr:spPr bwMode="auto">
        <a:xfrm flipH="1" flipV="1">
          <a:off x="2000248" y="9143998"/>
          <a:ext cx="1943101" cy="171451"/>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75" b="0" i="0" strike="noStrike">
              <a:solidFill>
                <a:srgbClr val="000000"/>
              </a:solidFill>
              <a:latin typeface="Arial"/>
              <a:cs typeface="Arial"/>
            </a:rPr>
            <a:t>HIGH FLOOD LEVEL   M</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0.11683</cdr:x>
      <cdr:y>0.02433</cdr:y>
    </cdr:from>
    <cdr:to>
      <cdr:x>0.76086</cdr:x>
      <cdr:y>0.08628</cdr:y>
    </cdr:to>
    <cdr:sp macro="" textlink="">
      <cdr:nvSpPr>
        <cdr:cNvPr id="13314" name="Text Box 2"/>
        <cdr:cNvSpPr txBox="1">
          <a:spLocks xmlns:a="http://schemas.openxmlformats.org/drawingml/2006/main" noChangeArrowheads="1"/>
        </cdr:cNvSpPr>
      </cdr:nvSpPr>
      <cdr:spPr bwMode="auto">
        <a:xfrm xmlns:a="http://schemas.openxmlformats.org/drawingml/2006/main">
          <a:off x="715383" y="61794"/>
          <a:ext cx="3925991" cy="14929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1">
            <a:defRPr sz="1000"/>
          </a:pPr>
          <a:r>
            <a:rPr lang="en-US" sz="975" b="0" i="0" strike="noStrike">
              <a:solidFill>
                <a:srgbClr val="000000"/>
              </a:solidFill>
              <a:latin typeface="Arial"/>
              <a:cs typeface="Arial"/>
            </a:rPr>
            <a:t>CROSS SECTION OF RIVER AT PROPOSED BRIDGE SITE</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24</xdr:row>
      <xdr:rowOff>85725</xdr:rowOff>
    </xdr:from>
    <xdr:to>
      <xdr:col>9</xdr:col>
      <xdr:colOff>600075</xdr:colOff>
      <xdr:row>39</xdr:row>
      <xdr:rowOff>57150</xdr:rowOff>
    </xdr:to>
    <xdr:graphicFrame macro="">
      <xdr:nvGraphicFramePr>
        <xdr:cNvPr id="1668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0.10169</cdr:x>
      <cdr:y>0.25</cdr:y>
    </cdr:from>
    <cdr:to>
      <cdr:x>0.85824</cdr:x>
      <cdr:y>0.6627</cdr:y>
    </cdr:to>
    <cdr:sp macro="" textlink="">
      <cdr:nvSpPr>
        <cdr:cNvPr id="17409" name="Line 1"/>
        <cdr:cNvSpPr>
          <a:spLocks xmlns:a="http://schemas.openxmlformats.org/drawingml/2006/main" noChangeShapeType="1"/>
        </cdr:cNvSpPr>
      </cdr:nvSpPr>
      <cdr:spPr bwMode="auto">
        <a:xfrm xmlns:a="http://schemas.openxmlformats.org/drawingml/2006/main">
          <a:off x="628650" y="600075"/>
          <a:ext cx="4676775" cy="990599"/>
        </a:xfrm>
        <a:prstGeom xmlns:a="http://schemas.openxmlformats.org/drawingml/2006/main" prst="line">
          <a:avLst/>
        </a:prstGeom>
        <a:noFill xmlns:a="http://schemas.openxmlformats.org/drawingml/2006/main"/>
        <a:ln xmlns:a="http://schemas.openxmlformats.org/drawingml/2006/main" w="9525">
          <a:solidFill>
            <a:srgbClr val="000000"/>
          </a:solidFill>
          <a:round/>
          <a:headEnd/>
          <a:tailEnd type="triangle" w="med" len="med"/>
        </a:l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0.5</cdr:x>
      <cdr:y>0.20633</cdr:y>
    </cdr:from>
    <cdr:to>
      <cdr:x>0.76092</cdr:x>
      <cdr:y>0.29062</cdr:y>
    </cdr:to>
    <cdr:sp macro="" textlink="">
      <cdr:nvSpPr>
        <cdr:cNvPr id="17410" name="Text Box 2"/>
        <cdr:cNvSpPr txBox="1">
          <a:spLocks xmlns:a="http://schemas.openxmlformats.org/drawingml/2006/main" noChangeArrowheads="1"/>
        </cdr:cNvSpPr>
      </cdr:nvSpPr>
      <cdr:spPr bwMode="auto">
        <a:xfrm xmlns:a="http://schemas.openxmlformats.org/drawingml/2006/main">
          <a:off x="3098800" y="500406"/>
          <a:ext cx="1615440" cy="20310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1">
            <a:defRPr sz="1000"/>
          </a:pPr>
          <a:r>
            <a:rPr lang="en-US" sz="975" b="0" i="0" strike="noStrike">
              <a:solidFill>
                <a:srgbClr val="000000"/>
              </a:solidFill>
              <a:latin typeface="Arial"/>
              <a:cs typeface="Arial"/>
            </a:rPr>
            <a:t>L SECTION OF RIVER BED</a:t>
          </a: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476250</xdr:colOff>
      <xdr:row>36</xdr:row>
      <xdr:rowOff>19050</xdr:rowOff>
    </xdr:to>
    <xdr:pic>
      <xdr:nvPicPr>
        <xdr:cNvPr id="633867"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353050" cy="584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37</xdr:row>
      <xdr:rowOff>0</xdr:rowOff>
    </xdr:from>
    <xdr:to>
      <xdr:col>8</xdr:col>
      <xdr:colOff>561975</xdr:colOff>
      <xdr:row>68</xdr:row>
      <xdr:rowOff>0</xdr:rowOff>
    </xdr:to>
    <xdr:pic>
      <xdr:nvPicPr>
        <xdr:cNvPr id="633868"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91225"/>
          <a:ext cx="5438775" cy="501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72</xdr:row>
      <xdr:rowOff>0</xdr:rowOff>
    </xdr:from>
    <xdr:to>
      <xdr:col>6</xdr:col>
      <xdr:colOff>0</xdr:colOff>
      <xdr:row>72</xdr:row>
      <xdr:rowOff>0</xdr:rowOff>
    </xdr:to>
    <xdr:sp macro="" textlink="">
      <xdr:nvSpPr>
        <xdr:cNvPr id="5121" name="Text 163"/>
        <xdr:cNvSpPr txBox="1">
          <a:spLocks noChangeArrowheads="1"/>
        </xdr:cNvSpPr>
      </xdr:nvSpPr>
      <xdr:spPr bwMode="auto">
        <a:xfrm>
          <a:off x="5838825" y="142113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72</xdr:row>
      <xdr:rowOff>0</xdr:rowOff>
    </xdr:from>
    <xdr:to>
      <xdr:col>6</xdr:col>
      <xdr:colOff>0</xdr:colOff>
      <xdr:row>72</xdr:row>
      <xdr:rowOff>0</xdr:rowOff>
    </xdr:to>
    <xdr:sp macro="" textlink="">
      <xdr:nvSpPr>
        <xdr:cNvPr id="5122" name="Text 815"/>
        <xdr:cNvSpPr txBox="1">
          <a:spLocks noChangeArrowheads="1"/>
        </xdr:cNvSpPr>
      </xdr:nvSpPr>
      <xdr:spPr bwMode="auto">
        <a:xfrm>
          <a:off x="5838825" y="142113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96</xdr:row>
      <xdr:rowOff>0</xdr:rowOff>
    </xdr:from>
    <xdr:to>
      <xdr:col>6</xdr:col>
      <xdr:colOff>0</xdr:colOff>
      <xdr:row>96</xdr:row>
      <xdr:rowOff>0</xdr:rowOff>
    </xdr:to>
    <xdr:sp macro="" textlink="">
      <xdr:nvSpPr>
        <xdr:cNvPr id="5124" name="Text 163"/>
        <xdr:cNvSpPr txBox="1">
          <a:spLocks noChangeArrowheads="1"/>
        </xdr:cNvSpPr>
      </xdr:nvSpPr>
      <xdr:spPr bwMode="auto">
        <a:xfrm>
          <a:off x="5838825" y="182689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96</xdr:row>
      <xdr:rowOff>0</xdr:rowOff>
    </xdr:from>
    <xdr:to>
      <xdr:col>6</xdr:col>
      <xdr:colOff>0</xdr:colOff>
      <xdr:row>96</xdr:row>
      <xdr:rowOff>0</xdr:rowOff>
    </xdr:to>
    <xdr:sp macro="" textlink="">
      <xdr:nvSpPr>
        <xdr:cNvPr id="5125" name="Text 815"/>
        <xdr:cNvSpPr txBox="1">
          <a:spLocks noChangeArrowheads="1"/>
        </xdr:cNvSpPr>
      </xdr:nvSpPr>
      <xdr:spPr bwMode="auto">
        <a:xfrm>
          <a:off x="5838825" y="182689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5126" name="Text 163"/>
        <xdr:cNvSpPr txBox="1">
          <a:spLocks noChangeArrowheads="1"/>
        </xdr:cNvSpPr>
      </xdr:nvSpPr>
      <xdr:spPr bwMode="auto">
        <a:xfrm>
          <a:off x="5838825" y="181070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5127" name="Text 815"/>
        <xdr:cNvSpPr txBox="1">
          <a:spLocks noChangeArrowheads="1"/>
        </xdr:cNvSpPr>
      </xdr:nvSpPr>
      <xdr:spPr bwMode="auto">
        <a:xfrm>
          <a:off x="5838825" y="181070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72</xdr:row>
      <xdr:rowOff>0</xdr:rowOff>
    </xdr:from>
    <xdr:to>
      <xdr:col>6</xdr:col>
      <xdr:colOff>0</xdr:colOff>
      <xdr:row>72</xdr:row>
      <xdr:rowOff>0</xdr:rowOff>
    </xdr:to>
    <xdr:sp macro="" textlink="">
      <xdr:nvSpPr>
        <xdr:cNvPr id="14337" name="Text 163"/>
        <xdr:cNvSpPr txBox="1">
          <a:spLocks noChangeArrowheads="1"/>
        </xdr:cNvSpPr>
      </xdr:nvSpPr>
      <xdr:spPr bwMode="auto">
        <a:xfrm>
          <a:off x="5962650" y="141732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72</xdr:row>
      <xdr:rowOff>0</xdr:rowOff>
    </xdr:from>
    <xdr:to>
      <xdr:col>6</xdr:col>
      <xdr:colOff>0</xdr:colOff>
      <xdr:row>72</xdr:row>
      <xdr:rowOff>0</xdr:rowOff>
    </xdr:to>
    <xdr:sp macro="" textlink="">
      <xdr:nvSpPr>
        <xdr:cNvPr id="14338" name="Text 815"/>
        <xdr:cNvSpPr txBox="1">
          <a:spLocks noChangeArrowheads="1"/>
        </xdr:cNvSpPr>
      </xdr:nvSpPr>
      <xdr:spPr bwMode="auto">
        <a:xfrm>
          <a:off x="5962650" y="141732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0" name="Text 163"/>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1" name="Text 815"/>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2" name="Text 163"/>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95</xdr:row>
      <xdr:rowOff>0</xdr:rowOff>
    </xdr:from>
    <xdr:to>
      <xdr:col>6</xdr:col>
      <xdr:colOff>0</xdr:colOff>
      <xdr:row>95</xdr:row>
      <xdr:rowOff>0</xdr:rowOff>
    </xdr:to>
    <xdr:sp macro="" textlink="">
      <xdr:nvSpPr>
        <xdr:cNvPr id="14343" name="Text 815"/>
        <xdr:cNvSpPr txBox="1">
          <a:spLocks noChangeArrowheads="1"/>
        </xdr:cNvSpPr>
      </xdr:nvSpPr>
      <xdr:spPr bwMode="auto">
        <a:xfrm>
          <a:off x="5962650" y="180689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47</xdr:row>
      <xdr:rowOff>0</xdr:rowOff>
    </xdr:from>
    <xdr:to>
      <xdr:col>5</xdr:col>
      <xdr:colOff>0</xdr:colOff>
      <xdr:row>47</xdr:row>
      <xdr:rowOff>0</xdr:rowOff>
    </xdr:to>
    <xdr:sp macro="" textlink="">
      <xdr:nvSpPr>
        <xdr:cNvPr id="19457" name="Text 163"/>
        <xdr:cNvSpPr txBox="1">
          <a:spLocks noChangeArrowheads="1"/>
        </xdr:cNvSpPr>
      </xdr:nvSpPr>
      <xdr:spPr bwMode="auto">
        <a:xfrm>
          <a:off x="5076825" y="86582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47</xdr:row>
      <xdr:rowOff>0</xdr:rowOff>
    </xdr:from>
    <xdr:to>
      <xdr:col>5</xdr:col>
      <xdr:colOff>0</xdr:colOff>
      <xdr:row>47</xdr:row>
      <xdr:rowOff>0</xdr:rowOff>
    </xdr:to>
    <xdr:sp macro="" textlink="">
      <xdr:nvSpPr>
        <xdr:cNvPr id="19458" name="Text 815"/>
        <xdr:cNvSpPr txBox="1">
          <a:spLocks noChangeArrowheads="1"/>
        </xdr:cNvSpPr>
      </xdr:nvSpPr>
      <xdr:spPr bwMode="auto">
        <a:xfrm>
          <a:off x="5076825" y="86582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69</xdr:row>
      <xdr:rowOff>0</xdr:rowOff>
    </xdr:from>
    <xdr:to>
      <xdr:col>4</xdr:col>
      <xdr:colOff>38100</xdr:colOff>
      <xdr:row>69</xdr:row>
      <xdr:rowOff>0</xdr:rowOff>
    </xdr:to>
    <xdr:sp macro="" textlink="">
      <xdr:nvSpPr>
        <xdr:cNvPr id="628776" name="Line 4"/>
        <xdr:cNvSpPr>
          <a:spLocks noChangeShapeType="1"/>
        </xdr:cNvSpPr>
      </xdr:nvSpPr>
      <xdr:spPr bwMode="auto">
        <a:xfrm>
          <a:off x="4467225"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69</xdr:row>
      <xdr:rowOff>0</xdr:rowOff>
    </xdr:from>
    <xdr:to>
      <xdr:col>5</xdr:col>
      <xdr:colOff>9525</xdr:colOff>
      <xdr:row>69</xdr:row>
      <xdr:rowOff>0</xdr:rowOff>
    </xdr:to>
    <xdr:sp macro="" textlink="">
      <xdr:nvSpPr>
        <xdr:cNvPr id="628777" name="Line 5"/>
        <xdr:cNvSpPr>
          <a:spLocks noChangeShapeType="1"/>
        </xdr:cNvSpPr>
      </xdr:nvSpPr>
      <xdr:spPr bwMode="auto">
        <a:xfrm>
          <a:off x="5086350"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69</xdr:row>
      <xdr:rowOff>0</xdr:rowOff>
    </xdr:from>
    <xdr:to>
      <xdr:col>6</xdr:col>
      <xdr:colOff>438150</xdr:colOff>
      <xdr:row>69</xdr:row>
      <xdr:rowOff>0</xdr:rowOff>
    </xdr:to>
    <xdr:sp macro="" textlink="">
      <xdr:nvSpPr>
        <xdr:cNvPr id="628778" name="Line 6"/>
        <xdr:cNvSpPr>
          <a:spLocks noChangeShapeType="1"/>
        </xdr:cNvSpPr>
      </xdr:nvSpPr>
      <xdr:spPr bwMode="auto">
        <a:xfrm flipH="1">
          <a:off x="6057900" y="1163002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9525</xdr:colOff>
      <xdr:row>3</xdr:row>
      <xdr:rowOff>57150</xdr:rowOff>
    </xdr:from>
    <xdr:to>
      <xdr:col>3</xdr:col>
      <xdr:colOff>9525</xdr:colOff>
      <xdr:row>10</xdr:row>
      <xdr:rowOff>114300</xdr:rowOff>
    </xdr:to>
    <xdr:sp macro="" textlink="">
      <xdr:nvSpPr>
        <xdr:cNvPr id="550717" name="Line 1"/>
        <xdr:cNvSpPr>
          <a:spLocks noChangeShapeType="1"/>
        </xdr:cNvSpPr>
      </xdr:nvSpPr>
      <xdr:spPr bwMode="auto">
        <a:xfrm>
          <a:off x="1971675" y="542925"/>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85725</xdr:rowOff>
    </xdr:from>
    <xdr:to>
      <xdr:col>4</xdr:col>
      <xdr:colOff>9525</xdr:colOff>
      <xdr:row>10</xdr:row>
      <xdr:rowOff>142875</xdr:rowOff>
    </xdr:to>
    <xdr:sp macro="" textlink="">
      <xdr:nvSpPr>
        <xdr:cNvPr id="550718" name="Line 2"/>
        <xdr:cNvSpPr>
          <a:spLocks noChangeShapeType="1"/>
        </xdr:cNvSpPr>
      </xdr:nvSpPr>
      <xdr:spPr bwMode="auto">
        <a:xfrm>
          <a:off x="2581275" y="571500"/>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10</xdr:row>
      <xdr:rowOff>104775</xdr:rowOff>
    </xdr:from>
    <xdr:to>
      <xdr:col>5</xdr:col>
      <xdr:colOff>438150</xdr:colOff>
      <xdr:row>16</xdr:row>
      <xdr:rowOff>47625</xdr:rowOff>
    </xdr:to>
    <xdr:sp macro="" textlink="">
      <xdr:nvSpPr>
        <xdr:cNvPr id="550719" name="Rectangle 3"/>
        <xdr:cNvSpPr>
          <a:spLocks noChangeArrowheads="1"/>
        </xdr:cNvSpPr>
      </xdr:nvSpPr>
      <xdr:spPr bwMode="auto">
        <a:xfrm>
          <a:off x="1009650" y="1724025"/>
          <a:ext cx="2609850" cy="914400"/>
        </a:xfrm>
        <a:prstGeom prst="rect">
          <a:avLst/>
        </a:prstGeom>
        <a:solidFill>
          <a:srgbClr val="FFFFFF"/>
        </a:solidFill>
        <a:ln w="9525">
          <a:solidFill>
            <a:srgbClr val="000000"/>
          </a:solidFill>
          <a:miter lim="800000"/>
          <a:headEnd/>
          <a:tailEnd/>
        </a:ln>
      </xdr:spPr>
    </xdr:sp>
    <xdr:clientData/>
  </xdr:twoCellAnchor>
  <xdr:twoCellAnchor>
    <xdr:from>
      <xdr:col>3</xdr:col>
      <xdr:colOff>9525</xdr:colOff>
      <xdr:row>3</xdr:row>
      <xdr:rowOff>66675</xdr:rowOff>
    </xdr:from>
    <xdr:to>
      <xdr:col>3</xdr:col>
      <xdr:colOff>228600</xdr:colOff>
      <xdr:row>3</xdr:row>
      <xdr:rowOff>95250</xdr:rowOff>
    </xdr:to>
    <xdr:sp macro="" textlink="">
      <xdr:nvSpPr>
        <xdr:cNvPr id="550720" name="Line 4"/>
        <xdr:cNvSpPr>
          <a:spLocks noChangeShapeType="1"/>
        </xdr:cNvSpPr>
      </xdr:nvSpPr>
      <xdr:spPr bwMode="auto">
        <a:xfrm>
          <a:off x="1971675" y="552450"/>
          <a:ext cx="219075" cy="28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485775</xdr:colOff>
      <xdr:row>3</xdr:row>
      <xdr:rowOff>104775</xdr:rowOff>
    </xdr:from>
    <xdr:to>
      <xdr:col>4</xdr:col>
      <xdr:colOff>9525</xdr:colOff>
      <xdr:row>3</xdr:row>
      <xdr:rowOff>104775</xdr:rowOff>
    </xdr:to>
    <xdr:sp macro="" textlink="">
      <xdr:nvSpPr>
        <xdr:cNvPr id="550721" name="Line 5"/>
        <xdr:cNvSpPr>
          <a:spLocks noChangeShapeType="1"/>
        </xdr:cNvSpPr>
      </xdr:nvSpPr>
      <xdr:spPr bwMode="auto">
        <a:xfrm>
          <a:off x="2447925" y="590550"/>
          <a:ext cx="1333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2</xdr:row>
      <xdr:rowOff>85725</xdr:rowOff>
    </xdr:from>
    <xdr:to>
      <xdr:col>3</xdr:col>
      <xdr:colOff>304800</xdr:colOff>
      <xdr:row>3</xdr:row>
      <xdr:rowOff>85725</xdr:rowOff>
    </xdr:to>
    <xdr:sp macro="" textlink="">
      <xdr:nvSpPr>
        <xdr:cNvPr id="550722" name="Line 6"/>
        <xdr:cNvSpPr>
          <a:spLocks noChangeShapeType="1"/>
        </xdr:cNvSpPr>
      </xdr:nvSpPr>
      <xdr:spPr bwMode="auto">
        <a:xfrm flipV="1">
          <a:off x="2200275" y="409575"/>
          <a:ext cx="66675"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304800</xdr:colOff>
      <xdr:row>2</xdr:row>
      <xdr:rowOff>85725</xdr:rowOff>
    </xdr:from>
    <xdr:to>
      <xdr:col>3</xdr:col>
      <xdr:colOff>381000</xdr:colOff>
      <xdr:row>4</xdr:row>
      <xdr:rowOff>85725</xdr:rowOff>
    </xdr:to>
    <xdr:sp macro="" textlink="">
      <xdr:nvSpPr>
        <xdr:cNvPr id="550723" name="Line 7"/>
        <xdr:cNvSpPr>
          <a:spLocks noChangeShapeType="1"/>
        </xdr:cNvSpPr>
      </xdr:nvSpPr>
      <xdr:spPr bwMode="auto">
        <a:xfrm>
          <a:off x="2266950" y="409575"/>
          <a:ext cx="76200" cy="3238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390525</xdr:colOff>
      <xdr:row>3</xdr:row>
      <xdr:rowOff>95250</xdr:rowOff>
    </xdr:from>
    <xdr:to>
      <xdr:col>3</xdr:col>
      <xdr:colOff>514350</xdr:colOff>
      <xdr:row>4</xdr:row>
      <xdr:rowOff>85725</xdr:rowOff>
    </xdr:to>
    <xdr:sp macro="" textlink="">
      <xdr:nvSpPr>
        <xdr:cNvPr id="550724" name="Line 8"/>
        <xdr:cNvSpPr>
          <a:spLocks noChangeShapeType="1"/>
        </xdr:cNvSpPr>
      </xdr:nvSpPr>
      <xdr:spPr bwMode="auto">
        <a:xfrm flipH="1">
          <a:off x="2352675" y="581025"/>
          <a:ext cx="123825"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57150</xdr:rowOff>
    </xdr:from>
    <xdr:to>
      <xdr:col>5</xdr:col>
      <xdr:colOff>457200</xdr:colOff>
      <xdr:row>18</xdr:row>
      <xdr:rowOff>76200</xdr:rowOff>
    </xdr:to>
    <xdr:sp macro="" textlink="">
      <xdr:nvSpPr>
        <xdr:cNvPr id="550725" name="Line 9"/>
        <xdr:cNvSpPr>
          <a:spLocks noChangeShapeType="1"/>
        </xdr:cNvSpPr>
      </xdr:nvSpPr>
      <xdr:spPr bwMode="auto">
        <a:xfrm>
          <a:off x="1028700" y="2971800"/>
          <a:ext cx="2609850"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228600</xdr:colOff>
      <xdr:row>18</xdr:row>
      <xdr:rowOff>47625</xdr:rowOff>
    </xdr:from>
    <xdr:to>
      <xdr:col>5</xdr:col>
      <xdr:colOff>428625</xdr:colOff>
      <xdr:row>18</xdr:row>
      <xdr:rowOff>76200</xdr:rowOff>
    </xdr:to>
    <xdr:sp macro="" textlink="">
      <xdr:nvSpPr>
        <xdr:cNvPr id="550726" name="Line 10"/>
        <xdr:cNvSpPr>
          <a:spLocks noChangeShapeType="1"/>
        </xdr:cNvSpPr>
      </xdr:nvSpPr>
      <xdr:spPr bwMode="auto">
        <a:xfrm flipH="1" flipV="1">
          <a:off x="1019175" y="2962275"/>
          <a:ext cx="2590800" cy="28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28575</xdr:colOff>
      <xdr:row>1</xdr:row>
      <xdr:rowOff>152400</xdr:rowOff>
    </xdr:from>
    <xdr:to>
      <xdr:col>4</xdr:col>
      <xdr:colOff>19050</xdr:colOff>
      <xdr:row>2</xdr:row>
      <xdr:rowOff>9525</xdr:rowOff>
    </xdr:to>
    <xdr:sp macro="" textlink="">
      <xdr:nvSpPr>
        <xdr:cNvPr id="550727" name="Line 11"/>
        <xdr:cNvSpPr>
          <a:spLocks noChangeShapeType="1"/>
        </xdr:cNvSpPr>
      </xdr:nvSpPr>
      <xdr:spPr bwMode="auto">
        <a:xfrm>
          <a:off x="1990725" y="314325"/>
          <a:ext cx="60007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2</xdr:row>
      <xdr:rowOff>0</xdr:rowOff>
    </xdr:from>
    <xdr:to>
      <xdr:col>4</xdr:col>
      <xdr:colOff>0</xdr:colOff>
      <xdr:row>2</xdr:row>
      <xdr:rowOff>9525</xdr:rowOff>
    </xdr:to>
    <xdr:sp macro="" textlink="">
      <xdr:nvSpPr>
        <xdr:cNvPr id="550728" name="Line 12"/>
        <xdr:cNvSpPr>
          <a:spLocks noChangeShapeType="1"/>
        </xdr:cNvSpPr>
      </xdr:nvSpPr>
      <xdr:spPr bwMode="auto">
        <a:xfrm flipH="1" flipV="1">
          <a:off x="1971675" y="323850"/>
          <a:ext cx="600075"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19050</xdr:colOff>
      <xdr:row>8</xdr:row>
      <xdr:rowOff>104775</xdr:rowOff>
    </xdr:from>
    <xdr:to>
      <xdr:col>5</xdr:col>
      <xdr:colOff>419100</xdr:colOff>
      <xdr:row>8</xdr:row>
      <xdr:rowOff>114300</xdr:rowOff>
    </xdr:to>
    <xdr:sp macro="" textlink="">
      <xdr:nvSpPr>
        <xdr:cNvPr id="550729" name="Line 13"/>
        <xdr:cNvSpPr>
          <a:spLocks noChangeShapeType="1"/>
        </xdr:cNvSpPr>
      </xdr:nvSpPr>
      <xdr:spPr bwMode="auto">
        <a:xfrm>
          <a:off x="2590800" y="1400175"/>
          <a:ext cx="1009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28575</xdr:colOff>
      <xdr:row>8</xdr:row>
      <xdr:rowOff>104775</xdr:rowOff>
    </xdr:from>
    <xdr:to>
      <xdr:col>5</xdr:col>
      <xdr:colOff>390525</xdr:colOff>
      <xdr:row>8</xdr:row>
      <xdr:rowOff>104775</xdr:rowOff>
    </xdr:to>
    <xdr:sp macro="" textlink="">
      <xdr:nvSpPr>
        <xdr:cNvPr id="550730" name="Line 14"/>
        <xdr:cNvSpPr>
          <a:spLocks noChangeShapeType="1"/>
        </xdr:cNvSpPr>
      </xdr:nvSpPr>
      <xdr:spPr bwMode="auto">
        <a:xfrm flipH="1">
          <a:off x="2600325" y="1400175"/>
          <a:ext cx="9715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0</xdr:rowOff>
    </xdr:from>
    <xdr:to>
      <xdr:col>5</xdr:col>
      <xdr:colOff>466725</xdr:colOff>
      <xdr:row>23</xdr:row>
      <xdr:rowOff>9525</xdr:rowOff>
    </xdr:to>
    <xdr:sp macro="" textlink="">
      <xdr:nvSpPr>
        <xdr:cNvPr id="550731" name="Line 15"/>
        <xdr:cNvSpPr>
          <a:spLocks noChangeShapeType="1"/>
        </xdr:cNvSpPr>
      </xdr:nvSpPr>
      <xdr:spPr bwMode="auto">
        <a:xfrm flipV="1">
          <a:off x="942975" y="3724275"/>
          <a:ext cx="27051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428625</xdr:colOff>
      <xdr:row>23</xdr:row>
      <xdr:rowOff>9525</xdr:rowOff>
    </xdr:from>
    <xdr:to>
      <xdr:col>5</xdr:col>
      <xdr:colOff>438150</xdr:colOff>
      <xdr:row>29</xdr:row>
      <xdr:rowOff>9525</xdr:rowOff>
    </xdr:to>
    <xdr:sp macro="" textlink="">
      <xdr:nvSpPr>
        <xdr:cNvPr id="550732" name="Line 16"/>
        <xdr:cNvSpPr>
          <a:spLocks noChangeShapeType="1"/>
        </xdr:cNvSpPr>
      </xdr:nvSpPr>
      <xdr:spPr bwMode="auto">
        <a:xfrm flipH="1">
          <a:off x="3609975" y="3733800"/>
          <a:ext cx="9525" cy="990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161925</xdr:colOff>
      <xdr:row>22</xdr:row>
      <xdr:rowOff>152400</xdr:rowOff>
    </xdr:from>
    <xdr:to>
      <xdr:col>5</xdr:col>
      <xdr:colOff>447675</xdr:colOff>
      <xdr:row>29</xdr:row>
      <xdr:rowOff>19050</xdr:rowOff>
    </xdr:to>
    <xdr:sp macro="" textlink="">
      <xdr:nvSpPr>
        <xdr:cNvPr id="550733" name="Line 17"/>
        <xdr:cNvSpPr>
          <a:spLocks noChangeShapeType="1"/>
        </xdr:cNvSpPr>
      </xdr:nvSpPr>
      <xdr:spPr bwMode="auto">
        <a:xfrm>
          <a:off x="952500" y="3714750"/>
          <a:ext cx="2676525" cy="1019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21</xdr:row>
      <xdr:rowOff>47625</xdr:rowOff>
    </xdr:from>
    <xdr:to>
      <xdr:col>2</xdr:col>
      <xdr:colOff>133350</xdr:colOff>
      <xdr:row>21</xdr:row>
      <xdr:rowOff>57150</xdr:rowOff>
    </xdr:to>
    <xdr:sp macro="" textlink="">
      <xdr:nvSpPr>
        <xdr:cNvPr id="550734" name="Line 18"/>
        <xdr:cNvSpPr>
          <a:spLocks noChangeShapeType="1"/>
        </xdr:cNvSpPr>
      </xdr:nvSpPr>
      <xdr:spPr bwMode="auto">
        <a:xfrm flipH="1">
          <a:off x="1009650" y="3448050"/>
          <a:ext cx="4762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21</xdr:row>
      <xdr:rowOff>57150</xdr:rowOff>
    </xdr:from>
    <xdr:to>
      <xdr:col>2</xdr:col>
      <xdr:colOff>57150</xdr:colOff>
      <xdr:row>21</xdr:row>
      <xdr:rowOff>57150</xdr:rowOff>
    </xdr:to>
    <xdr:sp macro="" textlink="">
      <xdr:nvSpPr>
        <xdr:cNvPr id="550735" name="Line 19"/>
        <xdr:cNvSpPr>
          <a:spLocks noChangeShapeType="1"/>
        </xdr:cNvSpPr>
      </xdr:nvSpPr>
      <xdr:spPr bwMode="auto">
        <a:xfrm>
          <a:off x="942975" y="3457575"/>
          <a:ext cx="4667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600075</xdr:colOff>
      <xdr:row>23</xdr:row>
      <xdr:rowOff>28575</xdr:rowOff>
    </xdr:from>
    <xdr:to>
      <xdr:col>4</xdr:col>
      <xdr:colOff>9525</xdr:colOff>
      <xdr:row>26</xdr:row>
      <xdr:rowOff>9525</xdr:rowOff>
    </xdr:to>
    <xdr:sp macro="" textlink="">
      <xdr:nvSpPr>
        <xdr:cNvPr id="550736" name="Line 20"/>
        <xdr:cNvSpPr>
          <a:spLocks noChangeShapeType="1"/>
        </xdr:cNvSpPr>
      </xdr:nvSpPr>
      <xdr:spPr bwMode="auto">
        <a:xfrm flipH="1">
          <a:off x="2562225" y="3752850"/>
          <a:ext cx="19050" cy="485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600075</xdr:colOff>
      <xdr:row>22</xdr:row>
      <xdr:rowOff>123825</xdr:rowOff>
    </xdr:from>
    <xdr:to>
      <xdr:col>4</xdr:col>
      <xdr:colOff>0</xdr:colOff>
      <xdr:row>26</xdr:row>
      <xdr:rowOff>123825</xdr:rowOff>
    </xdr:to>
    <xdr:sp macro="" textlink="">
      <xdr:nvSpPr>
        <xdr:cNvPr id="550737" name="Line 21"/>
        <xdr:cNvSpPr>
          <a:spLocks noChangeShapeType="1"/>
        </xdr:cNvSpPr>
      </xdr:nvSpPr>
      <xdr:spPr bwMode="auto">
        <a:xfrm flipV="1">
          <a:off x="2562225" y="3686175"/>
          <a:ext cx="9525" cy="6667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219075</xdr:colOff>
      <xdr:row>23</xdr:row>
      <xdr:rowOff>0</xdr:rowOff>
    </xdr:from>
    <xdr:to>
      <xdr:col>5</xdr:col>
      <xdr:colOff>0</xdr:colOff>
      <xdr:row>23</xdr:row>
      <xdr:rowOff>0</xdr:rowOff>
    </xdr:to>
    <xdr:sp macro="" textlink="">
      <xdr:nvSpPr>
        <xdr:cNvPr id="655463" name="Line 1"/>
        <xdr:cNvSpPr>
          <a:spLocks noChangeShapeType="1"/>
        </xdr:cNvSpPr>
      </xdr:nvSpPr>
      <xdr:spPr bwMode="auto">
        <a:xfrm>
          <a:off x="219075" y="3990975"/>
          <a:ext cx="36195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xdr:row>
      <xdr:rowOff>9525</xdr:rowOff>
    </xdr:from>
    <xdr:to>
      <xdr:col>2</xdr:col>
      <xdr:colOff>0</xdr:colOff>
      <xdr:row>23</xdr:row>
      <xdr:rowOff>0</xdr:rowOff>
    </xdr:to>
    <xdr:sp macro="" textlink="">
      <xdr:nvSpPr>
        <xdr:cNvPr id="655464" name="Line 2"/>
        <xdr:cNvSpPr>
          <a:spLocks noChangeShapeType="1"/>
        </xdr:cNvSpPr>
      </xdr:nvSpPr>
      <xdr:spPr bwMode="auto">
        <a:xfrm>
          <a:off x="1181100" y="367665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390525</xdr:colOff>
      <xdr:row>21</xdr:row>
      <xdr:rowOff>0</xdr:rowOff>
    </xdr:from>
    <xdr:to>
      <xdr:col>4</xdr:col>
      <xdr:colOff>390525</xdr:colOff>
      <xdr:row>23</xdr:row>
      <xdr:rowOff>0</xdr:rowOff>
    </xdr:to>
    <xdr:sp macro="" textlink="">
      <xdr:nvSpPr>
        <xdr:cNvPr id="655465" name="Line 3"/>
        <xdr:cNvSpPr>
          <a:spLocks noChangeShapeType="1"/>
        </xdr:cNvSpPr>
      </xdr:nvSpPr>
      <xdr:spPr bwMode="auto">
        <a:xfrm>
          <a:off x="3295650" y="36671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21</xdr:row>
      <xdr:rowOff>0</xdr:rowOff>
    </xdr:from>
    <xdr:to>
      <xdr:col>5</xdr:col>
      <xdr:colOff>0</xdr:colOff>
      <xdr:row>21</xdr:row>
      <xdr:rowOff>0</xdr:rowOff>
    </xdr:to>
    <xdr:sp macro="" textlink="">
      <xdr:nvSpPr>
        <xdr:cNvPr id="655466" name="Line 4"/>
        <xdr:cNvSpPr>
          <a:spLocks noChangeShapeType="1"/>
        </xdr:cNvSpPr>
      </xdr:nvSpPr>
      <xdr:spPr bwMode="auto">
        <a:xfrm>
          <a:off x="1181100" y="3667125"/>
          <a:ext cx="26574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19</xdr:row>
      <xdr:rowOff>9525</xdr:rowOff>
    </xdr:from>
    <xdr:to>
      <xdr:col>3</xdr:col>
      <xdr:colOff>0</xdr:colOff>
      <xdr:row>22</xdr:row>
      <xdr:rowOff>161925</xdr:rowOff>
    </xdr:to>
    <xdr:sp macro="" textlink="">
      <xdr:nvSpPr>
        <xdr:cNvPr id="655467" name="Line 5"/>
        <xdr:cNvSpPr>
          <a:spLocks noChangeShapeType="1"/>
        </xdr:cNvSpPr>
      </xdr:nvSpPr>
      <xdr:spPr bwMode="auto">
        <a:xfrm>
          <a:off x="2076450" y="3352800"/>
          <a:ext cx="0" cy="638175"/>
        </a:xfrm>
        <a:prstGeom prst="line">
          <a:avLst/>
        </a:prstGeom>
        <a:noFill/>
        <a:ln w="9525">
          <a:solidFill>
            <a:srgbClr val="000000"/>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23</xdr:row>
      <xdr:rowOff>123825</xdr:rowOff>
    </xdr:from>
    <xdr:to>
      <xdr:col>1</xdr:col>
      <xdr:colOff>0</xdr:colOff>
      <xdr:row>24</xdr:row>
      <xdr:rowOff>38100</xdr:rowOff>
    </xdr:to>
    <xdr:sp macro="" textlink="">
      <xdr:nvSpPr>
        <xdr:cNvPr id="655468" name="Line 6"/>
        <xdr:cNvSpPr>
          <a:spLocks noChangeShapeType="1"/>
        </xdr:cNvSpPr>
      </xdr:nvSpPr>
      <xdr:spPr bwMode="auto">
        <a:xfrm>
          <a:off x="828675" y="41148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542925</xdr:colOff>
      <xdr:row>23</xdr:row>
      <xdr:rowOff>123825</xdr:rowOff>
    </xdr:from>
    <xdr:to>
      <xdr:col>8</xdr:col>
      <xdr:colOff>542925</xdr:colOff>
      <xdr:row>24</xdr:row>
      <xdr:rowOff>38100</xdr:rowOff>
    </xdr:to>
    <xdr:sp macro="" textlink="">
      <xdr:nvSpPr>
        <xdr:cNvPr id="655469" name="Line 7"/>
        <xdr:cNvSpPr>
          <a:spLocks noChangeShapeType="1"/>
        </xdr:cNvSpPr>
      </xdr:nvSpPr>
      <xdr:spPr bwMode="auto">
        <a:xfrm>
          <a:off x="6305550" y="41148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24</xdr:row>
      <xdr:rowOff>0</xdr:rowOff>
    </xdr:from>
    <xdr:to>
      <xdr:col>8</xdr:col>
      <xdr:colOff>561975</xdr:colOff>
      <xdr:row>24</xdr:row>
      <xdr:rowOff>0</xdr:rowOff>
    </xdr:to>
    <xdr:sp macro="" textlink="">
      <xdr:nvSpPr>
        <xdr:cNvPr id="655470" name="Line 8"/>
        <xdr:cNvSpPr>
          <a:spLocks noChangeShapeType="1"/>
        </xdr:cNvSpPr>
      </xdr:nvSpPr>
      <xdr:spPr bwMode="auto">
        <a:xfrm>
          <a:off x="180975" y="4152900"/>
          <a:ext cx="61436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676275</xdr:colOff>
      <xdr:row>23</xdr:row>
      <xdr:rowOff>123825</xdr:rowOff>
    </xdr:from>
    <xdr:to>
      <xdr:col>1</xdr:col>
      <xdr:colOff>152400</xdr:colOff>
      <xdr:row>24</xdr:row>
      <xdr:rowOff>47625</xdr:rowOff>
    </xdr:to>
    <xdr:sp macro="" textlink="">
      <xdr:nvSpPr>
        <xdr:cNvPr id="655471" name="Line 9"/>
        <xdr:cNvSpPr>
          <a:spLocks noChangeShapeType="1"/>
        </xdr:cNvSpPr>
      </xdr:nvSpPr>
      <xdr:spPr bwMode="auto">
        <a:xfrm flipH="1">
          <a:off x="676275" y="4114800"/>
          <a:ext cx="3048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266700</xdr:colOff>
      <xdr:row>23</xdr:row>
      <xdr:rowOff>123825</xdr:rowOff>
    </xdr:from>
    <xdr:to>
      <xdr:col>8</xdr:col>
      <xdr:colOff>381000</xdr:colOff>
      <xdr:row>24</xdr:row>
      <xdr:rowOff>47625</xdr:rowOff>
    </xdr:to>
    <xdr:sp macro="" textlink="">
      <xdr:nvSpPr>
        <xdr:cNvPr id="655472" name="Line 10"/>
        <xdr:cNvSpPr>
          <a:spLocks noChangeShapeType="1"/>
        </xdr:cNvSpPr>
      </xdr:nvSpPr>
      <xdr:spPr bwMode="auto">
        <a:xfrm flipH="1">
          <a:off x="6029325" y="4114800"/>
          <a:ext cx="1143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23</xdr:row>
      <xdr:rowOff>0</xdr:rowOff>
    </xdr:from>
    <xdr:to>
      <xdr:col>1</xdr:col>
      <xdr:colOff>0</xdr:colOff>
      <xdr:row>25</xdr:row>
      <xdr:rowOff>0</xdr:rowOff>
    </xdr:to>
    <xdr:sp macro="" textlink="">
      <xdr:nvSpPr>
        <xdr:cNvPr id="655473" name="Line 11"/>
        <xdr:cNvSpPr>
          <a:spLocks noChangeShapeType="1"/>
        </xdr:cNvSpPr>
      </xdr:nvSpPr>
      <xdr:spPr bwMode="auto">
        <a:xfrm flipV="1">
          <a:off x="828675" y="39909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209550</xdr:colOff>
      <xdr:row>23</xdr:row>
      <xdr:rowOff>0</xdr:rowOff>
    </xdr:from>
    <xdr:to>
      <xdr:col>4</xdr:col>
      <xdr:colOff>209550</xdr:colOff>
      <xdr:row>25</xdr:row>
      <xdr:rowOff>0</xdr:rowOff>
    </xdr:to>
    <xdr:sp macro="" textlink="">
      <xdr:nvSpPr>
        <xdr:cNvPr id="655474" name="Line 12"/>
        <xdr:cNvSpPr>
          <a:spLocks noChangeShapeType="1"/>
        </xdr:cNvSpPr>
      </xdr:nvSpPr>
      <xdr:spPr bwMode="auto">
        <a:xfrm flipV="1">
          <a:off x="3114675" y="39909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866775</xdr:colOff>
      <xdr:row>20</xdr:row>
      <xdr:rowOff>0</xdr:rowOff>
    </xdr:from>
    <xdr:to>
      <xdr:col>4</xdr:col>
      <xdr:colOff>838200</xdr:colOff>
      <xdr:row>20</xdr:row>
      <xdr:rowOff>0</xdr:rowOff>
    </xdr:to>
    <xdr:sp macro="" textlink="">
      <xdr:nvSpPr>
        <xdr:cNvPr id="655475" name="Line 13"/>
        <xdr:cNvSpPr>
          <a:spLocks noChangeShapeType="1"/>
        </xdr:cNvSpPr>
      </xdr:nvSpPr>
      <xdr:spPr bwMode="auto">
        <a:xfrm>
          <a:off x="2047875" y="3505200"/>
          <a:ext cx="169545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19</xdr:row>
      <xdr:rowOff>104775</xdr:rowOff>
    </xdr:from>
    <xdr:to>
      <xdr:col>5</xdr:col>
      <xdr:colOff>0</xdr:colOff>
      <xdr:row>27</xdr:row>
      <xdr:rowOff>28575</xdr:rowOff>
    </xdr:to>
    <xdr:sp macro="" textlink="">
      <xdr:nvSpPr>
        <xdr:cNvPr id="655476" name="Line 14"/>
        <xdr:cNvSpPr>
          <a:spLocks noChangeShapeType="1"/>
        </xdr:cNvSpPr>
      </xdr:nvSpPr>
      <xdr:spPr bwMode="auto">
        <a:xfrm>
          <a:off x="3838575" y="3448050"/>
          <a:ext cx="0" cy="1219200"/>
        </a:xfrm>
        <a:prstGeom prst="line">
          <a:avLst/>
        </a:prstGeom>
        <a:noFill/>
        <a:ln w="12700">
          <a:solidFill>
            <a:srgbClr val="000000"/>
          </a:solidFill>
          <a:prstDash val="dash"/>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0</xdr:col>
      <xdr:colOff>257175</xdr:colOff>
      <xdr:row>55</xdr:row>
      <xdr:rowOff>0</xdr:rowOff>
    </xdr:from>
    <xdr:to>
      <xdr:col>4</xdr:col>
      <xdr:colOff>381000</xdr:colOff>
      <xdr:row>55</xdr:row>
      <xdr:rowOff>0</xdr:rowOff>
    </xdr:to>
    <xdr:sp macro="" textlink="">
      <xdr:nvSpPr>
        <xdr:cNvPr id="655477" name="Line 15"/>
        <xdr:cNvSpPr>
          <a:spLocks noChangeShapeType="1"/>
        </xdr:cNvSpPr>
      </xdr:nvSpPr>
      <xdr:spPr bwMode="auto">
        <a:xfrm>
          <a:off x="257175" y="9172575"/>
          <a:ext cx="302895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52</xdr:row>
      <xdr:rowOff>76200</xdr:rowOff>
    </xdr:from>
    <xdr:to>
      <xdr:col>5</xdr:col>
      <xdr:colOff>0</xdr:colOff>
      <xdr:row>59</xdr:row>
      <xdr:rowOff>0</xdr:rowOff>
    </xdr:to>
    <xdr:sp macro="" textlink="">
      <xdr:nvSpPr>
        <xdr:cNvPr id="655478" name="Line 16"/>
        <xdr:cNvSpPr>
          <a:spLocks noChangeShapeType="1"/>
        </xdr:cNvSpPr>
      </xdr:nvSpPr>
      <xdr:spPr bwMode="auto">
        <a:xfrm>
          <a:off x="3838575" y="8763000"/>
          <a:ext cx="0" cy="1057275"/>
        </a:xfrm>
        <a:prstGeom prst="line">
          <a:avLst/>
        </a:prstGeom>
        <a:noFill/>
        <a:ln w="12700">
          <a:solidFill>
            <a:srgbClr val="000000"/>
          </a:solidFill>
          <a:prstDash val="dash"/>
          <a:round/>
          <a:headEnd/>
          <a:tailEnd type="stealth" w="med" len="med"/>
        </a:ln>
        <a:extLst>
          <a:ext uri="{909E8E84-426E-40DD-AFC4-6F175D3DCCD1}">
            <a14:hiddenFill xmlns:a14="http://schemas.microsoft.com/office/drawing/2010/main">
              <a:noFill/>
            </a14:hiddenFill>
          </a:ext>
        </a:extLst>
      </xdr:spPr>
    </xdr:sp>
    <xdr:clientData/>
  </xdr:twoCellAnchor>
  <xdr:twoCellAnchor>
    <xdr:from>
      <xdr:col>0</xdr:col>
      <xdr:colOff>238125</xdr:colOff>
      <xdr:row>56</xdr:row>
      <xdr:rowOff>0</xdr:rowOff>
    </xdr:from>
    <xdr:to>
      <xdr:col>8</xdr:col>
      <xdr:colOff>676275</xdr:colOff>
      <xdr:row>56</xdr:row>
      <xdr:rowOff>0</xdr:rowOff>
    </xdr:to>
    <xdr:sp macro="" textlink="">
      <xdr:nvSpPr>
        <xdr:cNvPr id="655479" name="Line 17"/>
        <xdr:cNvSpPr>
          <a:spLocks noChangeShapeType="1"/>
        </xdr:cNvSpPr>
      </xdr:nvSpPr>
      <xdr:spPr bwMode="auto">
        <a:xfrm>
          <a:off x="238125" y="9334500"/>
          <a:ext cx="62007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55</xdr:row>
      <xdr:rowOff>123825</xdr:rowOff>
    </xdr:from>
    <xdr:to>
      <xdr:col>1</xdr:col>
      <xdr:colOff>238125</xdr:colOff>
      <xdr:row>56</xdr:row>
      <xdr:rowOff>47625</xdr:rowOff>
    </xdr:to>
    <xdr:sp macro="" textlink="">
      <xdr:nvSpPr>
        <xdr:cNvPr id="655480" name="Line 18"/>
        <xdr:cNvSpPr>
          <a:spLocks noChangeShapeType="1"/>
        </xdr:cNvSpPr>
      </xdr:nvSpPr>
      <xdr:spPr bwMode="auto">
        <a:xfrm flipH="1">
          <a:off x="981075" y="929640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55</xdr:row>
      <xdr:rowOff>0</xdr:rowOff>
    </xdr:from>
    <xdr:to>
      <xdr:col>1</xdr:col>
      <xdr:colOff>200025</xdr:colOff>
      <xdr:row>57</xdr:row>
      <xdr:rowOff>0</xdr:rowOff>
    </xdr:to>
    <xdr:sp macro="" textlink="">
      <xdr:nvSpPr>
        <xdr:cNvPr id="655481" name="Line 19"/>
        <xdr:cNvSpPr>
          <a:spLocks noChangeShapeType="1"/>
        </xdr:cNvSpPr>
      </xdr:nvSpPr>
      <xdr:spPr bwMode="auto">
        <a:xfrm flipV="1">
          <a:off x="102870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390525</xdr:colOff>
      <xdr:row>55</xdr:row>
      <xdr:rowOff>0</xdr:rowOff>
    </xdr:from>
    <xdr:to>
      <xdr:col>8</xdr:col>
      <xdr:colOff>390525</xdr:colOff>
      <xdr:row>57</xdr:row>
      <xdr:rowOff>0</xdr:rowOff>
    </xdr:to>
    <xdr:sp macro="" textlink="">
      <xdr:nvSpPr>
        <xdr:cNvPr id="655482" name="Line 20"/>
        <xdr:cNvSpPr>
          <a:spLocks noChangeShapeType="1"/>
        </xdr:cNvSpPr>
      </xdr:nvSpPr>
      <xdr:spPr bwMode="auto">
        <a:xfrm flipV="1">
          <a:off x="615315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51</xdr:row>
      <xdr:rowOff>104775</xdr:rowOff>
    </xdr:from>
    <xdr:to>
      <xdr:col>5</xdr:col>
      <xdr:colOff>0</xdr:colOff>
      <xdr:row>52</xdr:row>
      <xdr:rowOff>66675</xdr:rowOff>
    </xdr:to>
    <xdr:sp macro="" textlink="">
      <xdr:nvSpPr>
        <xdr:cNvPr id="655483" name="Line 21"/>
        <xdr:cNvSpPr>
          <a:spLocks noChangeShapeType="1"/>
        </xdr:cNvSpPr>
      </xdr:nvSpPr>
      <xdr:spPr bwMode="auto">
        <a:xfrm>
          <a:off x="3838575" y="8629650"/>
          <a:ext cx="0" cy="1238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657225</xdr:colOff>
      <xdr:row>55</xdr:row>
      <xdr:rowOff>123825</xdr:rowOff>
    </xdr:from>
    <xdr:to>
      <xdr:col>8</xdr:col>
      <xdr:colOff>657225</xdr:colOff>
      <xdr:row>56</xdr:row>
      <xdr:rowOff>38100</xdr:rowOff>
    </xdr:to>
    <xdr:sp macro="" textlink="">
      <xdr:nvSpPr>
        <xdr:cNvPr id="655484" name="Line 22"/>
        <xdr:cNvSpPr>
          <a:spLocks noChangeShapeType="1"/>
        </xdr:cNvSpPr>
      </xdr:nvSpPr>
      <xdr:spPr bwMode="auto">
        <a:xfrm>
          <a:off x="6419850" y="92964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247650</xdr:colOff>
      <xdr:row>55</xdr:row>
      <xdr:rowOff>123825</xdr:rowOff>
    </xdr:from>
    <xdr:to>
      <xdr:col>0</xdr:col>
      <xdr:colOff>247650</xdr:colOff>
      <xdr:row>56</xdr:row>
      <xdr:rowOff>38100</xdr:rowOff>
    </xdr:to>
    <xdr:sp macro="" textlink="">
      <xdr:nvSpPr>
        <xdr:cNvPr id="655485" name="Line 23"/>
        <xdr:cNvSpPr>
          <a:spLocks noChangeShapeType="1"/>
        </xdr:cNvSpPr>
      </xdr:nvSpPr>
      <xdr:spPr bwMode="auto">
        <a:xfrm>
          <a:off x="247650" y="92964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55</xdr:row>
      <xdr:rowOff>123825</xdr:rowOff>
    </xdr:from>
    <xdr:to>
      <xdr:col>1</xdr:col>
      <xdr:colOff>238125</xdr:colOff>
      <xdr:row>56</xdr:row>
      <xdr:rowOff>47625</xdr:rowOff>
    </xdr:to>
    <xdr:sp macro="" textlink="">
      <xdr:nvSpPr>
        <xdr:cNvPr id="655486" name="Line 24"/>
        <xdr:cNvSpPr>
          <a:spLocks noChangeShapeType="1"/>
        </xdr:cNvSpPr>
      </xdr:nvSpPr>
      <xdr:spPr bwMode="auto">
        <a:xfrm flipH="1">
          <a:off x="981075" y="929640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55</xdr:row>
      <xdr:rowOff>0</xdr:rowOff>
    </xdr:from>
    <xdr:to>
      <xdr:col>1</xdr:col>
      <xdr:colOff>200025</xdr:colOff>
      <xdr:row>57</xdr:row>
      <xdr:rowOff>0</xdr:rowOff>
    </xdr:to>
    <xdr:sp macro="" textlink="">
      <xdr:nvSpPr>
        <xdr:cNvPr id="655487" name="Line 25"/>
        <xdr:cNvSpPr>
          <a:spLocks noChangeShapeType="1"/>
        </xdr:cNvSpPr>
      </xdr:nvSpPr>
      <xdr:spPr bwMode="auto">
        <a:xfrm flipV="1">
          <a:off x="102870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47625</xdr:colOff>
      <xdr:row>70</xdr:row>
      <xdr:rowOff>0</xdr:rowOff>
    </xdr:from>
    <xdr:to>
      <xdr:col>7</xdr:col>
      <xdr:colOff>19050</xdr:colOff>
      <xdr:row>70</xdr:row>
      <xdr:rowOff>0</xdr:rowOff>
    </xdr:to>
    <xdr:sp macro="" textlink="">
      <xdr:nvSpPr>
        <xdr:cNvPr id="27" name="Text Box 26"/>
        <xdr:cNvSpPr txBox="1">
          <a:spLocks noChangeArrowheads="1"/>
        </xdr:cNvSpPr>
      </xdr:nvSpPr>
      <xdr:spPr bwMode="auto">
        <a:xfrm>
          <a:off x="4533900" y="1160145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70</xdr:row>
      <xdr:rowOff>0</xdr:rowOff>
    </xdr:from>
    <xdr:to>
      <xdr:col>4</xdr:col>
      <xdr:colOff>38100</xdr:colOff>
      <xdr:row>70</xdr:row>
      <xdr:rowOff>0</xdr:rowOff>
    </xdr:to>
    <xdr:sp macro="" textlink="">
      <xdr:nvSpPr>
        <xdr:cNvPr id="28" name="Text Box 27"/>
        <xdr:cNvSpPr txBox="1">
          <a:spLocks noChangeArrowheads="1"/>
        </xdr:cNvSpPr>
      </xdr:nvSpPr>
      <xdr:spPr bwMode="auto">
        <a:xfrm>
          <a:off x="2133600" y="116014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42</xdr:row>
      <xdr:rowOff>0</xdr:rowOff>
    </xdr:from>
    <xdr:to>
      <xdr:col>8</xdr:col>
      <xdr:colOff>0</xdr:colOff>
      <xdr:row>42</xdr:row>
      <xdr:rowOff>0</xdr:rowOff>
    </xdr:to>
    <xdr:sp macro="" textlink="">
      <xdr:nvSpPr>
        <xdr:cNvPr id="655490" name="Line 28"/>
        <xdr:cNvSpPr>
          <a:spLocks noChangeShapeType="1"/>
        </xdr:cNvSpPr>
      </xdr:nvSpPr>
      <xdr:spPr bwMode="auto">
        <a:xfrm>
          <a:off x="1181100" y="7067550"/>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41</xdr:row>
      <xdr:rowOff>0</xdr:rowOff>
    </xdr:from>
    <xdr:to>
      <xdr:col>2</xdr:col>
      <xdr:colOff>0</xdr:colOff>
      <xdr:row>41</xdr:row>
      <xdr:rowOff>0</xdr:rowOff>
    </xdr:to>
    <xdr:sp macro="" textlink="">
      <xdr:nvSpPr>
        <xdr:cNvPr id="655491" name="Line 29"/>
        <xdr:cNvSpPr>
          <a:spLocks noChangeShapeType="1"/>
        </xdr:cNvSpPr>
      </xdr:nvSpPr>
      <xdr:spPr bwMode="auto">
        <a:xfrm>
          <a:off x="1181100" y="6905625"/>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41</xdr:row>
      <xdr:rowOff>0</xdr:rowOff>
    </xdr:from>
    <xdr:to>
      <xdr:col>8</xdr:col>
      <xdr:colOff>257175</xdr:colOff>
      <xdr:row>41</xdr:row>
      <xdr:rowOff>0</xdr:rowOff>
    </xdr:to>
    <xdr:sp macro="" textlink="">
      <xdr:nvSpPr>
        <xdr:cNvPr id="655492" name="Line 30"/>
        <xdr:cNvSpPr>
          <a:spLocks noChangeShapeType="1"/>
        </xdr:cNvSpPr>
      </xdr:nvSpPr>
      <xdr:spPr bwMode="auto">
        <a:xfrm>
          <a:off x="5762625" y="6905625"/>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41</xdr:row>
      <xdr:rowOff>0</xdr:rowOff>
    </xdr:from>
    <xdr:to>
      <xdr:col>2</xdr:col>
      <xdr:colOff>0</xdr:colOff>
      <xdr:row>42</xdr:row>
      <xdr:rowOff>0</xdr:rowOff>
    </xdr:to>
    <xdr:sp macro="" textlink="">
      <xdr:nvSpPr>
        <xdr:cNvPr id="655493" name="Line 31"/>
        <xdr:cNvSpPr>
          <a:spLocks noChangeShapeType="1"/>
        </xdr:cNvSpPr>
      </xdr:nvSpPr>
      <xdr:spPr bwMode="auto">
        <a:xfrm>
          <a:off x="1181100" y="6905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41</xdr:row>
      <xdr:rowOff>0</xdr:rowOff>
    </xdr:from>
    <xdr:to>
      <xdr:col>8</xdr:col>
      <xdr:colOff>0</xdr:colOff>
      <xdr:row>42</xdr:row>
      <xdr:rowOff>0</xdr:rowOff>
    </xdr:to>
    <xdr:sp macro="" textlink="">
      <xdr:nvSpPr>
        <xdr:cNvPr id="655494" name="Line 32"/>
        <xdr:cNvSpPr>
          <a:spLocks noChangeShapeType="1"/>
        </xdr:cNvSpPr>
      </xdr:nvSpPr>
      <xdr:spPr bwMode="auto">
        <a:xfrm>
          <a:off x="5762625" y="6905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43</xdr:row>
      <xdr:rowOff>0</xdr:rowOff>
    </xdr:from>
    <xdr:to>
      <xdr:col>8</xdr:col>
      <xdr:colOff>0</xdr:colOff>
      <xdr:row>43</xdr:row>
      <xdr:rowOff>0</xdr:rowOff>
    </xdr:to>
    <xdr:sp macro="" textlink="">
      <xdr:nvSpPr>
        <xdr:cNvPr id="655495" name="Line 33"/>
        <xdr:cNvSpPr>
          <a:spLocks noChangeShapeType="1"/>
        </xdr:cNvSpPr>
      </xdr:nvSpPr>
      <xdr:spPr bwMode="auto">
        <a:xfrm>
          <a:off x="1181100" y="722947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39</xdr:row>
      <xdr:rowOff>0</xdr:rowOff>
    </xdr:from>
    <xdr:to>
      <xdr:col>5</xdr:col>
      <xdr:colOff>0</xdr:colOff>
      <xdr:row>42</xdr:row>
      <xdr:rowOff>152400</xdr:rowOff>
    </xdr:to>
    <xdr:sp macro="" textlink="">
      <xdr:nvSpPr>
        <xdr:cNvPr id="655496" name="Line 34"/>
        <xdr:cNvSpPr>
          <a:spLocks noChangeShapeType="1"/>
        </xdr:cNvSpPr>
      </xdr:nvSpPr>
      <xdr:spPr bwMode="auto">
        <a:xfrm>
          <a:off x="3838575" y="6581775"/>
          <a:ext cx="0" cy="638175"/>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39</xdr:row>
      <xdr:rowOff>85725</xdr:rowOff>
    </xdr:from>
    <xdr:to>
      <xdr:col>3</xdr:col>
      <xdr:colOff>0</xdr:colOff>
      <xdr:row>41</xdr:row>
      <xdr:rowOff>161925</xdr:rowOff>
    </xdr:to>
    <xdr:sp macro="" textlink="">
      <xdr:nvSpPr>
        <xdr:cNvPr id="655497" name="Line 35"/>
        <xdr:cNvSpPr>
          <a:spLocks noChangeShapeType="1"/>
        </xdr:cNvSpPr>
      </xdr:nvSpPr>
      <xdr:spPr bwMode="auto">
        <a:xfrm>
          <a:off x="2076450" y="6667500"/>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41</xdr:row>
      <xdr:rowOff>0</xdr:rowOff>
    </xdr:from>
    <xdr:to>
      <xdr:col>5</xdr:col>
      <xdr:colOff>0</xdr:colOff>
      <xdr:row>41</xdr:row>
      <xdr:rowOff>0</xdr:rowOff>
    </xdr:to>
    <xdr:sp macro="" textlink="">
      <xdr:nvSpPr>
        <xdr:cNvPr id="655498" name="Line 36"/>
        <xdr:cNvSpPr>
          <a:spLocks noChangeShapeType="1"/>
        </xdr:cNvSpPr>
      </xdr:nvSpPr>
      <xdr:spPr bwMode="auto">
        <a:xfrm>
          <a:off x="1181100" y="6905625"/>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800100</xdr:colOff>
      <xdr:row>40</xdr:row>
      <xdr:rowOff>133350</xdr:rowOff>
    </xdr:from>
    <xdr:to>
      <xdr:col>3</xdr:col>
      <xdr:colOff>95250</xdr:colOff>
      <xdr:row>41</xdr:row>
      <xdr:rowOff>28575</xdr:rowOff>
    </xdr:to>
    <xdr:sp macro="" textlink="">
      <xdr:nvSpPr>
        <xdr:cNvPr id="655499" name="Line 37"/>
        <xdr:cNvSpPr>
          <a:spLocks noChangeShapeType="1"/>
        </xdr:cNvSpPr>
      </xdr:nvSpPr>
      <xdr:spPr bwMode="auto">
        <a:xfrm flipH="1">
          <a:off x="1981200" y="6877050"/>
          <a:ext cx="19050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457200</xdr:colOff>
      <xdr:row>39</xdr:row>
      <xdr:rowOff>85725</xdr:rowOff>
    </xdr:from>
    <xdr:to>
      <xdr:col>3</xdr:col>
      <xdr:colOff>0</xdr:colOff>
      <xdr:row>39</xdr:row>
      <xdr:rowOff>85725</xdr:rowOff>
    </xdr:to>
    <xdr:sp macro="" textlink="">
      <xdr:nvSpPr>
        <xdr:cNvPr id="655500" name="Line 38"/>
        <xdr:cNvSpPr>
          <a:spLocks noChangeShapeType="1"/>
        </xdr:cNvSpPr>
      </xdr:nvSpPr>
      <xdr:spPr bwMode="auto">
        <a:xfrm>
          <a:off x="1638300" y="6667500"/>
          <a:ext cx="4381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73</xdr:row>
      <xdr:rowOff>0</xdr:rowOff>
    </xdr:from>
    <xdr:to>
      <xdr:col>8</xdr:col>
      <xdr:colOff>0</xdr:colOff>
      <xdr:row>73</xdr:row>
      <xdr:rowOff>0</xdr:rowOff>
    </xdr:to>
    <xdr:sp macro="" textlink="">
      <xdr:nvSpPr>
        <xdr:cNvPr id="655501" name="Line 39"/>
        <xdr:cNvSpPr>
          <a:spLocks noChangeShapeType="1"/>
        </xdr:cNvSpPr>
      </xdr:nvSpPr>
      <xdr:spPr bwMode="auto">
        <a:xfrm>
          <a:off x="1181100" y="120872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72</xdr:row>
      <xdr:rowOff>0</xdr:rowOff>
    </xdr:from>
    <xdr:to>
      <xdr:col>2</xdr:col>
      <xdr:colOff>0</xdr:colOff>
      <xdr:row>72</xdr:row>
      <xdr:rowOff>0</xdr:rowOff>
    </xdr:to>
    <xdr:sp macro="" textlink="">
      <xdr:nvSpPr>
        <xdr:cNvPr id="655502" name="Line 40"/>
        <xdr:cNvSpPr>
          <a:spLocks noChangeShapeType="1"/>
        </xdr:cNvSpPr>
      </xdr:nvSpPr>
      <xdr:spPr bwMode="auto">
        <a:xfrm>
          <a:off x="1181100" y="119253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600075</xdr:colOff>
      <xdr:row>72</xdr:row>
      <xdr:rowOff>0</xdr:rowOff>
    </xdr:from>
    <xdr:to>
      <xdr:col>8</xdr:col>
      <xdr:colOff>180975</xdr:colOff>
      <xdr:row>72</xdr:row>
      <xdr:rowOff>0</xdr:rowOff>
    </xdr:to>
    <xdr:sp macro="" textlink="">
      <xdr:nvSpPr>
        <xdr:cNvPr id="655503" name="Line 41"/>
        <xdr:cNvSpPr>
          <a:spLocks noChangeShapeType="1"/>
        </xdr:cNvSpPr>
      </xdr:nvSpPr>
      <xdr:spPr bwMode="auto">
        <a:xfrm>
          <a:off x="5686425" y="119253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72</xdr:row>
      <xdr:rowOff>0</xdr:rowOff>
    </xdr:from>
    <xdr:to>
      <xdr:col>2</xdr:col>
      <xdr:colOff>0</xdr:colOff>
      <xdr:row>73</xdr:row>
      <xdr:rowOff>0</xdr:rowOff>
    </xdr:to>
    <xdr:sp macro="" textlink="">
      <xdr:nvSpPr>
        <xdr:cNvPr id="655504" name="Line 42"/>
        <xdr:cNvSpPr>
          <a:spLocks noChangeShapeType="1"/>
        </xdr:cNvSpPr>
      </xdr:nvSpPr>
      <xdr:spPr bwMode="auto">
        <a:xfrm>
          <a:off x="1181100" y="119253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72</xdr:row>
      <xdr:rowOff>0</xdr:rowOff>
    </xdr:from>
    <xdr:to>
      <xdr:col>8</xdr:col>
      <xdr:colOff>0</xdr:colOff>
      <xdr:row>73</xdr:row>
      <xdr:rowOff>0</xdr:rowOff>
    </xdr:to>
    <xdr:sp macro="" textlink="">
      <xdr:nvSpPr>
        <xdr:cNvPr id="655505" name="Line 43"/>
        <xdr:cNvSpPr>
          <a:spLocks noChangeShapeType="1"/>
        </xdr:cNvSpPr>
      </xdr:nvSpPr>
      <xdr:spPr bwMode="auto">
        <a:xfrm>
          <a:off x="5762625" y="119253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74</xdr:row>
      <xdr:rowOff>0</xdr:rowOff>
    </xdr:from>
    <xdr:to>
      <xdr:col>8</xdr:col>
      <xdr:colOff>0</xdr:colOff>
      <xdr:row>74</xdr:row>
      <xdr:rowOff>0</xdr:rowOff>
    </xdr:to>
    <xdr:sp macro="" textlink="">
      <xdr:nvSpPr>
        <xdr:cNvPr id="655506" name="Line 44"/>
        <xdr:cNvSpPr>
          <a:spLocks noChangeShapeType="1"/>
        </xdr:cNvSpPr>
      </xdr:nvSpPr>
      <xdr:spPr bwMode="auto">
        <a:xfrm>
          <a:off x="1181100" y="1224915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70</xdr:row>
      <xdr:rowOff>0</xdr:rowOff>
    </xdr:from>
    <xdr:to>
      <xdr:col>5</xdr:col>
      <xdr:colOff>0</xdr:colOff>
      <xdr:row>73</xdr:row>
      <xdr:rowOff>161925</xdr:rowOff>
    </xdr:to>
    <xdr:sp macro="" textlink="">
      <xdr:nvSpPr>
        <xdr:cNvPr id="655507" name="Line 45"/>
        <xdr:cNvSpPr>
          <a:spLocks noChangeShapeType="1"/>
        </xdr:cNvSpPr>
      </xdr:nvSpPr>
      <xdr:spPr bwMode="auto">
        <a:xfrm>
          <a:off x="3838575" y="116014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85725</xdr:rowOff>
    </xdr:from>
    <xdr:to>
      <xdr:col>3</xdr:col>
      <xdr:colOff>0</xdr:colOff>
      <xdr:row>72</xdr:row>
      <xdr:rowOff>161925</xdr:rowOff>
    </xdr:to>
    <xdr:sp macro="" textlink="">
      <xdr:nvSpPr>
        <xdr:cNvPr id="655508" name="Line 46"/>
        <xdr:cNvSpPr>
          <a:spLocks noChangeShapeType="1"/>
        </xdr:cNvSpPr>
      </xdr:nvSpPr>
      <xdr:spPr bwMode="auto">
        <a:xfrm>
          <a:off x="2076450" y="116871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72</xdr:row>
      <xdr:rowOff>0</xdr:rowOff>
    </xdr:from>
    <xdr:to>
      <xdr:col>5</xdr:col>
      <xdr:colOff>0</xdr:colOff>
      <xdr:row>72</xdr:row>
      <xdr:rowOff>0</xdr:rowOff>
    </xdr:to>
    <xdr:sp macro="" textlink="">
      <xdr:nvSpPr>
        <xdr:cNvPr id="655509" name="Line 47"/>
        <xdr:cNvSpPr>
          <a:spLocks noChangeShapeType="1"/>
        </xdr:cNvSpPr>
      </xdr:nvSpPr>
      <xdr:spPr bwMode="auto">
        <a:xfrm>
          <a:off x="1181100" y="119253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790575</xdr:colOff>
      <xdr:row>71</xdr:row>
      <xdr:rowOff>142875</xdr:rowOff>
    </xdr:from>
    <xdr:to>
      <xdr:col>3</xdr:col>
      <xdr:colOff>38100</xdr:colOff>
      <xdr:row>72</xdr:row>
      <xdr:rowOff>38100</xdr:rowOff>
    </xdr:to>
    <xdr:sp macro="" textlink="">
      <xdr:nvSpPr>
        <xdr:cNvPr id="655510" name="Line 48"/>
        <xdr:cNvSpPr>
          <a:spLocks noChangeShapeType="1"/>
        </xdr:cNvSpPr>
      </xdr:nvSpPr>
      <xdr:spPr bwMode="auto">
        <a:xfrm flipH="1">
          <a:off x="1971675" y="11906250"/>
          <a:ext cx="14287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647700</xdr:colOff>
      <xdr:row>70</xdr:row>
      <xdr:rowOff>85725</xdr:rowOff>
    </xdr:from>
    <xdr:to>
      <xdr:col>3</xdr:col>
      <xdr:colOff>0</xdr:colOff>
      <xdr:row>70</xdr:row>
      <xdr:rowOff>85725</xdr:rowOff>
    </xdr:to>
    <xdr:sp macro="" textlink="">
      <xdr:nvSpPr>
        <xdr:cNvPr id="655511" name="Line 49"/>
        <xdr:cNvSpPr>
          <a:spLocks noChangeShapeType="1"/>
        </xdr:cNvSpPr>
      </xdr:nvSpPr>
      <xdr:spPr bwMode="auto">
        <a:xfrm flipV="1">
          <a:off x="1828800" y="11687175"/>
          <a:ext cx="2476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235</xdr:row>
      <xdr:rowOff>0</xdr:rowOff>
    </xdr:from>
    <xdr:to>
      <xdr:col>7</xdr:col>
      <xdr:colOff>19050</xdr:colOff>
      <xdr:row>235</xdr:row>
      <xdr:rowOff>0</xdr:rowOff>
    </xdr:to>
    <xdr:sp macro="" textlink="">
      <xdr:nvSpPr>
        <xdr:cNvPr id="51" name="Text Box 50"/>
        <xdr:cNvSpPr txBox="1">
          <a:spLocks noChangeArrowheads="1"/>
        </xdr:cNvSpPr>
      </xdr:nvSpPr>
      <xdr:spPr bwMode="auto">
        <a:xfrm>
          <a:off x="4533900" y="3844290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235</xdr:row>
      <xdr:rowOff>0</xdr:rowOff>
    </xdr:from>
    <xdr:to>
      <xdr:col>4</xdr:col>
      <xdr:colOff>38100</xdr:colOff>
      <xdr:row>235</xdr:row>
      <xdr:rowOff>0</xdr:rowOff>
    </xdr:to>
    <xdr:sp macro="" textlink="">
      <xdr:nvSpPr>
        <xdr:cNvPr id="52" name="Text Box 51"/>
        <xdr:cNvSpPr txBox="1">
          <a:spLocks noChangeArrowheads="1"/>
        </xdr:cNvSpPr>
      </xdr:nvSpPr>
      <xdr:spPr bwMode="auto">
        <a:xfrm>
          <a:off x="2133600" y="384429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238</xdr:row>
      <xdr:rowOff>0</xdr:rowOff>
    </xdr:from>
    <xdr:to>
      <xdr:col>8</xdr:col>
      <xdr:colOff>0</xdr:colOff>
      <xdr:row>238</xdr:row>
      <xdr:rowOff>0</xdr:rowOff>
    </xdr:to>
    <xdr:sp macro="" textlink="">
      <xdr:nvSpPr>
        <xdr:cNvPr id="655514" name="Line 52"/>
        <xdr:cNvSpPr>
          <a:spLocks noChangeShapeType="1"/>
        </xdr:cNvSpPr>
      </xdr:nvSpPr>
      <xdr:spPr bwMode="auto">
        <a:xfrm>
          <a:off x="1181100" y="3892867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237</xdr:row>
      <xdr:rowOff>0</xdr:rowOff>
    </xdr:from>
    <xdr:to>
      <xdr:col>2</xdr:col>
      <xdr:colOff>0</xdr:colOff>
      <xdr:row>237</xdr:row>
      <xdr:rowOff>0</xdr:rowOff>
    </xdr:to>
    <xdr:sp macro="" textlink="">
      <xdr:nvSpPr>
        <xdr:cNvPr id="655515" name="Line 53"/>
        <xdr:cNvSpPr>
          <a:spLocks noChangeShapeType="1"/>
        </xdr:cNvSpPr>
      </xdr:nvSpPr>
      <xdr:spPr bwMode="auto">
        <a:xfrm>
          <a:off x="1181100" y="3876675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237</xdr:row>
      <xdr:rowOff>0</xdr:rowOff>
    </xdr:from>
    <xdr:to>
      <xdr:col>8</xdr:col>
      <xdr:colOff>257175</xdr:colOff>
      <xdr:row>237</xdr:row>
      <xdr:rowOff>0</xdr:rowOff>
    </xdr:to>
    <xdr:sp macro="" textlink="">
      <xdr:nvSpPr>
        <xdr:cNvPr id="655516" name="Line 54"/>
        <xdr:cNvSpPr>
          <a:spLocks noChangeShapeType="1"/>
        </xdr:cNvSpPr>
      </xdr:nvSpPr>
      <xdr:spPr bwMode="auto">
        <a:xfrm>
          <a:off x="5762625" y="3876675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237</xdr:row>
      <xdr:rowOff>0</xdr:rowOff>
    </xdr:from>
    <xdr:to>
      <xdr:col>2</xdr:col>
      <xdr:colOff>0</xdr:colOff>
      <xdr:row>238</xdr:row>
      <xdr:rowOff>0</xdr:rowOff>
    </xdr:to>
    <xdr:sp macro="" textlink="">
      <xdr:nvSpPr>
        <xdr:cNvPr id="655517" name="Line 55"/>
        <xdr:cNvSpPr>
          <a:spLocks noChangeShapeType="1"/>
        </xdr:cNvSpPr>
      </xdr:nvSpPr>
      <xdr:spPr bwMode="auto">
        <a:xfrm>
          <a:off x="1181100" y="387667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237</xdr:row>
      <xdr:rowOff>0</xdr:rowOff>
    </xdr:from>
    <xdr:to>
      <xdr:col>8</xdr:col>
      <xdr:colOff>0</xdr:colOff>
      <xdr:row>238</xdr:row>
      <xdr:rowOff>0</xdr:rowOff>
    </xdr:to>
    <xdr:sp macro="" textlink="">
      <xdr:nvSpPr>
        <xdr:cNvPr id="655518" name="Line 56"/>
        <xdr:cNvSpPr>
          <a:spLocks noChangeShapeType="1"/>
        </xdr:cNvSpPr>
      </xdr:nvSpPr>
      <xdr:spPr bwMode="auto">
        <a:xfrm>
          <a:off x="5762625" y="387667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239</xdr:row>
      <xdr:rowOff>0</xdr:rowOff>
    </xdr:from>
    <xdr:to>
      <xdr:col>8</xdr:col>
      <xdr:colOff>0</xdr:colOff>
      <xdr:row>239</xdr:row>
      <xdr:rowOff>0</xdr:rowOff>
    </xdr:to>
    <xdr:sp macro="" textlink="">
      <xdr:nvSpPr>
        <xdr:cNvPr id="655519" name="Line 57"/>
        <xdr:cNvSpPr>
          <a:spLocks noChangeShapeType="1"/>
        </xdr:cNvSpPr>
      </xdr:nvSpPr>
      <xdr:spPr bwMode="auto">
        <a:xfrm>
          <a:off x="1181100" y="3909060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235</xdr:row>
      <xdr:rowOff>0</xdr:rowOff>
    </xdr:from>
    <xdr:to>
      <xdr:col>5</xdr:col>
      <xdr:colOff>0</xdr:colOff>
      <xdr:row>238</xdr:row>
      <xdr:rowOff>161925</xdr:rowOff>
    </xdr:to>
    <xdr:sp macro="" textlink="">
      <xdr:nvSpPr>
        <xdr:cNvPr id="655520" name="Line 58"/>
        <xdr:cNvSpPr>
          <a:spLocks noChangeShapeType="1"/>
        </xdr:cNvSpPr>
      </xdr:nvSpPr>
      <xdr:spPr bwMode="auto">
        <a:xfrm>
          <a:off x="3838575" y="3844290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235</xdr:row>
      <xdr:rowOff>85725</xdr:rowOff>
    </xdr:from>
    <xdr:to>
      <xdr:col>3</xdr:col>
      <xdr:colOff>0</xdr:colOff>
      <xdr:row>237</xdr:row>
      <xdr:rowOff>161925</xdr:rowOff>
    </xdr:to>
    <xdr:sp macro="" textlink="">
      <xdr:nvSpPr>
        <xdr:cNvPr id="655521" name="Line 59"/>
        <xdr:cNvSpPr>
          <a:spLocks noChangeShapeType="1"/>
        </xdr:cNvSpPr>
      </xdr:nvSpPr>
      <xdr:spPr bwMode="auto">
        <a:xfrm>
          <a:off x="2076450" y="3852862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237</xdr:row>
      <xdr:rowOff>0</xdr:rowOff>
    </xdr:from>
    <xdr:to>
      <xdr:col>5</xdr:col>
      <xdr:colOff>0</xdr:colOff>
      <xdr:row>237</xdr:row>
      <xdr:rowOff>0</xdr:rowOff>
    </xdr:to>
    <xdr:sp macro="" textlink="">
      <xdr:nvSpPr>
        <xdr:cNvPr id="655522" name="Line 60"/>
        <xdr:cNvSpPr>
          <a:spLocks noChangeShapeType="1"/>
        </xdr:cNvSpPr>
      </xdr:nvSpPr>
      <xdr:spPr bwMode="auto">
        <a:xfrm>
          <a:off x="1181100" y="3876675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771525</xdr:colOff>
      <xdr:row>236</xdr:row>
      <xdr:rowOff>133350</xdr:rowOff>
    </xdr:from>
    <xdr:to>
      <xdr:col>3</xdr:col>
      <xdr:colOff>95250</xdr:colOff>
      <xdr:row>237</xdr:row>
      <xdr:rowOff>38100</xdr:rowOff>
    </xdr:to>
    <xdr:sp macro="" textlink="">
      <xdr:nvSpPr>
        <xdr:cNvPr id="655523" name="Line 61"/>
        <xdr:cNvSpPr>
          <a:spLocks noChangeShapeType="1"/>
        </xdr:cNvSpPr>
      </xdr:nvSpPr>
      <xdr:spPr bwMode="auto">
        <a:xfrm flipH="1">
          <a:off x="1952625" y="38738175"/>
          <a:ext cx="21907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733425</xdr:colOff>
      <xdr:row>235</xdr:row>
      <xdr:rowOff>85725</xdr:rowOff>
    </xdr:from>
    <xdr:to>
      <xdr:col>3</xdr:col>
      <xdr:colOff>0</xdr:colOff>
      <xdr:row>235</xdr:row>
      <xdr:rowOff>85725</xdr:rowOff>
    </xdr:to>
    <xdr:sp macro="" textlink="">
      <xdr:nvSpPr>
        <xdr:cNvPr id="655524" name="Line 62"/>
        <xdr:cNvSpPr>
          <a:spLocks noChangeShapeType="1"/>
        </xdr:cNvSpPr>
      </xdr:nvSpPr>
      <xdr:spPr bwMode="auto">
        <a:xfrm flipV="1">
          <a:off x="1914525" y="38528625"/>
          <a:ext cx="161925"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260</xdr:row>
      <xdr:rowOff>0</xdr:rowOff>
    </xdr:from>
    <xdr:to>
      <xdr:col>7</xdr:col>
      <xdr:colOff>19050</xdr:colOff>
      <xdr:row>260</xdr:row>
      <xdr:rowOff>0</xdr:rowOff>
    </xdr:to>
    <xdr:sp macro="" textlink="">
      <xdr:nvSpPr>
        <xdr:cNvPr id="64" name="Text Box 63"/>
        <xdr:cNvSpPr txBox="1">
          <a:spLocks noChangeArrowheads="1"/>
        </xdr:cNvSpPr>
      </xdr:nvSpPr>
      <xdr:spPr bwMode="auto">
        <a:xfrm>
          <a:off x="4533900" y="4249102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260</xdr:row>
      <xdr:rowOff>0</xdr:rowOff>
    </xdr:from>
    <xdr:to>
      <xdr:col>4</xdr:col>
      <xdr:colOff>38100</xdr:colOff>
      <xdr:row>260</xdr:row>
      <xdr:rowOff>0</xdr:rowOff>
    </xdr:to>
    <xdr:sp macro="" textlink="">
      <xdr:nvSpPr>
        <xdr:cNvPr id="65" name="Text Box 64"/>
        <xdr:cNvSpPr txBox="1">
          <a:spLocks noChangeArrowheads="1"/>
        </xdr:cNvSpPr>
      </xdr:nvSpPr>
      <xdr:spPr bwMode="auto">
        <a:xfrm>
          <a:off x="2133600" y="4249102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263</xdr:row>
      <xdr:rowOff>0</xdr:rowOff>
    </xdr:from>
    <xdr:to>
      <xdr:col>8</xdr:col>
      <xdr:colOff>0</xdr:colOff>
      <xdr:row>263</xdr:row>
      <xdr:rowOff>0</xdr:rowOff>
    </xdr:to>
    <xdr:sp macro="" textlink="">
      <xdr:nvSpPr>
        <xdr:cNvPr id="655527" name="Line 65"/>
        <xdr:cNvSpPr>
          <a:spLocks noChangeShapeType="1"/>
        </xdr:cNvSpPr>
      </xdr:nvSpPr>
      <xdr:spPr bwMode="auto">
        <a:xfrm>
          <a:off x="1181100" y="42976800"/>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262</xdr:row>
      <xdr:rowOff>0</xdr:rowOff>
    </xdr:from>
    <xdr:to>
      <xdr:col>2</xdr:col>
      <xdr:colOff>0</xdr:colOff>
      <xdr:row>262</xdr:row>
      <xdr:rowOff>0</xdr:rowOff>
    </xdr:to>
    <xdr:sp macro="" textlink="">
      <xdr:nvSpPr>
        <xdr:cNvPr id="655528" name="Line 66"/>
        <xdr:cNvSpPr>
          <a:spLocks noChangeShapeType="1"/>
        </xdr:cNvSpPr>
      </xdr:nvSpPr>
      <xdr:spPr bwMode="auto">
        <a:xfrm>
          <a:off x="1181100" y="42814875"/>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262</xdr:row>
      <xdr:rowOff>0</xdr:rowOff>
    </xdr:from>
    <xdr:to>
      <xdr:col>8</xdr:col>
      <xdr:colOff>257175</xdr:colOff>
      <xdr:row>262</xdr:row>
      <xdr:rowOff>0</xdr:rowOff>
    </xdr:to>
    <xdr:sp macro="" textlink="">
      <xdr:nvSpPr>
        <xdr:cNvPr id="655529" name="Line 67"/>
        <xdr:cNvSpPr>
          <a:spLocks noChangeShapeType="1"/>
        </xdr:cNvSpPr>
      </xdr:nvSpPr>
      <xdr:spPr bwMode="auto">
        <a:xfrm>
          <a:off x="5762625" y="42814875"/>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262</xdr:row>
      <xdr:rowOff>0</xdr:rowOff>
    </xdr:from>
    <xdr:to>
      <xdr:col>2</xdr:col>
      <xdr:colOff>0</xdr:colOff>
      <xdr:row>263</xdr:row>
      <xdr:rowOff>0</xdr:rowOff>
    </xdr:to>
    <xdr:sp macro="" textlink="">
      <xdr:nvSpPr>
        <xdr:cNvPr id="655530" name="Line 68"/>
        <xdr:cNvSpPr>
          <a:spLocks noChangeShapeType="1"/>
        </xdr:cNvSpPr>
      </xdr:nvSpPr>
      <xdr:spPr bwMode="auto">
        <a:xfrm>
          <a:off x="1181100" y="428148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262</xdr:row>
      <xdr:rowOff>0</xdr:rowOff>
    </xdr:from>
    <xdr:to>
      <xdr:col>8</xdr:col>
      <xdr:colOff>0</xdr:colOff>
      <xdr:row>263</xdr:row>
      <xdr:rowOff>0</xdr:rowOff>
    </xdr:to>
    <xdr:sp macro="" textlink="">
      <xdr:nvSpPr>
        <xdr:cNvPr id="655531" name="Line 69"/>
        <xdr:cNvSpPr>
          <a:spLocks noChangeShapeType="1"/>
        </xdr:cNvSpPr>
      </xdr:nvSpPr>
      <xdr:spPr bwMode="auto">
        <a:xfrm>
          <a:off x="5762625" y="4281487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264</xdr:row>
      <xdr:rowOff>0</xdr:rowOff>
    </xdr:from>
    <xdr:to>
      <xdr:col>8</xdr:col>
      <xdr:colOff>0</xdr:colOff>
      <xdr:row>264</xdr:row>
      <xdr:rowOff>0</xdr:rowOff>
    </xdr:to>
    <xdr:sp macro="" textlink="">
      <xdr:nvSpPr>
        <xdr:cNvPr id="655532" name="Line 70"/>
        <xdr:cNvSpPr>
          <a:spLocks noChangeShapeType="1"/>
        </xdr:cNvSpPr>
      </xdr:nvSpPr>
      <xdr:spPr bwMode="auto">
        <a:xfrm>
          <a:off x="1181100" y="4313872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260</xdr:row>
      <xdr:rowOff>0</xdr:rowOff>
    </xdr:from>
    <xdr:to>
      <xdr:col>5</xdr:col>
      <xdr:colOff>0</xdr:colOff>
      <xdr:row>263</xdr:row>
      <xdr:rowOff>161925</xdr:rowOff>
    </xdr:to>
    <xdr:sp macro="" textlink="">
      <xdr:nvSpPr>
        <xdr:cNvPr id="655533" name="Line 71"/>
        <xdr:cNvSpPr>
          <a:spLocks noChangeShapeType="1"/>
        </xdr:cNvSpPr>
      </xdr:nvSpPr>
      <xdr:spPr bwMode="auto">
        <a:xfrm>
          <a:off x="3838575" y="42491025"/>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260</xdr:row>
      <xdr:rowOff>85725</xdr:rowOff>
    </xdr:from>
    <xdr:to>
      <xdr:col>4</xdr:col>
      <xdr:colOff>0</xdr:colOff>
      <xdr:row>262</xdr:row>
      <xdr:rowOff>161925</xdr:rowOff>
    </xdr:to>
    <xdr:sp macro="" textlink="">
      <xdr:nvSpPr>
        <xdr:cNvPr id="655534" name="Line 72"/>
        <xdr:cNvSpPr>
          <a:spLocks noChangeShapeType="1"/>
        </xdr:cNvSpPr>
      </xdr:nvSpPr>
      <xdr:spPr bwMode="auto">
        <a:xfrm>
          <a:off x="2905125" y="42576750"/>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262</xdr:row>
      <xdr:rowOff>0</xdr:rowOff>
    </xdr:from>
    <xdr:to>
      <xdr:col>5</xdr:col>
      <xdr:colOff>0</xdr:colOff>
      <xdr:row>262</xdr:row>
      <xdr:rowOff>0</xdr:rowOff>
    </xdr:to>
    <xdr:sp macro="" textlink="">
      <xdr:nvSpPr>
        <xdr:cNvPr id="655535" name="Line 73"/>
        <xdr:cNvSpPr>
          <a:spLocks noChangeShapeType="1"/>
        </xdr:cNvSpPr>
      </xdr:nvSpPr>
      <xdr:spPr bwMode="auto">
        <a:xfrm>
          <a:off x="1181100" y="42814875"/>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657225</xdr:colOff>
      <xdr:row>261</xdr:row>
      <xdr:rowOff>142875</xdr:rowOff>
    </xdr:from>
    <xdr:to>
      <xdr:col>4</xdr:col>
      <xdr:colOff>104775</xdr:colOff>
      <xdr:row>262</xdr:row>
      <xdr:rowOff>47625</xdr:rowOff>
    </xdr:to>
    <xdr:sp macro="" textlink="">
      <xdr:nvSpPr>
        <xdr:cNvPr id="655536" name="Line 74"/>
        <xdr:cNvSpPr>
          <a:spLocks noChangeShapeType="1"/>
        </xdr:cNvSpPr>
      </xdr:nvSpPr>
      <xdr:spPr bwMode="auto">
        <a:xfrm flipH="1">
          <a:off x="2733675" y="42795825"/>
          <a:ext cx="27622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790575</xdr:colOff>
      <xdr:row>260</xdr:row>
      <xdr:rowOff>85725</xdr:rowOff>
    </xdr:from>
    <xdr:to>
      <xdr:col>4</xdr:col>
      <xdr:colOff>0</xdr:colOff>
      <xdr:row>260</xdr:row>
      <xdr:rowOff>85725</xdr:rowOff>
    </xdr:to>
    <xdr:sp macro="" textlink="">
      <xdr:nvSpPr>
        <xdr:cNvPr id="655537" name="Line 75"/>
        <xdr:cNvSpPr>
          <a:spLocks noChangeShapeType="1"/>
        </xdr:cNvSpPr>
      </xdr:nvSpPr>
      <xdr:spPr bwMode="auto">
        <a:xfrm>
          <a:off x="1971675" y="42576750"/>
          <a:ext cx="9334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282</xdr:row>
      <xdr:rowOff>0</xdr:rowOff>
    </xdr:from>
    <xdr:to>
      <xdr:col>7</xdr:col>
      <xdr:colOff>19050</xdr:colOff>
      <xdr:row>282</xdr:row>
      <xdr:rowOff>0</xdr:rowOff>
    </xdr:to>
    <xdr:sp macro="" textlink="">
      <xdr:nvSpPr>
        <xdr:cNvPr id="77" name="Text Box 76"/>
        <xdr:cNvSpPr txBox="1">
          <a:spLocks noChangeArrowheads="1"/>
        </xdr:cNvSpPr>
      </xdr:nvSpPr>
      <xdr:spPr bwMode="auto">
        <a:xfrm>
          <a:off x="4533900" y="4605337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282</xdr:row>
      <xdr:rowOff>0</xdr:rowOff>
    </xdr:from>
    <xdr:to>
      <xdr:col>4</xdr:col>
      <xdr:colOff>38100</xdr:colOff>
      <xdr:row>282</xdr:row>
      <xdr:rowOff>0</xdr:rowOff>
    </xdr:to>
    <xdr:sp macro="" textlink="">
      <xdr:nvSpPr>
        <xdr:cNvPr id="78" name="Text Box 77"/>
        <xdr:cNvSpPr txBox="1">
          <a:spLocks noChangeArrowheads="1"/>
        </xdr:cNvSpPr>
      </xdr:nvSpPr>
      <xdr:spPr bwMode="auto">
        <a:xfrm>
          <a:off x="2133600" y="4605337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286</xdr:row>
      <xdr:rowOff>0</xdr:rowOff>
    </xdr:from>
    <xdr:to>
      <xdr:col>8</xdr:col>
      <xdr:colOff>0</xdr:colOff>
      <xdr:row>286</xdr:row>
      <xdr:rowOff>0</xdr:rowOff>
    </xdr:to>
    <xdr:sp macro="" textlink="">
      <xdr:nvSpPr>
        <xdr:cNvPr id="655540" name="Line 78"/>
        <xdr:cNvSpPr>
          <a:spLocks noChangeShapeType="1"/>
        </xdr:cNvSpPr>
      </xdr:nvSpPr>
      <xdr:spPr bwMode="auto">
        <a:xfrm>
          <a:off x="1181100" y="4670107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285</xdr:row>
      <xdr:rowOff>0</xdr:rowOff>
    </xdr:from>
    <xdr:to>
      <xdr:col>2</xdr:col>
      <xdr:colOff>0</xdr:colOff>
      <xdr:row>285</xdr:row>
      <xdr:rowOff>0</xdr:rowOff>
    </xdr:to>
    <xdr:sp macro="" textlink="">
      <xdr:nvSpPr>
        <xdr:cNvPr id="655541" name="Line 79"/>
        <xdr:cNvSpPr>
          <a:spLocks noChangeShapeType="1"/>
        </xdr:cNvSpPr>
      </xdr:nvSpPr>
      <xdr:spPr bwMode="auto">
        <a:xfrm>
          <a:off x="1181100" y="4653915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285</xdr:row>
      <xdr:rowOff>0</xdr:rowOff>
    </xdr:from>
    <xdr:to>
      <xdr:col>8</xdr:col>
      <xdr:colOff>257175</xdr:colOff>
      <xdr:row>285</xdr:row>
      <xdr:rowOff>0</xdr:rowOff>
    </xdr:to>
    <xdr:sp macro="" textlink="">
      <xdr:nvSpPr>
        <xdr:cNvPr id="655542" name="Line 80"/>
        <xdr:cNvSpPr>
          <a:spLocks noChangeShapeType="1"/>
        </xdr:cNvSpPr>
      </xdr:nvSpPr>
      <xdr:spPr bwMode="auto">
        <a:xfrm>
          <a:off x="5762625" y="4653915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285</xdr:row>
      <xdr:rowOff>0</xdr:rowOff>
    </xdr:from>
    <xdr:to>
      <xdr:col>2</xdr:col>
      <xdr:colOff>0</xdr:colOff>
      <xdr:row>286</xdr:row>
      <xdr:rowOff>0</xdr:rowOff>
    </xdr:to>
    <xdr:sp macro="" textlink="">
      <xdr:nvSpPr>
        <xdr:cNvPr id="655543" name="Line 81"/>
        <xdr:cNvSpPr>
          <a:spLocks noChangeShapeType="1"/>
        </xdr:cNvSpPr>
      </xdr:nvSpPr>
      <xdr:spPr bwMode="auto">
        <a:xfrm>
          <a:off x="1181100" y="465391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285</xdr:row>
      <xdr:rowOff>0</xdr:rowOff>
    </xdr:from>
    <xdr:to>
      <xdr:col>8</xdr:col>
      <xdr:colOff>0</xdr:colOff>
      <xdr:row>286</xdr:row>
      <xdr:rowOff>0</xdr:rowOff>
    </xdr:to>
    <xdr:sp macro="" textlink="">
      <xdr:nvSpPr>
        <xdr:cNvPr id="655544" name="Line 82"/>
        <xdr:cNvSpPr>
          <a:spLocks noChangeShapeType="1"/>
        </xdr:cNvSpPr>
      </xdr:nvSpPr>
      <xdr:spPr bwMode="auto">
        <a:xfrm>
          <a:off x="5762625" y="465391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287</xdr:row>
      <xdr:rowOff>0</xdr:rowOff>
    </xdr:from>
    <xdr:to>
      <xdr:col>8</xdr:col>
      <xdr:colOff>0</xdr:colOff>
      <xdr:row>287</xdr:row>
      <xdr:rowOff>0</xdr:rowOff>
    </xdr:to>
    <xdr:sp macro="" textlink="">
      <xdr:nvSpPr>
        <xdr:cNvPr id="655545" name="Line 83"/>
        <xdr:cNvSpPr>
          <a:spLocks noChangeShapeType="1"/>
        </xdr:cNvSpPr>
      </xdr:nvSpPr>
      <xdr:spPr bwMode="auto">
        <a:xfrm>
          <a:off x="1181100" y="4686300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283</xdr:row>
      <xdr:rowOff>0</xdr:rowOff>
    </xdr:from>
    <xdr:to>
      <xdr:col>5</xdr:col>
      <xdr:colOff>0</xdr:colOff>
      <xdr:row>286</xdr:row>
      <xdr:rowOff>161925</xdr:rowOff>
    </xdr:to>
    <xdr:sp macro="" textlink="">
      <xdr:nvSpPr>
        <xdr:cNvPr id="655546" name="Line 84"/>
        <xdr:cNvSpPr>
          <a:spLocks noChangeShapeType="1"/>
        </xdr:cNvSpPr>
      </xdr:nvSpPr>
      <xdr:spPr bwMode="auto">
        <a:xfrm>
          <a:off x="3838575" y="4621530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171450</xdr:colOff>
      <xdr:row>283</xdr:row>
      <xdr:rowOff>85725</xdr:rowOff>
    </xdr:from>
    <xdr:to>
      <xdr:col>3</xdr:col>
      <xdr:colOff>171450</xdr:colOff>
      <xdr:row>285</xdr:row>
      <xdr:rowOff>161925</xdr:rowOff>
    </xdr:to>
    <xdr:sp macro="" textlink="">
      <xdr:nvSpPr>
        <xdr:cNvPr id="655547" name="Line 85"/>
        <xdr:cNvSpPr>
          <a:spLocks noChangeShapeType="1"/>
        </xdr:cNvSpPr>
      </xdr:nvSpPr>
      <xdr:spPr bwMode="auto">
        <a:xfrm>
          <a:off x="2247900" y="4630102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285</xdr:row>
      <xdr:rowOff>0</xdr:rowOff>
    </xdr:from>
    <xdr:to>
      <xdr:col>5</xdr:col>
      <xdr:colOff>0</xdr:colOff>
      <xdr:row>285</xdr:row>
      <xdr:rowOff>0</xdr:rowOff>
    </xdr:to>
    <xdr:sp macro="" textlink="">
      <xdr:nvSpPr>
        <xdr:cNvPr id="655548" name="Line 86"/>
        <xdr:cNvSpPr>
          <a:spLocks noChangeShapeType="1"/>
        </xdr:cNvSpPr>
      </xdr:nvSpPr>
      <xdr:spPr bwMode="auto">
        <a:xfrm>
          <a:off x="1181100" y="4653915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133350</xdr:colOff>
      <xdr:row>284</xdr:row>
      <xdr:rowOff>152400</xdr:rowOff>
    </xdr:from>
    <xdr:to>
      <xdr:col>3</xdr:col>
      <xdr:colOff>190500</xdr:colOff>
      <xdr:row>285</xdr:row>
      <xdr:rowOff>47625</xdr:rowOff>
    </xdr:to>
    <xdr:sp macro="" textlink="">
      <xdr:nvSpPr>
        <xdr:cNvPr id="655549" name="Line 87"/>
        <xdr:cNvSpPr>
          <a:spLocks noChangeShapeType="1"/>
        </xdr:cNvSpPr>
      </xdr:nvSpPr>
      <xdr:spPr bwMode="auto">
        <a:xfrm flipH="1">
          <a:off x="2209800" y="46529625"/>
          <a:ext cx="5715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447675</xdr:colOff>
      <xdr:row>283</xdr:row>
      <xdr:rowOff>85725</xdr:rowOff>
    </xdr:from>
    <xdr:to>
      <xdr:col>2</xdr:col>
      <xdr:colOff>504825</xdr:colOff>
      <xdr:row>283</xdr:row>
      <xdr:rowOff>85725</xdr:rowOff>
    </xdr:to>
    <xdr:sp macro="" textlink="">
      <xdr:nvSpPr>
        <xdr:cNvPr id="655550" name="Line 88"/>
        <xdr:cNvSpPr>
          <a:spLocks noChangeShapeType="1"/>
        </xdr:cNvSpPr>
      </xdr:nvSpPr>
      <xdr:spPr bwMode="auto">
        <a:xfrm>
          <a:off x="1628775" y="46301025"/>
          <a:ext cx="571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283</xdr:row>
      <xdr:rowOff>95250</xdr:rowOff>
    </xdr:from>
    <xdr:to>
      <xdr:col>6</xdr:col>
      <xdr:colOff>0</xdr:colOff>
      <xdr:row>286</xdr:row>
      <xdr:rowOff>0</xdr:rowOff>
    </xdr:to>
    <xdr:sp macro="" textlink="">
      <xdr:nvSpPr>
        <xdr:cNvPr id="655551" name="Line 89"/>
        <xdr:cNvSpPr>
          <a:spLocks noChangeShapeType="1"/>
        </xdr:cNvSpPr>
      </xdr:nvSpPr>
      <xdr:spPr bwMode="auto">
        <a:xfrm>
          <a:off x="4486275" y="46310550"/>
          <a:ext cx="0" cy="390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283</xdr:row>
      <xdr:rowOff>95250</xdr:rowOff>
    </xdr:from>
    <xdr:to>
      <xdr:col>7</xdr:col>
      <xdr:colOff>0</xdr:colOff>
      <xdr:row>283</xdr:row>
      <xdr:rowOff>95250</xdr:rowOff>
    </xdr:to>
    <xdr:sp macro="" textlink="">
      <xdr:nvSpPr>
        <xdr:cNvPr id="655552" name="Line 90"/>
        <xdr:cNvSpPr>
          <a:spLocks noChangeShapeType="1"/>
        </xdr:cNvSpPr>
      </xdr:nvSpPr>
      <xdr:spPr bwMode="auto">
        <a:xfrm>
          <a:off x="4486275" y="46310550"/>
          <a:ext cx="600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285</xdr:row>
      <xdr:rowOff>0</xdr:rowOff>
    </xdr:from>
    <xdr:to>
      <xdr:col>6</xdr:col>
      <xdr:colOff>0</xdr:colOff>
      <xdr:row>285</xdr:row>
      <xdr:rowOff>0</xdr:rowOff>
    </xdr:to>
    <xdr:sp macro="" textlink="">
      <xdr:nvSpPr>
        <xdr:cNvPr id="655553" name="Line 91"/>
        <xdr:cNvSpPr>
          <a:spLocks noChangeShapeType="1"/>
        </xdr:cNvSpPr>
      </xdr:nvSpPr>
      <xdr:spPr bwMode="auto">
        <a:xfrm>
          <a:off x="3848100" y="46539150"/>
          <a:ext cx="6381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180975</xdr:colOff>
      <xdr:row>23</xdr:row>
      <xdr:rowOff>9525</xdr:rowOff>
    </xdr:from>
    <xdr:to>
      <xdr:col>5</xdr:col>
      <xdr:colOff>180975</xdr:colOff>
      <xdr:row>25</xdr:row>
      <xdr:rowOff>9525</xdr:rowOff>
    </xdr:to>
    <xdr:sp macro="" textlink="">
      <xdr:nvSpPr>
        <xdr:cNvPr id="655554" name="Line 92"/>
        <xdr:cNvSpPr>
          <a:spLocks noChangeShapeType="1"/>
        </xdr:cNvSpPr>
      </xdr:nvSpPr>
      <xdr:spPr bwMode="auto">
        <a:xfrm flipV="1">
          <a:off x="4019550" y="4000500"/>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23</xdr:row>
      <xdr:rowOff>0</xdr:rowOff>
    </xdr:from>
    <xdr:to>
      <xdr:col>8</xdr:col>
      <xdr:colOff>561975</xdr:colOff>
      <xdr:row>23</xdr:row>
      <xdr:rowOff>0</xdr:rowOff>
    </xdr:to>
    <xdr:sp macro="" textlink="">
      <xdr:nvSpPr>
        <xdr:cNvPr id="655555" name="Line 93"/>
        <xdr:cNvSpPr>
          <a:spLocks noChangeShapeType="1"/>
        </xdr:cNvSpPr>
      </xdr:nvSpPr>
      <xdr:spPr bwMode="auto">
        <a:xfrm>
          <a:off x="3848100" y="3990975"/>
          <a:ext cx="24765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323850</xdr:colOff>
      <xdr:row>23</xdr:row>
      <xdr:rowOff>0</xdr:rowOff>
    </xdr:from>
    <xdr:to>
      <xdr:col>8</xdr:col>
      <xdr:colOff>323850</xdr:colOff>
      <xdr:row>25</xdr:row>
      <xdr:rowOff>0</xdr:rowOff>
    </xdr:to>
    <xdr:sp macro="" textlink="">
      <xdr:nvSpPr>
        <xdr:cNvPr id="655556" name="Line 94"/>
        <xdr:cNvSpPr>
          <a:spLocks noChangeShapeType="1"/>
        </xdr:cNvSpPr>
      </xdr:nvSpPr>
      <xdr:spPr bwMode="auto">
        <a:xfrm flipV="1">
          <a:off x="6086475" y="39909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133350</xdr:colOff>
      <xdr:row>23</xdr:row>
      <xdr:rowOff>133350</xdr:rowOff>
    </xdr:from>
    <xdr:to>
      <xdr:col>5</xdr:col>
      <xdr:colOff>219075</xdr:colOff>
      <xdr:row>24</xdr:row>
      <xdr:rowOff>57150</xdr:rowOff>
    </xdr:to>
    <xdr:sp macro="" textlink="">
      <xdr:nvSpPr>
        <xdr:cNvPr id="655557" name="Line 95"/>
        <xdr:cNvSpPr>
          <a:spLocks noChangeShapeType="1"/>
        </xdr:cNvSpPr>
      </xdr:nvSpPr>
      <xdr:spPr bwMode="auto">
        <a:xfrm flipH="1">
          <a:off x="3971925" y="4124325"/>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171450</xdr:colOff>
      <xdr:row>23</xdr:row>
      <xdr:rowOff>114300</xdr:rowOff>
    </xdr:from>
    <xdr:to>
      <xdr:col>4</xdr:col>
      <xdr:colOff>257175</xdr:colOff>
      <xdr:row>24</xdr:row>
      <xdr:rowOff>38100</xdr:rowOff>
    </xdr:to>
    <xdr:sp macro="" textlink="">
      <xdr:nvSpPr>
        <xdr:cNvPr id="655558" name="Line 96"/>
        <xdr:cNvSpPr>
          <a:spLocks noChangeShapeType="1"/>
        </xdr:cNvSpPr>
      </xdr:nvSpPr>
      <xdr:spPr bwMode="auto">
        <a:xfrm flipH="1">
          <a:off x="3076575" y="4105275"/>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23</xdr:row>
      <xdr:rowOff>123825</xdr:rowOff>
    </xdr:from>
    <xdr:to>
      <xdr:col>0</xdr:col>
      <xdr:colOff>180975</xdr:colOff>
      <xdr:row>24</xdr:row>
      <xdr:rowOff>38100</xdr:rowOff>
    </xdr:to>
    <xdr:sp macro="" textlink="">
      <xdr:nvSpPr>
        <xdr:cNvPr id="655559" name="Line 97"/>
        <xdr:cNvSpPr>
          <a:spLocks noChangeShapeType="1"/>
        </xdr:cNvSpPr>
      </xdr:nvSpPr>
      <xdr:spPr bwMode="auto">
        <a:xfrm>
          <a:off x="180975" y="411480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200025</xdr:colOff>
      <xdr:row>54</xdr:row>
      <xdr:rowOff>161925</xdr:rowOff>
    </xdr:from>
    <xdr:to>
      <xdr:col>4</xdr:col>
      <xdr:colOff>200025</xdr:colOff>
      <xdr:row>56</xdr:row>
      <xdr:rowOff>161925</xdr:rowOff>
    </xdr:to>
    <xdr:sp macro="" textlink="">
      <xdr:nvSpPr>
        <xdr:cNvPr id="655560" name="Line 98"/>
        <xdr:cNvSpPr>
          <a:spLocks noChangeShapeType="1"/>
        </xdr:cNvSpPr>
      </xdr:nvSpPr>
      <xdr:spPr bwMode="auto">
        <a:xfrm flipV="1">
          <a:off x="310515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180975</xdr:colOff>
      <xdr:row>54</xdr:row>
      <xdr:rowOff>161925</xdr:rowOff>
    </xdr:from>
    <xdr:to>
      <xdr:col>5</xdr:col>
      <xdr:colOff>180975</xdr:colOff>
      <xdr:row>56</xdr:row>
      <xdr:rowOff>161925</xdr:rowOff>
    </xdr:to>
    <xdr:sp macro="" textlink="">
      <xdr:nvSpPr>
        <xdr:cNvPr id="655561" name="Line 99"/>
        <xdr:cNvSpPr>
          <a:spLocks noChangeShapeType="1"/>
        </xdr:cNvSpPr>
      </xdr:nvSpPr>
      <xdr:spPr bwMode="auto">
        <a:xfrm flipV="1">
          <a:off x="4019550" y="91725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390525</xdr:colOff>
      <xdr:row>55</xdr:row>
      <xdr:rowOff>0</xdr:rowOff>
    </xdr:from>
    <xdr:to>
      <xdr:col>8</xdr:col>
      <xdr:colOff>676275</xdr:colOff>
      <xdr:row>55</xdr:row>
      <xdr:rowOff>0</xdr:rowOff>
    </xdr:to>
    <xdr:sp macro="" textlink="">
      <xdr:nvSpPr>
        <xdr:cNvPr id="655562" name="Line 100"/>
        <xdr:cNvSpPr>
          <a:spLocks noChangeShapeType="1"/>
        </xdr:cNvSpPr>
      </xdr:nvSpPr>
      <xdr:spPr bwMode="auto">
        <a:xfrm>
          <a:off x="3295650" y="9172575"/>
          <a:ext cx="314325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590550</xdr:colOff>
      <xdr:row>53</xdr:row>
      <xdr:rowOff>9525</xdr:rowOff>
    </xdr:from>
    <xdr:to>
      <xdr:col>2</xdr:col>
      <xdr:colOff>590550</xdr:colOff>
      <xdr:row>55</xdr:row>
      <xdr:rowOff>0</xdr:rowOff>
    </xdr:to>
    <xdr:sp macro="" textlink="">
      <xdr:nvSpPr>
        <xdr:cNvPr id="655563" name="Line 101"/>
        <xdr:cNvSpPr>
          <a:spLocks noChangeShapeType="1"/>
        </xdr:cNvSpPr>
      </xdr:nvSpPr>
      <xdr:spPr bwMode="auto">
        <a:xfrm>
          <a:off x="1771650" y="885825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53</xdr:row>
      <xdr:rowOff>0</xdr:rowOff>
    </xdr:from>
    <xdr:to>
      <xdr:col>4</xdr:col>
      <xdr:colOff>0</xdr:colOff>
      <xdr:row>54</xdr:row>
      <xdr:rowOff>161925</xdr:rowOff>
    </xdr:to>
    <xdr:sp macro="" textlink="">
      <xdr:nvSpPr>
        <xdr:cNvPr id="655564" name="Line 102"/>
        <xdr:cNvSpPr>
          <a:spLocks noChangeShapeType="1"/>
        </xdr:cNvSpPr>
      </xdr:nvSpPr>
      <xdr:spPr bwMode="auto">
        <a:xfrm>
          <a:off x="2905125" y="8848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590550</xdr:colOff>
      <xdr:row>53</xdr:row>
      <xdr:rowOff>0</xdr:rowOff>
    </xdr:from>
    <xdr:to>
      <xdr:col>4</xdr:col>
      <xdr:colOff>0</xdr:colOff>
      <xdr:row>53</xdr:row>
      <xdr:rowOff>0</xdr:rowOff>
    </xdr:to>
    <xdr:sp macro="" textlink="">
      <xdr:nvSpPr>
        <xdr:cNvPr id="655565" name="Line 103"/>
        <xdr:cNvSpPr>
          <a:spLocks noChangeShapeType="1"/>
        </xdr:cNvSpPr>
      </xdr:nvSpPr>
      <xdr:spPr bwMode="auto">
        <a:xfrm>
          <a:off x="1771650" y="8848725"/>
          <a:ext cx="11334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180975</xdr:colOff>
      <xdr:row>51</xdr:row>
      <xdr:rowOff>66675</xdr:rowOff>
    </xdr:from>
    <xdr:to>
      <xdr:col>3</xdr:col>
      <xdr:colOff>180975</xdr:colOff>
      <xdr:row>55</xdr:row>
      <xdr:rowOff>0</xdr:rowOff>
    </xdr:to>
    <xdr:sp macro="" textlink="">
      <xdr:nvSpPr>
        <xdr:cNvPr id="655566" name="Line 104"/>
        <xdr:cNvSpPr>
          <a:spLocks noChangeShapeType="1"/>
        </xdr:cNvSpPr>
      </xdr:nvSpPr>
      <xdr:spPr bwMode="auto">
        <a:xfrm>
          <a:off x="2257425" y="8591550"/>
          <a:ext cx="0" cy="581025"/>
        </a:xfrm>
        <a:prstGeom prst="line">
          <a:avLst/>
        </a:prstGeom>
        <a:noFill/>
        <a:ln w="9525">
          <a:solidFill>
            <a:srgbClr val="000000"/>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180975</xdr:colOff>
      <xdr:row>52</xdr:row>
      <xdr:rowOff>0</xdr:rowOff>
    </xdr:from>
    <xdr:to>
      <xdr:col>5</xdr:col>
      <xdr:colOff>9525</xdr:colOff>
      <xdr:row>52</xdr:row>
      <xdr:rowOff>0</xdr:rowOff>
    </xdr:to>
    <xdr:sp macro="" textlink="">
      <xdr:nvSpPr>
        <xdr:cNvPr id="655567" name="Line 105"/>
        <xdr:cNvSpPr>
          <a:spLocks noChangeShapeType="1"/>
        </xdr:cNvSpPr>
      </xdr:nvSpPr>
      <xdr:spPr bwMode="auto">
        <a:xfrm>
          <a:off x="2257425" y="8686800"/>
          <a:ext cx="15906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180975</xdr:colOff>
      <xdr:row>165</xdr:row>
      <xdr:rowOff>0</xdr:rowOff>
    </xdr:from>
    <xdr:to>
      <xdr:col>5</xdr:col>
      <xdr:colOff>0</xdr:colOff>
      <xdr:row>165</xdr:row>
      <xdr:rowOff>0</xdr:rowOff>
    </xdr:to>
    <xdr:sp macro="" textlink="">
      <xdr:nvSpPr>
        <xdr:cNvPr id="655568" name="Line 106"/>
        <xdr:cNvSpPr>
          <a:spLocks noChangeShapeType="1"/>
        </xdr:cNvSpPr>
      </xdr:nvSpPr>
      <xdr:spPr bwMode="auto">
        <a:xfrm>
          <a:off x="180975" y="27031950"/>
          <a:ext cx="36576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163</xdr:row>
      <xdr:rowOff>9525</xdr:rowOff>
    </xdr:from>
    <xdr:to>
      <xdr:col>2</xdr:col>
      <xdr:colOff>0</xdr:colOff>
      <xdr:row>165</xdr:row>
      <xdr:rowOff>0</xdr:rowOff>
    </xdr:to>
    <xdr:sp macro="" textlink="">
      <xdr:nvSpPr>
        <xdr:cNvPr id="655569" name="Line 107"/>
        <xdr:cNvSpPr>
          <a:spLocks noChangeShapeType="1"/>
        </xdr:cNvSpPr>
      </xdr:nvSpPr>
      <xdr:spPr bwMode="auto">
        <a:xfrm>
          <a:off x="1181100" y="26708100"/>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163</xdr:row>
      <xdr:rowOff>0</xdr:rowOff>
    </xdr:from>
    <xdr:to>
      <xdr:col>7</xdr:col>
      <xdr:colOff>0</xdr:colOff>
      <xdr:row>163</xdr:row>
      <xdr:rowOff>0</xdr:rowOff>
    </xdr:to>
    <xdr:sp macro="" textlink="">
      <xdr:nvSpPr>
        <xdr:cNvPr id="655570" name="Line 108"/>
        <xdr:cNvSpPr>
          <a:spLocks noChangeShapeType="1"/>
        </xdr:cNvSpPr>
      </xdr:nvSpPr>
      <xdr:spPr bwMode="auto">
        <a:xfrm>
          <a:off x="1181100" y="26698575"/>
          <a:ext cx="3905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161</xdr:row>
      <xdr:rowOff>19050</xdr:rowOff>
    </xdr:from>
    <xdr:to>
      <xdr:col>5</xdr:col>
      <xdr:colOff>0</xdr:colOff>
      <xdr:row>169</xdr:row>
      <xdr:rowOff>38100</xdr:rowOff>
    </xdr:to>
    <xdr:sp macro="" textlink="">
      <xdr:nvSpPr>
        <xdr:cNvPr id="655571" name="Line 109"/>
        <xdr:cNvSpPr>
          <a:spLocks noChangeShapeType="1"/>
        </xdr:cNvSpPr>
      </xdr:nvSpPr>
      <xdr:spPr bwMode="auto">
        <a:xfrm>
          <a:off x="3838575" y="26393775"/>
          <a:ext cx="0" cy="1333500"/>
        </a:xfrm>
        <a:prstGeom prst="line">
          <a:avLst/>
        </a:prstGeom>
        <a:noFill/>
        <a:ln w="9525">
          <a:solidFill>
            <a:srgbClr val="000000"/>
          </a:solidFill>
          <a:prstDash val="dash"/>
          <a:round/>
          <a:headEnd type="oval" w="med" len="med"/>
          <a:tailEnd type="stealth" w="lg" len="med"/>
        </a:ln>
        <a:extLst>
          <a:ext uri="{909E8E84-426E-40DD-AFC4-6F175D3DCCD1}">
            <a14:hiddenFill xmlns:a14="http://schemas.microsoft.com/office/drawing/2010/main">
              <a:noFill/>
            </a14:hiddenFill>
          </a:ext>
        </a:extLst>
      </xdr:spPr>
    </xdr:sp>
    <xdr:clientData/>
  </xdr:twoCellAnchor>
  <xdr:twoCellAnchor>
    <xdr:from>
      <xdr:col>1</xdr:col>
      <xdr:colOff>0</xdr:colOff>
      <xdr:row>165</xdr:row>
      <xdr:rowOff>123825</xdr:rowOff>
    </xdr:from>
    <xdr:to>
      <xdr:col>1</xdr:col>
      <xdr:colOff>0</xdr:colOff>
      <xdr:row>166</xdr:row>
      <xdr:rowOff>38100</xdr:rowOff>
    </xdr:to>
    <xdr:sp macro="" textlink="">
      <xdr:nvSpPr>
        <xdr:cNvPr id="655572" name="Line 110"/>
        <xdr:cNvSpPr>
          <a:spLocks noChangeShapeType="1"/>
        </xdr:cNvSpPr>
      </xdr:nvSpPr>
      <xdr:spPr bwMode="auto">
        <a:xfrm>
          <a:off x="828675" y="27155775"/>
          <a:ext cx="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581025</xdr:colOff>
      <xdr:row>165</xdr:row>
      <xdr:rowOff>142875</xdr:rowOff>
    </xdr:from>
    <xdr:to>
      <xdr:col>8</xdr:col>
      <xdr:colOff>581025</xdr:colOff>
      <xdr:row>166</xdr:row>
      <xdr:rowOff>57150</xdr:rowOff>
    </xdr:to>
    <xdr:sp macro="" textlink="">
      <xdr:nvSpPr>
        <xdr:cNvPr id="655573" name="Line 111"/>
        <xdr:cNvSpPr>
          <a:spLocks noChangeShapeType="1"/>
        </xdr:cNvSpPr>
      </xdr:nvSpPr>
      <xdr:spPr bwMode="auto">
        <a:xfrm>
          <a:off x="6343650" y="27174825"/>
          <a:ext cx="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166</xdr:row>
      <xdr:rowOff>0</xdr:rowOff>
    </xdr:from>
    <xdr:to>
      <xdr:col>8</xdr:col>
      <xdr:colOff>571500</xdr:colOff>
      <xdr:row>166</xdr:row>
      <xdr:rowOff>0</xdr:rowOff>
    </xdr:to>
    <xdr:sp macro="" textlink="">
      <xdr:nvSpPr>
        <xdr:cNvPr id="655574" name="Line 112"/>
        <xdr:cNvSpPr>
          <a:spLocks noChangeShapeType="1"/>
        </xdr:cNvSpPr>
      </xdr:nvSpPr>
      <xdr:spPr bwMode="auto">
        <a:xfrm>
          <a:off x="180975" y="27203400"/>
          <a:ext cx="615315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647700</xdr:colOff>
      <xdr:row>165</xdr:row>
      <xdr:rowOff>123825</xdr:rowOff>
    </xdr:from>
    <xdr:to>
      <xdr:col>1</xdr:col>
      <xdr:colOff>123825</xdr:colOff>
      <xdr:row>166</xdr:row>
      <xdr:rowOff>47625</xdr:rowOff>
    </xdr:to>
    <xdr:sp macro="" textlink="">
      <xdr:nvSpPr>
        <xdr:cNvPr id="655575" name="Line 113"/>
        <xdr:cNvSpPr>
          <a:spLocks noChangeShapeType="1"/>
        </xdr:cNvSpPr>
      </xdr:nvSpPr>
      <xdr:spPr bwMode="auto">
        <a:xfrm flipH="1">
          <a:off x="647700" y="27155775"/>
          <a:ext cx="304800"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266700</xdr:colOff>
      <xdr:row>165</xdr:row>
      <xdr:rowOff>123825</xdr:rowOff>
    </xdr:from>
    <xdr:to>
      <xdr:col>8</xdr:col>
      <xdr:colOff>381000</xdr:colOff>
      <xdr:row>166</xdr:row>
      <xdr:rowOff>47625</xdr:rowOff>
    </xdr:to>
    <xdr:sp macro="" textlink="">
      <xdr:nvSpPr>
        <xdr:cNvPr id="655576" name="Line 114"/>
        <xdr:cNvSpPr>
          <a:spLocks noChangeShapeType="1"/>
        </xdr:cNvSpPr>
      </xdr:nvSpPr>
      <xdr:spPr bwMode="auto">
        <a:xfrm flipH="1">
          <a:off x="6029325" y="27155775"/>
          <a:ext cx="114300"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165</xdr:row>
      <xdr:rowOff>0</xdr:rowOff>
    </xdr:from>
    <xdr:to>
      <xdr:col>1</xdr:col>
      <xdr:colOff>0</xdr:colOff>
      <xdr:row>167</xdr:row>
      <xdr:rowOff>0</xdr:rowOff>
    </xdr:to>
    <xdr:sp macro="" textlink="">
      <xdr:nvSpPr>
        <xdr:cNvPr id="655577" name="Line 115"/>
        <xdr:cNvSpPr>
          <a:spLocks noChangeShapeType="1"/>
        </xdr:cNvSpPr>
      </xdr:nvSpPr>
      <xdr:spPr bwMode="auto">
        <a:xfrm flipV="1">
          <a:off x="828675" y="27031950"/>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209550</xdr:colOff>
      <xdr:row>165</xdr:row>
      <xdr:rowOff>0</xdr:rowOff>
    </xdr:from>
    <xdr:to>
      <xdr:col>4</xdr:col>
      <xdr:colOff>209550</xdr:colOff>
      <xdr:row>167</xdr:row>
      <xdr:rowOff>0</xdr:rowOff>
    </xdr:to>
    <xdr:sp macro="" textlink="">
      <xdr:nvSpPr>
        <xdr:cNvPr id="655578" name="Line 116"/>
        <xdr:cNvSpPr>
          <a:spLocks noChangeShapeType="1"/>
        </xdr:cNvSpPr>
      </xdr:nvSpPr>
      <xdr:spPr bwMode="auto">
        <a:xfrm flipV="1">
          <a:off x="3114675" y="27031950"/>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xdr:colOff>
      <xdr:row>162</xdr:row>
      <xdr:rowOff>0</xdr:rowOff>
    </xdr:from>
    <xdr:to>
      <xdr:col>7</xdr:col>
      <xdr:colOff>9525</xdr:colOff>
      <xdr:row>162</xdr:row>
      <xdr:rowOff>0</xdr:rowOff>
    </xdr:to>
    <xdr:sp macro="" textlink="">
      <xdr:nvSpPr>
        <xdr:cNvPr id="655579" name="Line 117"/>
        <xdr:cNvSpPr>
          <a:spLocks noChangeShapeType="1"/>
        </xdr:cNvSpPr>
      </xdr:nvSpPr>
      <xdr:spPr bwMode="auto">
        <a:xfrm>
          <a:off x="3867150" y="26536650"/>
          <a:ext cx="12287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180975</xdr:colOff>
      <xdr:row>196</xdr:row>
      <xdr:rowOff>0</xdr:rowOff>
    </xdr:from>
    <xdr:to>
      <xdr:col>4</xdr:col>
      <xdr:colOff>381000</xdr:colOff>
      <xdr:row>196</xdr:row>
      <xdr:rowOff>0</xdr:rowOff>
    </xdr:to>
    <xdr:sp macro="" textlink="">
      <xdr:nvSpPr>
        <xdr:cNvPr id="655580" name="Line 118"/>
        <xdr:cNvSpPr>
          <a:spLocks noChangeShapeType="1"/>
        </xdr:cNvSpPr>
      </xdr:nvSpPr>
      <xdr:spPr bwMode="auto">
        <a:xfrm>
          <a:off x="180975" y="32089725"/>
          <a:ext cx="310515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191</xdr:row>
      <xdr:rowOff>0</xdr:rowOff>
    </xdr:from>
    <xdr:to>
      <xdr:col>5</xdr:col>
      <xdr:colOff>0</xdr:colOff>
      <xdr:row>195</xdr:row>
      <xdr:rowOff>161925</xdr:rowOff>
    </xdr:to>
    <xdr:sp macro="" textlink="">
      <xdr:nvSpPr>
        <xdr:cNvPr id="655581" name="Line 119"/>
        <xdr:cNvSpPr>
          <a:spLocks noChangeShapeType="1"/>
        </xdr:cNvSpPr>
      </xdr:nvSpPr>
      <xdr:spPr bwMode="auto">
        <a:xfrm>
          <a:off x="3838575" y="31270575"/>
          <a:ext cx="0" cy="819150"/>
        </a:xfrm>
        <a:prstGeom prst="line">
          <a:avLst/>
        </a:prstGeom>
        <a:noFill/>
        <a:ln w="9525">
          <a:solidFill>
            <a:srgbClr val="000000"/>
          </a:solidFill>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193</xdr:row>
      <xdr:rowOff>161925</xdr:rowOff>
    </xdr:from>
    <xdr:to>
      <xdr:col>8</xdr:col>
      <xdr:colOff>0</xdr:colOff>
      <xdr:row>195</xdr:row>
      <xdr:rowOff>161925</xdr:rowOff>
    </xdr:to>
    <xdr:sp macro="" textlink="">
      <xdr:nvSpPr>
        <xdr:cNvPr id="655582" name="Line 120"/>
        <xdr:cNvSpPr>
          <a:spLocks noChangeShapeType="1"/>
        </xdr:cNvSpPr>
      </xdr:nvSpPr>
      <xdr:spPr bwMode="auto">
        <a:xfrm>
          <a:off x="5762625" y="3176587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fLocksWithSheet="0"/>
  </xdr:twoCellAnchor>
  <xdr:twoCellAnchor>
    <xdr:from>
      <xdr:col>6</xdr:col>
      <xdr:colOff>219075</xdr:colOff>
      <xdr:row>191</xdr:row>
      <xdr:rowOff>85725</xdr:rowOff>
    </xdr:from>
    <xdr:to>
      <xdr:col>6</xdr:col>
      <xdr:colOff>219075</xdr:colOff>
      <xdr:row>195</xdr:row>
      <xdr:rowOff>161925</xdr:rowOff>
    </xdr:to>
    <xdr:sp macro="" textlink="">
      <xdr:nvSpPr>
        <xdr:cNvPr id="655583" name="Line 121"/>
        <xdr:cNvSpPr>
          <a:spLocks noChangeShapeType="1"/>
        </xdr:cNvSpPr>
      </xdr:nvSpPr>
      <xdr:spPr bwMode="auto">
        <a:xfrm>
          <a:off x="4705350" y="31356300"/>
          <a:ext cx="0" cy="73342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161925</xdr:colOff>
      <xdr:row>197</xdr:row>
      <xdr:rowOff>0</xdr:rowOff>
    </xdr:from>
    <xdr:to>
      <xdr:col>8</xdr:col>
      <xdr:colOff>685800</xdr:colOff>
      <xdr:row>197</xdr:row>
      <xdr:rowOff>0</xdr:rowOff>
    </xdr:to>
    <xdr:sp macro="" textlink="">
      <xdr:nvSpPr>
        <xdr:cNvPr id="655584" name="Line 122"/>
        <xdr:cNvSpPr>
          <a:spLocks noChangeShapeType="1"/>
        </xdr:cNvSpPr>
      </xdr:nvSpPr>
      <xdr:spPr bwMode="auto">
        <a:xfrm>
          <a:off x="161925" y="32251650"/>
          <a:ext cx="62865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196</xdr:row>
      <xdr:rowOff>123825</xdr:rowOff>
    </xdr:from>
    <xdr:to>
      <xdr:col>1</xdr:col>
      <xdr:colOff>238125</xdr:colOff>
      <xdr:row>197</xdr:row>
      <xdr:rowOff>47625</xdr:rowOff>
    </xdr:to>
    <xdr:sp macro="" textlink="">
      <xdr:nvSpPr>
        <xdr:cNvPr id="655585" name="Line 123"/>
        <xdr:cNvSpPr>
          <a:spLocks noChangeShapeType="1"/>
        </xdr:cNvSpPr>
      </xdr:nvSpPr>
      <xdr:spPr bwMode="auto">
        <a:xfrm flipH="1">
          <a:off x="981075" y="3221355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196</xdr:row>
      <xdr:rowOff>0</xdr:rowOff>
    </xdr:from>
    <xdr:to>
      <xdr:col>1</xdr:col>
      <xdr:colOff>200025</xdr:colOff>
      <xdr:row>198</xdr:row>
      <xdr:rowOff>0</xdr:rowOff>
    </xdr:to>
    <xdr:sp macro="" textlink="">
      <xdr:nvSpPr>
        <xdr:cNvPr id="655586" name="Line 124"/>
        <xdr:cNvSpPr>
          <a:spLocks noChangeShapeType="1"/>
        </xdr:cNvSpPr>
      </xdr:nvSpPr>
      <xdr:spPr bwMode="auto">
        <a:xfrm flipV="1">
          <a:off x="102870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390525</xdr:colOff>
      <xdr:row>196</xdr:row>
      <xdr:rowOff>0</xdr:rowOff>
    </xdr:from>
    <xdr:to>
      <xdr:col>8</xdr:col>
      <xdr:colOff>390525</xdr:colOff>
      <xdr:row>198</xdr:row>
      <xdr:rowOff>0</xdr:rowOff>
    </xdr:to>
    <xdr:sp macro="" textlink="">
      <xdr:nvSpPr>
        <xdr:cNvPr id="655587" name="Line 125"/>
        <xdr:cNvSpPr>
          <a:spLocks noChangeShapeType="1"/>
        </xdr:cNvSpPr>
      </xdr:nvSpPr>
      <xdr:spPr bwMode="auto">
        <a:xfrm flipV="1">
          <a:off x="615315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193</xdr:row>
      <xdr:rowOff>0</xdr:rowOff>
    </xdr:from>
    <xdr:to>
      <xdr:col>7</xdr:col>
      <xdr:colOff>600075</xdr:colOff>
      <xdr:row>193</xdr:row>
      <xdr:rowOff>0</xdr:rowOff>
    </xdr:to>
    <xdr:sp macro="" textlink="">
      <xdr:nvSpPr>
        <xdr:cNvPr id="655588" name="Line 126"/>
        <xdr:cNvSpPr>
          <a:spLocks noChangeShapeType="1"/>
        </xdr:cNvSpPr>
      </xdr:nvSpPr>
      <xdr:spPr bwMode="auto">
        <a:xfrm>
          <a:off x="3848100" y="31603950"/>
          <a:ext cx="18383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192</xdr:row>
      <xdr:rowOff>104775</xdr:rowOff>
    </xdr:from>
    <xdr:to>
      <xdr:col>5</xdr:col>
      <xdr:colOff>0</xdr:colOff>
      <xdr:row>193</xdr:row>
      <xdr:rowOff>66675</xdr:rowOff>
    </xdr:to>
    <xdr:sp macro="" textlink="">
      <xdr:nvSpPr>
        <xdr:cNvPr id="655589" name="Line 127"/>
        <xdr:cNvSpPr>
          <a:spLocks noChangeShapeType="1"/>
        </xdr:cNvSpPr>
      </xdr:nvSpPr>
      <xdr:spPr bwMode="auto">
        <a:xfrm>
          <a:off x="3838575" y="31537275"/>
          <a:ext cx="0" cy="133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685800</xdr:colOff>
      <xdr:row>196</xdr:row>
      <xdr:rowOff>123825</xdr:rowOff>
    </xdr:from>
    <xdr:to>
      <xdr:col>8</xdr:col>
      <xdr:colOff>685800</xdr:colOff>
      <xdr:row>197</xdr:row>
      <xdr:rowOff>38100</xdr:rowOff>
    </xdr:to>
    <xdr:sp macro="" textlink="">
      <xdr:nvSpPr>
        <xdr:cNvPr id="655590" name="Line 128"/>
        <xdr:cNvSpPr>
          <a:spLocks noChangeShapeType="1"/>
        </xdr:cNvSpPr>
      </xdr:nvSpPr>
      <xdr:spPr bwMode="auto">
        <a:xfrm>
          <a:off x="6448425" y="3221355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304800</xdr:colOff>
      <xdr:row>196</xdr:row>
      <xdr:rowOff>114300</xdr:rowOff>
    </xdr:from>
    <xdr:to>
      <xdr:col>8</xdr:col>
      <xdr:colOff>485775</xdr:colOff>
      <xdr:row>197</xdr:row>
      <xdr:rowOff>47625</xdr:rowOff>
    </xdr:to>
    <xdr:sp macro="" textlink="">
      <xdr:nvSpPr>
        <xdr:cNvPr id="655591" name="Line 129"/>
        <xdr:cNvSpPr>
          <a:spLocks noChangeShapeType="1"/>
        </xdr:cNvSpPr>
      </xdr:nvSpPr>
      <xdr:spPr bwMode="auto">
        <a:xfrm flipH="1">
          <a:off x="6067425" y="32204025"/>
          <a:ext cx="18097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196</xdr:row>
      <xdr:rowOff>123825</xdr:rowOff>
    </xdr:from>
    <xdr:to>
      <xdr:col>0</xdr:col>
      <xdr:colOff>180975</xdr:colOff>
      <xdr:row>197</xdr:row>
      <xdr:rowOff>38100</xdr:rowOff>
    </xdr:to>
    <xdr:sp macro="" textlink="">
      <xdr:nvSpPr>
        <xdr:cNvPr id="655592" name="Line 130"/>
        <xdr:cNvSpPr>
          <a:spLocks noChangeShapeType="1"/>
        </xdr:cNvSpPr>
      </xdr:nvSpPr>
      <xdr:spPr bwMode="auto">
        <a:xfrm>
          <a:off x="180975" y="32213550"/>
          <a:ext cx="0" cy="76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196</xdr:row>
      <xdr:rowOff>123825</xdr:rowOff>
    </xdr:from>
    <xdr:to>
      <xdr:col>1</xdr:col>
      <xdr:colOff>238125</xdr:colOff>
      <xdr:row>197</xdr:row>
      <xdr:rowOff>47625</xdr:rowOff>
    </xdr:to>
    <xdr:sp macro="" textlink="">
      <xdr:nvSpPr>
        <xdr:cNvPr id="655593" name="Line 131"/>
        <xdr:cNvSpPr>
          <a:spLocks noChangeShapeType="1"/>
        </xdr:cNvSpPr>
      </xdr:nvSpPr>
      <xdr:spPr bwMode="auto">
        <a:xfrm flipH="1">
          <a:off x="981075" y="32213550"/>
          <a:ext cx="857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196</xdr:row>
      <xdr:rowOff>0</xdr:rowOff>
    </xdr:from>
    <xdr:to>
      <xdr:col>1</xdr:col>
      <xdr:colOff>200025</xdr:colOff>
      <xdr:row>198</xdr:row>
      <xdr:rowOff>0</xdr:rowOff>
    </xdr:to>
    <xdr:sp macro="" textlink="">
      <xdr:nvSpPr>
        <xdr:cNvPr id="655594" name="Line 132"/>
        <xdr:cNvSpPr>
          <a:spLocks noChangeShapeType="1"/>
        </xdr:cNvSpPr>
      </xdr:nvSpPr>
      <xdr:spPr bwMode="auto">
        <a:xfrm flipV="1">
          <a:off x="102870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47625</xdr:colOff>
      <xdr:row>219</xdr:row>
      <xdr:rowOff>0</xdr:rowOff>
    </xdr:from>
    <xdr:to>
      <xdr:col>7</xdr:col>
      <xdr:colOff>19050</xdr:colOff>
      <xdr:row>219</xdr:row>
      <xdr:rowOff>0</xdr:rowOff>
    </xdr:to>
    <xdr:sp macro="" textlink="">
      <xdr:nvSpPr>
        <xdr:cNvPr id="134" name="Text Box 133"/>
        <xdr:cNvSpPr txBox="1">
          <a:spLocks noChangeArrowheads="1"/>
        </xdr:cNvSpPr>
      </xdr:nvSpPr>
      <xdr:spPr bwMode="auto">
        <a:xfrm>
          <a:off x="4533900" y="3585210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219</xdr:row>
      <xdr:rowOff>0</xdr:rowOff>
    </xdr:from>
    <xdr:to>
      <xdr:col>4</xdr:col>
      <xdr:colOff>38100</xdr:colOff>
      <xdr:row>219</xdr:row>
      <xdr:rowOff>0</xdr:rowOff>
    </xdr:to>
    <xdr:sp macro="" textlink="">
      <xdr:nvSpPr>
        <xdr:cNvPr id="135" name="Text Box 134"/>
        <xdr:cNvSpPr txBox="1">
          <a:spLocks noChangeArrowheads="1"/>
        </xdr:cNvSpPr>
      </xdr:nvSpPr>
      <xdr:spPr bwMode="auto">
        <a:xfrm>
          <a:off x="2133600" y="358521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183</xdr:row>
      <xdr:rowOff>0</xdr:rowOff>
    </xdr:from>
    <xdr:to>
      <xdr:col>8</xdr:col>
      <xdr:colOff>0</xdr:colOff>
      <xdr:row>183</xdr:row>
      <xdr:rowOff>0</xdr:rowOff>
    </xdr:to>
    <xdr:sp macro="" textlink="">
      <xdr:nvSpPr>
        <xdr:cNvPr id="655597" name="Line 135"/>
        <xdr:cNvSpPr>
          <a:spLocks noChangeShapeType="1"/>
        </xdr:cNvSpPr>
      </xdr:nvSpPr>
      <xdr:spPr bwMode="auto">
        <a:xfrm>
          <a:off x="1181100" y="2997517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182</xdr:row>
      <xdr:rowOff>0</xdr:rowOff>
    </xdr:from>
    <xdr:to>
      <xdr:col>2</xdr:col>
      <xdr:colOff>0</xdr:colOff>
      <xdr:row>182</xdr:row>
      <xdr:rowOff>0</xdr:rowOff>
    </xdr:to>
    <xdr:sp macro="" textlink="">
      <xdr:nvSpPr>
        <xdr:cNvPr id="655598" name="Line 136"/>
        <xdr:cNvSpPr>
          <a:spLocks noChangeShapeType="1"/>
        </xdr:cNvSpPr>
      </xdr:nvSpPr>
      <xdr:spPr bwMode="auto">
        <a:xfrm>
          <a:off x="1181100" y="2981325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182</xdr:row>
      <xdr:rowOff>0</xdr:rowOff>
    </xdr:from>
    <xdr:to>
      <xdr:col>8</xdr:col>
      <xdr:colOff>257175</xdr:colOff>
      <xdr:row>182</xdr:row>
      <xdr:rowOff>0</xdr:rowOff>
    </xdr:to>
    <xdr:sp macro="" textlink="">
      <xdr:nvSpPr>
        <xdr:cNvPr id="655599" name="Line 137"/>
        <xdr:cNvSpPr>
          <a:spLocks noChangeShapeType="1"/>
        </xdr:cNvSpPr>
      </xdr:nvSpPr>
      <xdr:spPr bwMode="auto">
        <a:xfrm>
          <a:off x="5762625" y="2981325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182</xdr:row>
      <xdr:rowOff>0</xdr:rowOff>
    </xdr:from>
    <xdr:to>
      <xdr:col>2</xdr:col>
      <xdr:colOff>0</xdr:colOff>
      <xdr:row>183</xdr:row>
      <xdr:rowOff>0</xdr:rowOff>
    </xdr:to>
    <xdr:sp macro="" textlink="">
      <xdr:nvSpPr>
        <xdr:cNvPr id="655600" name="Line 138"/>
        <xdr:cNvSpPr>
          <a:spLocks noChangeShapeType="1"/>
        </xdr:cNvSpPr>
      </xdr:nvSpPr>
      <xdr:spPr bwMode="auto">
        <a:xfrm>
          <a:off x="1181100" y="298132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182</xdr:row>
      <xdr:rowOff>0</xdr:rowOff>
    </xdr:from>
    <xdr:to>
      <xdr:col>8</xdr:col>
      <xdr:colOff>0</xdr:colOff>
      <xdr:row>183</xdr:row>
      <xdr:rowOff>0</xdr:rowOff>
    </xdr:to>
    <xdr:sp macro="" textlink="">
      <xdr:nvSpPr>
        <xdr:cNvPr id="655601" name="Line 139"/>
        <xdr:cNvSpPr>
          <a:spLocks noChangeShapeType="1"/>
        </xdr:cNvSpPr>
      </xdr:nvSpPr>
      <xdr:spPr bwMode="auto">
        <a:xfrm>
          <a:off x="5762625" y="2981325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184</xdr:row>
      <xdr:rowOff>0</xdr:rowOff>
    </xdr:from>
    <xdr:to>
      <xdr:col>8</xdr:col>
      <xdr:colOff>0</xdr:colOff>
      <xdr:row>184</xdr:row>
      <xdr:rowOff>0</xdr:rowOff>
    </xdr:to>
    <xdr:sp macro="" textlink="">
      <xdr:nvSpPr>
        <xdr:cNvPr id="655602" name="Line 140"/>
        <xdr:cNvSpPr>
          <a:spLocks noChangeShapeType="1"/>
        </xdr:cNvSpPr>
      </xdr:nvSpPr>
      <xdr:spPr bwMode="auto">
        <a:xfrm>
          <a:off x="1181100" y="3013710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180</xdr:row>
      <xdr:rowOff>0</xdr:rowOff>
    </xdr:from>
    <xdr:to>
      <xdr:col>5</xdr:col>
      <xdr:colOff>0</xdr:colOff>
      <xdr:row>183</xdr:row>
      <xdr:rowOff>152400</xdr:rowOff>
    </xdr:to>
    <xdr:sp macro="" textlink="">
      <xdr:nvSpPr>
        <xdr:cNvPr id="655603" name="Line 141"/>
        <xdr:cNvSpPr>
          <a:spLocks noChangeShapeType="1"/>
        </xdr:cNvSpPr>
      </xdr:nvSpPr>
      <xdr:spPr bwMode="auto">
        <a:xfrm>
          <a:off x="3838575" y="29489400"/>
          <a:ext cx="0" cy="638175"/>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180</xdr:row>
      <xdr:rowOff>85725</xdr:rowOff>
    </xdr:from>
    <xdr:to>
      <xdr:col>3</xdr:col>
      <xdr:colOff>0</xdr:colOff>
      <xdr:row>182</xdr:row>
      <xdr:rowOff>161925</xdr:rowOff>
    </xdr:to>
    <xdr:sp macro="" textlink="">
      <xdr:nvSpPr>
        <xdr:cNvPr id="655604" name="Line 142"/>
        <xdr:cNvSpPr>
          <a:spLocks noChangeShapeType="1"/>
        </xdr:cNvSpPr>
      </xdr:nvSpPr>
      <xdr:spPr bwMode="auto">
        <a:xfrm>
          <a:off x="2076450" y="2957512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182</xdr:row>
      <xdr:rowOff>0</xdr:rowOff>
    </xdr:from>
    <xdr:to>
      <xdr:col>5</xdr:col>
      <xdr:colOff>0</xdr:colOff>
      <xdr:row>182</xdr:row>
      <xdr:rowOff>0</xdr:rowOff>
    </xdr:to>
    <xdr:sp macro="" textlink="">
      <xdr:nvSpPr>
        <xdr:cNvPr id="655605" name="Line 143"/>
        <xdr:cNvSpPr>
          <a:spLocks noChangeShapeType="1"/>
        </xdr:cNvSpPr>
      </xdr:nvSpPr>
      <xdr:spPr bwMode="auto">
        <a:xfrm>
          <a:off x="1181100" y="2981325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485775</xdr:colOff>
      <xdr:row>180</xdr:row>
      <xdr:rowOff>85725</xdr:rowOff>
    </xdr:from>
    <xdr:to>
      <xdr:col>3</xdr:col>
      <xdr:colOff>0</xdr:colOff>
      <xdr:row>180</xdr:row>
      <xdr:rowOff>85725</xdr:rowOff>
    </xdr:to>
    <xdr:sp macro="" textlink="">
      <xdr:nvSpPr>
        <xdr:cNvPr id="655606" name="Line 144"/>
        <xdr:cNvSpPr>
          <a:spLocks noChangeShapeType="1"/>
        </xdr:cNvSpPr>
      </xdr:nvSpPr>
      <xdr:spPr bwMode="auto">
        <a:xfrm>
          <a:off x="1666875" y="29575125"/>
          <a:ext cx="409575"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214</xdr:row>
      <xdr:rowOff>0</xdr:rowOff>
    </xdr:from>
    <xdr:to>
      <xdr:col>8</xdr:col>
      <xdr:colOff>0</xdr:colOff>
      <xdr:row>214</xdr:row>
      <xdr:rowOff>0</xdr:rowOff>
    </xdr:to>
    <xdr:sp macro="" textlink="">
      <xdr:nvSpPr>
        <xdr:cNvPr id="655607" name="Line 145"/>
        <xdr:cNvSpPr>
          <a:spLocks noChangeShapeType="1"/>
        </xdr:cNvSpPr>
      </xdr:nvSpPr>
      <xdr:spPr bwMode="auto">
        <a:xfrm>
          <a:off x="1181100" y="350234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213</xdr:row>
      <xdr:rowOff>0</xdr:rowOff>
    </xdr:from>
    <xdr:to>
      <xdr:col>2</xdr:col>
      <xdr:colOff>0</xdr:colOff>
      <xdr:row>213</xdr:row>
      <xdr:rowOff>0</xdr:rowOff>
    </xdr:to>
    <xdr:sp macro="" textlink="">
      <xdr:nvSpPr>
        <xdr:cNvPr id="655608" name="Line 146"/>
        <xdr:cNvSpPr>
          <a:spLocks noChangeShapeType="1"/>
        </xdr:cNvSpPr>
      </xdr:nvSpPr>
      <xdr:spPr bwMode="auto">
        <a:xfrm>
          <a:off x="1181100" y="348615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213</xdr:row>
      <xdr:rowOff>0</xdr:rowOff>
    </xdr:from>
    <xdr:to>
      <xdr:col>8</xdr:col>
      <xdr:colOff>257175</xdr:colOff>
      <xdr:row>213</xdr:row>
      <xdr:rowOff>0</xdr:rowOff>
    </xdr:to>
    <xdr:sp macro="" textlink="">
      <xdr:nvSpPr>
        <xdr:cNvPr id="655609" name="Line 147"/>
        <xdr:cNvSpPr>
          <a:spLocks noChangeShapeType="1"/>
        </xdr:cNvSpPr>
      </xdr:nvSpPr>
      <xdr:spPr bwMode="auto">
        <a:xfrm>
          <a:off x="5762625" y="348615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213</xdr:row>
      <xdr:rowOff>0</xdr:rowOff>
    </xdr:from>
    <xdr:to>
      <xdr:col>2</xdr:col>
      <xdr:colOff>0</xdr:colOff>
      <xdr:row>214</xdr:row>
      <xdr:rowOff>0</xdr:rowOff>
    </xdr:to>
    <xdr:sp macro="" textlink="">
      <xdr:nvSpPr>
        <xdr:cNvPr id="655610" name="Line 148"/>
        <xdr:cNvSpPr>
          <a:spLocks noChangeShapeType="1"/>
        </xdr:cNvSpPr>
      </xdr:nvSpPr>
      <xdr:spPr bwMode="auto">
        <a:xfrm>
          <a:off x="1181100" y="3486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213</xdr:row>
      <xdr:rowOff>0</xdr:rowOff>
    </xdr:from>
    <xdr:to>
      <xdr:col>8</xdr:col>
      <xdr:colOff>0</xdr:colOff>
      <xdr:row>214</xdr:row>
      <xdr:rowOff>0</xdr:rowOff>
    </xdr:to>
    <xdr:sp macro="" textlink="">
      <xdr:nvSpPr>
        <xdr:cNvPr id="655611" name="Line 149"/>
        <xdr:cNvSpPr>
          <a:spLocks noChangeShapeType="1"/>
        </xdr:cNvSpPr>
      </xdr:nvSpPr>
      <xdr:spPr bwMode="auto">
        <a:xfrm>
          <a:off x="5762625" y="3486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215</xdr:row>
      <xdr:rowOff>0</xdr:rowOff>
    </xdr:from>
    <xdr:to>
      <xdr:col>8</xdr:col>
      <xdr:colOff>0</xdr:colOff>
      <xdr:row>215</xdr:row>
      <xdr:rowOff>0</xdr:rowOff>
    </xdr:to>
    <xdr:sp macro="" textlink="">
      <xdr:nvSpPr>
        <xdr:cNvPr id="655612" name="Line 150"/>
        <xdr:cNvSpPr>
          <a:spLocks noChangeShapeType="1"/>
        </xdr:cNvSpPr>
      </xdr:nvSpPr>
      <xdr:spPr bwMode="auto">
        <a:xfrm>
          <a:off x="1181100" y="3519487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211</xdr:row>
      <xdr:rowOff>0</xdr:rowOff>
    </xdr:from>
    <xdr:to>
      <xdr:col>5</xdr:col>
      <xdr:colOff>0</xdr:colOff>
      <xdr:row>214</xdr:row>
      <xdr:rowOff>161925</xdr:rowOff>
    </xdr:to>
    <xdr:sp macro="" textlink="">
      <xdr:nvSpPr>
        <xdr:cNvPr id="655613" name="Line 151"/>
        <xdr:cNvSpPr>
          <a:spLocks noChangeShapeType="1"/>
        </xdr:cNvSpPr>
      </xdr:nvSpPr>
      <xdr:spPr bwMode="auto">
        <a:xfrm>
          <a:off x="3838575" y="345376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211</xdr:row>
      <xdr:rowOff>85725</xdr:rowOff>
    </xdr:from>
    <xdr:to>
      <xdr:col>3</xdr:col>
      <xdr:colOff>0</xdr:colOff>
      <xdr:row>213</xdr:row>
      <xdr:rowOff>161925</xdr:rowOff>
    </xdr:to>
    <xdr:sp macro="" textlink="">
      <xdr:nvSpPr>
        <xdr:cNvPr id="655614" name="Line 152"/>
        <xdr:cNvSpPr>
          <a:spLocks noChangeShapeType="1"/>
        </xdr:cNvSpPr>
      </xdr:nvSpPr>
      <xdr:spPr bwMode="auto">
        <a:xfrm>
          <a:off x="2076450" y="346233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213</xdr:row>
      <xdr:rowOff>0</xdr:rowOff>
    </xdr:from>
    <xdr:to>
      <xdr:col>5</xdr:col>
      <xdr:colOff>0</xdr:colOff>
      <xdr:row>213</xdr:row>
      <xdr:rowOff>0</xdr:rowOff>
    </xdr:to>
    <xdr:sp macro="" textlink="">
      <xdr:nvSpPr>
        <xdr:cNvPr id="655615" name="Line 153"/>
        <xdr:cNvSpPr>
          <a:spLocks noChangeShapeType="1"/>
        </xdr:cNvSpPr>
      </xdr:nvSpPr>
      <xdr:spPr bwMode="auto">
        <a:xfrm>
          <a:off x="1181100" y="348615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762000</xdr:colOff>
      <xdr:row>212</xdr:row>
      <xdr:rowOff>133350</xdr:rowOff>
    </xdr:from>
    <xdr:to>
      <xdr:col>3</xdr:col>
      <xdr:colOff>76200</xdr:colOff>
      <xdr:row>213</xdr:row>
      <xdr:rowOff>28575</xdr:rowOff>
    </xdr:to>
    <xdr:sp macro="" textlink="">
      <xdr:nvSpPr>
        <xdr:cNvPr id="655616" name="Line 154"/>
        <xdr:cNvSpPr>
          <a:spLocks noChangeShapeType="1"/>
        </xdr:cNvSpPr>
      </xdr:nvSpPr>
      <xdr:spPr bwMode="auto">
        <a:xfrm flipH="1">
          <a:off x="1943100" y="34832925"/>
          <a:ext cx="20955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742950</xdr:colOff>
      <xdr:row>211</xdr:row>
      <xdr:rowOff>85725</xdr:rowOff>
    </xdr:from>
    <xdr:to>
      <xdr:col>3</xdr:col>
      <xdr:colOff>0</xdr:colOff>
      <xdr:row>211</xdr:row>
      <xdr:rowOff>85725</xdr:rowOff>
    </xdr:to>
    <xdr:sp macro="" textlink="">
      <xdr:nvSpPr>
        <xdr:cNvPr id="655617" name="Line 155"/>
        <xdr:cNvSpPr>
          <a:spLocks noChangeShapeType="1"/>
        </xdr:cNvSpPr>
      </xdr:nvSpPr>
      <xdr:spPr bwMode="auto">
        <a:xfrm>
          <a:off x="1924050" y="34623375"/>
          <a:ext cx="1524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180975</xdr:colOff>
      <xdr:row>165</xdr:row>
      <xdr:rowOff>9525</xdr:rowOff>
    </xdr:from>
    <xdr:to>
      <xdr:col>5</xdr:col>
      <xdr:colOff>180975</xdr:colOff>
      <xdr:row>167</xdr:row>
      <xdr:rowOff>9525</xdr:rowOff>
    </xdr:to>
    <xdr:sp macro="" textlink="">
      <xdr:nvSpPr>
        <xdr:cNvPr id="655618" name="Line 156"/>
        <xdr:cNvSpPr>
          <a:spLocks noChangeShapeType="1"/>
        </xdr:cNvSpPr>
      </xdr:nvSpPr>
      <xdr:spPr bwMode="auto">
        <a:xfrm flipV="1">
          <a:off x="4019550" y="27041475"/>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165</xdr:row>
      <xdr:rowOff>0</xdr:rowOff>
    </xdr:from>
    <xdr:to>
      <xdr:col>8</xdr:col>
      <xdr:colOff>561975</xdr:colOff>
      <xdr:row>165</xdr:row>
      <xdr:rowOff>0</xdr:rowOff>
    </xdr:to>
    <xdr:sp macro="" textlink="">
      <xdr:nvSpPr>
        <xdr:cNvPr id="655619" name="Line 157"/>
        <xdr:cNvSpPr>
          <a:spLocks noChangeShapeType="1"/>
        </xdr:cNvSpPr>
      </xdr:nvSpPr>
      <xdr:spPr bwMode="auto">
        <a:xfrm>
          <a:off x="3848100" y="27031950"/>
          <a:ext cx="2476500"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323850</xdr:colOff>
      <xdr:row>165</xdr:row>
      <xdr:rowOff>0</xdr:rowOff>
    </xdr:from>
    <xdr:to>
      <xdr:col>8</xdr:col>
      <xdr:colOff>323850</xdr:colOff>
      <xdr:row>167</xdr:row>
      <xdr:rowOff>0</xdr:rowOff>
    </xdr:to>
    <xdr:sp macro="" textlink="">
      <xdr:nvSpPr>
        <xdr:cNvPr id="655620" name="Line 158"/>
        <xdr:cNvSpPr>
          <a:spLocks noChangeShapeType="1"/>
        </xdr:cNvSpPr>
      </xdr:nvSpPr>
      <xdr:spPr bwMode="auto">
        <a:xfrm flipV="1">
          <a:off x="6086475" y="27031950"/>
          <a:ext cx="0" cy="333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123825</xdr:colOff>
      <xdr:row>165</xdr:row>
      <xdr:rowOff>114300</xdr:rowOff>
    </xdr:from>
    <xdr:to>
      <xdr:col>5</xdr:col>
      <xdr:colOff>209550</xdr:colOff>
      <xdr:row>166</xdr:row>
      <xdr:rowOff>38100</xdr:rowOff>
    </xdr:to>
    <xdr:sp macro="" textlink="">
      <xdr:nvSpPr>
        <xdr:cNvPr id="655621" name="Line 159"/>
        <xdr:cNvSpPr>
          <a:spLocks noChangeShapeType="1"/>
        </xdr:cNvSpPr>
      </xdr:nvSpPr>
      <xdr:spPr bwMode="auto">
        <a:xfrm flipH="1">
          <a:off x="3962400" y="27146250"/>
          <a:ext cx="8572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171450</xdr:colOff>
      <xdr:row>165</xdr:row>
      <xdr:rowOff>114300</xdr:rowOff>
    </xdr:from>
    <xdr:to>
      <xdr:col>4</xdr:col>
      <xdr:colOff>257175</xdr:colOff>
      <xdr:row>166</xdr:row>
      <xdr:rowOff>38100</xdr:rowOff>
    </xdr:to>
    <xdr:sp macro="" textlink="">
      <xdr:nvSpPr>
        <xdr:cNvPr id="655622" name="Line 160"/>
        <xdr:cNvSpPr>
          <a:spLocks noChangeShapeType="1"/>
        </xdr:cNvSpPr>
      </xdr:nvSpPr>
      <xdr:spPr bwMode="auto">
        <a:xfrm flipH="1">
          <a:off x="3076575" y="27146250"/>
          <a:ext cx="8572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180975</xdr:colOff>
      <xdr:row>165</xdr:row>
      <xdr:rowOff>142875</xdr:rowOff>
    </xdr:from>
    <xdr:to>
      <xdr:col>0</xdr:col>
      <xdr:colOff>180975</xdr:colOff>
      <xdr:row>166</xdr:row>
      <xdr:rowOff>57150</xdr:rowOff>
    </xdr:to>
    <xdr:sp macro="" textlink="">
      <xdr:nvSpPr>
        <xdr:cNvPr id="655623" name="Line 161"/>
        <xdr:cNvSpPr>
          <a:spLocks noChangeShapeType="1"/>
        </xdr:cNvSpPr>
      </xdr:nvSpPr>
      <xdr:spPr bwMode="auto">
        <a:xfrm>
          <a:off x="180975" y="27174825"/>
          <a:ext cx="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200025</xdr:colOff>
      <xdr:row>195</xdr:row>
      <xdr:rowOff>161925</xdr:rowOff>
    </xdr:from>
    <xdr:to>
      <xdr:col>4</xdr:col>
      <xdr:colOff>200025</xdr:colOff>
      <xdr:row>197</xdr:row>
      <xdr:rowOff>161925</xdr:rowOff>
    </xdr:to>
    <xdr:sp macro="" textlink="">
      <xdr:nvSpPr>
        <xdr:cNvPr id="655624" name="Line 162"/>
        <xdr:cNvSpPr>
          <a:spLocks noChangeShapeType="1"/>
        </xdr:cNvSpPr>
      </xdr:nvSpPr>
      <xdr:spPr bwMode="auto">
        <a:xfrm flipV="1">
          <a:off x="310515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180975</xdr:colOff>
      <xdr:row>195</xdr:row>
      <xdr:rowOff>161925</xdr:rowOff>
    </xdr:from>
    <xdr:to>
      <xdr:col>5</xdr:col>
      <xdr:colOff>180975</xdr:colOff>
      <xdr:row>197</xdr:row>
      <xdr:rowOff>161925</xdr:rowOff>
    </xdr:to>
    <xdr:sp macro="" textlink="">
      <xdr:nvSpPr>
        <xdr:cNvPr id="655625" name="Line 163"/>
        <xdr:cNvSpPr>
          <a:spLocks noChangeShapeType="1"/>
        </xdr:cNvSpPr>
      </xdr:nvSpPr>
      <xdr:spPr bwMode="auto">
        <a:xfrm flipV="1">
          <a:off x="4019550" y="32089725"/>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390525</xdr:colOff>
      <xdr:row>196</xdr:row>
      <xdr:rowOff>0</xdr:rowOff>
    </xdr:from>
    <xdr:to>
      <xdr:col>8</xdr:col>
      <xdr:colOff>685800</xdr:colOff>
      <xdr:row>196</xdr:row>
      <xdr:rowOff>0</xdr:rowOff>
    </xdr:to>
    <xdr:sp macro="" textlink="">
      <xdr:nvSpPr>
        <xdr:cNvPr id="655626" name="Line 164"/>
        <xdr:cNvSpPr>
          <a:spLocks noChangeShapeType="1"/>
        </xdr:cNvSpPr>
      </xdr:nvSpPr>
      <xdr:spPr bwMode="auto">
        <a:xfrm>
          <a:off x="3295650" y="32089725"/>
          <a:ext cx="3152775" cy="0"/>
        </a:xfrm>
        <a:prstGeom prst="line">
          <a:avLst/>
        </a:prstGeom>
        <a:noFill/>
        <a:ln w="285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194</xdr:row>
      <xdr:rowOff>0</xdr:rowOff>
    </xdr:from>
    <xdr:to>
      <xdr:col>8</xdr:col>
      <xdr:colOff>0</xdr:colOff>
      <xdr:row>194</xdr:row>
      <xdr:rowOff>0</xdr:rowOff>
    </xdr:to>
    <xdr:sp macro="" textlink="">
      <xdr:nvSpPr>
        <xdr:cNvPr id="655627" name="Line 165"/>
        <xdr:cNvSpPr>
          <a:spLocks noChangeShapeType="1"/>
        </xdr:cNvSpPr>
      </xdr:nvSpPr>
      <xdr:spPr bwMode="auto">
        <a:xfrm>
          <a:off x="2076450" y="31765875"/>
          <a:ext cx="36861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590550</xdr:colOff>
      <xdr:row>194</xdr:row>
      <xdr:rowOff>9525</xdr:rowOff>
    </xdr:from>
    <xdr:to>
      <xdr:col>2</xdr:col>
      <xdr:colOff>590550</xdr:colOff>
      <xdr:row>196</xdr:row>
      <xdr:rowOff>0</xdr:rowOff>
    </xdr:to>
    <xdr:sp macro="" textlink="">
      <xdr:nvSpPr>
        <xdr:cNvPr id="655628" name="Line 166"/>
        <xdr:cNvSpPr>
          <a:spLocks noChangeShapeType="1"/>
        </xdr:cNvSpPr>
      </xdr:nvSpPr>
      <xdr:spPr bwMode="auto">
        <a:xfrm>
          <a:off x="1771650" y="3177540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381000</xdr:colOff>
      <xdr:row>192</xdr:row>
      <xdr:rowOff>19050</xdr:rowOff>
    </xdr:from>
    <xdr:to>
      <xdr:col>3</xdr:col>
      <xdr:colOff>381000</xdr:colOff>
      <xdr:row>196</xdr:row>
      <xdr:rowOff>0</xdr:rowOff>
    </xdr:to>
    <xdr:sp macro="" textlink="">
      <xdr:nvSpPr>
        <xdr:cNvPr id="655629" name="Line 167"/>
        <xdr:cNvSpPr>
          <a:spLocks noChangeShapeType="1"/>
        </xdr:cNvSpPr>
      </xdr:nvSpPr>
      <xdr:spPr bwMode="auto">
        <a:xfrm>
          <a:off x="2457450" y="31451550"/>
          <a:ext cx="0" cy="63817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195</xdr:row>
      <xdr:rowOff>28575</xdr:rowOff>
    </xdr:from>
    <xdr:to>
      <xdr:col>3</xdr:col>
      <xdr:colOff>381000</xdr:colOff>
      <xdr:row>195</xdr:row>
      <xdr:rowOff>28575</xdr:rowOff>
    </xdr:to>
    <xdr:sp macro="" textlink="">
      <xdr:nvSpPr>
        <xdr:cNvPr id="655630" name="Line 168"/>
        <xdr:cNvSpPr>
          <a:spLocks noChangeShapeType="1"/>
        </xdr:cNvSpPr>
      </xdr:nvSpPr>
      <xdr:spPr bwMode="auto">
        <a:xfrm>
          <a:off x="2076450" y="31956375"/>
          <a:ext cx="381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163</xdr:row>
      <xdr:rowOff>9525</xdr:rowOff>
    </xdr:from>
    <xdr:to>
      <xdr:col>7</xdr:col>
      <xdr:colOff>0</xdr:colOff>
      <xdr:row>165</xdr:row>
      <xdr:rowOff>0</xdr:rowOff>
    </xdr:to>
    <xdr:sp macro="" textlink="">
      <xdr:nvSpPr>
        <xdr:cNvPr id="655631" name="Line 169"/>
        <xdr:cNvSpPr>
          <a:spLocks noChangeShapeType="1"/>
        </xdr:cNvSpPr>
      </xdr:nvSpPr>
      <xdr:spPr bwMode="auto">
        <a:xfrm>
          <a:off x="5086350" y="26708100"/>
          <a:ext cx="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161</xdr:row>
      <xdr:rowOff>114300</xdr:rowOff>
    </xdr:from>
    <xdr:to>
      <xdr:col>7</xdr:col>
      <xdr:colOff>0</xdr:colOff>
      <xdr:row>162</xdr:row>
      <xdr:rowOff>66675</xdr:rowOff>
    </xdr:to>
    <xdr:sp macro="" textlink="">
      <xdr:nvSpPr>
        <xdr:cNvPr id="655632" name="Line 170"/>
        <xdr:cNvSpPr>
          <a:spLocks noChangeShapeType="1"/>
        </xdr:cNvSpPr>
      </xdr:nvSpPr>
      <xdr:spPr bwMode="auto">
        <a:xfrm>
          <a:off x="5086350" y="26489025"/>
          <a:ext cx="0" cy="114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257175</xdr:colOff>
      <xdr:row>160</xdr:row>
      <xdr:rowOff>85725</xdr:rowOff>
    </xdr:from>
    <xdr:to>
      <xdr:col>6</xdr:col>
      <xdr:colOff>257175</xdr:colOff>
      <xdr:row>164</xdr:row>
      <xdr:rowOff>171450</xdr:rowOff>
    </xdr:to>
    <xdr:sp macro="" textlink="">
      <xdr:nvSpPr>
        <xdr:cNvPr id="655633" name="Line 171"/>
        <xdr:cNvSpPr>
          <a:spLocks noChangeShapeType="1"/>
        </xdr:cNvSpPr>
      </xdr:nvSpPr>
      <xdr:spPr bwMode="auto">
        <a:xfrm>
          <a:off x="4743450" y="26298525"/>
          <a:ext cx="0" cy="73342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fLocksWithSheet="0"/>
  </xdr:twoCellAnchor>
  <xdr:twoCellAnchor>
    <xdr:from>
      <xdr:col>3</xdr:col>
      <xdr:colOff>0</xdr:colOff>
      <xdr:row>161</xdr:row>
      <xdr:rowOff>85725</xdr:rowOff>
    </xdr:from>
    <xdr:to>
      <xdr:col>3</xdr:col>
      <xdr:colOff>0</xdr:colOff>
      <xdr:row>164</xdr:row>
      <xdr:rowOff>161925</xdr:rowOff>
    </xdr:to>
    <xdr:sp macro="" textlink="">
      <xdr:nvSpPr>
        <xdr:cNvPr id="655634" name="Line 172"/>
        <xdr:cNvSpPr>
          <a:spLocks noChangeShapeType="1"/>
        </xdr:cNvSpPr>
      </xdr:nvSpPr>
      <xdr:spPr bwMode="auto">
        <a:xfrm>
          <a:off x="2076450" y="26460450"/>
          <a:ext cx="0" cy="561975"/>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219075</xdr:colOff>
      <xdr:row>161</xdr:row>
      <xdr:rowOff>85725</xdr:rowOff>
    </xdr:from>
    <xdr:to>
      <xdr:col>3</xdr:col>
      <xdr:colOff>0</xdr:colOff>
      <xdr:row>161</xdr:row>
      <xdr:rowOff>85725</xdr:rowOff>
    </xdr:to>
    <xdr:sp macro="" textlink="">
      <xdr:nvSpPr>
        <xdr:cNvPr id="655635" name="Line 173"/>
        <xdr:cNvSpPr>
          <a:spLocks noChangeShapeType="1"/>
        </xdr:cNvSpPr>
      </xdr:nvSpPr>
      <xdr:spPr bwMode="auto">
        <a:xfrm flipH="1">
          <a:off x="1400175" y="26460450"/>
          <a:ext cx="6762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162</xdr:row>
      <xdr:rowOff>0</xdr:rowOff>
    </xdr:from>
    <xdr:to>
      <xdr:col>5</xdr:col>
      <xdr:colOff>0</xdr:colOff>
      <xdr:row>162</xdr:row>
      <xdr:rowOff>0</xdr:rowOff>
    </xdr:to>
    <xdr:sp macro="" textlink="">
      <xdr:nvSpPr>
        <xdr:cNvPr id="655636" name="Line 174"/>
        <xdr:cNvSpPr>
          <a:spLocks noChangeShapeType="1"/>
        </xdr:cNvSpPr>
      </xdr:nvSpPr>
      <xdr:spPr bwMode="auto">
        <a:xfrm>
          <a:off x="2076450" y="26536650"/>
          <a:ext cx="17621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164</xdr:row>
      <xdr:rowOff>0</xdr:rowOff>
    </xdr:from>
    <xdr:to>
      <xdr:col>6</xdr:col>
      <xdr:colOff>257175</xdr:colOff>
      <xdr:row>164</xdr:row>
      <xdr:rowOff>0</xdr:rowOff>
    </xdr:to>
    <xdr:sp macro="" textlink="">
      <xdr:nvSpPr>
        <xdr:cNvPr id="655637" name="Line 175"/>
        <xdr:cNvSpPr>
          <a:spLocks noChangeShapeType="1"/>
        </xdr:cNvSpPr>
      </xdr:nvSpPr>
      <xdr:spPr bwMode="auto">
        <a:xfrm>
          <a:off x="3838575" y="26860500"/>
          <a:ext cx="9048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114300</xdr:colOff>
      <xdr:row>55</xdr:row>
      <xdr:rowOff>123825</xdr:rowOff>
    </xdr:from>
    <xdr:to>
      <xdr:col>5</xdr:col>
      <xdr:colOff>228600</xdr:colOff>
      <xdr:row>56</xdr:row>
      <xdr:rowOff>47625</xdr:rowOff>
    </xdr:to>
    <xdr:sp macro="" textlink="">
      <xdr:nvSpPr>
        <xdr:cNvPr id="655638" name="Line 176"/>
        <xdr:cNvSpPr>
          <a:spLocks noChangeShapeType="1"/>
        </xdr:cNvSpPr>
      </xdr:nvSpPr>
      <xdr:spPr bwMode="auto">
        <a:xfrm flipH="1">
          <a:off x="3952875" y="9296400"/>
          <a:ext cx="1143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142875</xdr:colOff>
      <xdr:row>55</xdr:row>
      <xdr:rowOff>123825</xdr:rowOff>
    </xdr:from>
    <xdr:to>
      <xdr:col>4</xdr:col>
      <xdr:colOff>257175</xdr:colOff>
      <xdr:row>56</xdr:row>
      <xdr:rowOff>47625</xdr:rowOff>
    </xdr:to>
    <xdr:sp macro="" textlink="">
      <xdr:nvSpPr>
        <xdr:cNvPr id="655639" name="Line 177"/>
        <xdr:cNvSpPr>
          <a:spLocks noChangeShapeType="1"/>
        </xdr:cNvSpPr>
      </xdr:nvSpPr>
      <xdr:spPr bwMode="auto">
        <a:xfrm flipH="1">
          <a:off x="3048000" y="9296400"/>
          <a:ext cx="114300"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219075</xdr:colOff>
      <xdr:row>195</xdr:row>
      <xdr:rowOff>28575</xdr:rowOff>
    </xdr:from>
    <xdr:to>
      <xdr:col>8</xdr:col>
      <xdr:colOff>0</xdr:colOff>
      <xdr:row>195</xdr:row>
      <xdr:rowOff>28575</xdr:rowOff>
    </xdr:to>
    <xdr:sp macro="" textlink="">
      <xdr:nvSpPr>
        <xdr:cNvPr id="655640" name="Line 178"/>
        <xdr:cNvSpPr>
          <a:spLocks noChangeShapeType="1"/>
        </xdr:cNvSpPr>
      </xdr:nvSpPr>
      <xdr:spPr bwMode="auto">
        <a:xfrm>
          <a:off x="4705350" y="31956375"/>
          <a:ext cx="10572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fLocksWithSheet="0"/>
  </xdr:twoCellAnchor>
  <xdr:twoCellAnchor>
    <xdr:from>
      <xdr:col>6</xdr:col>
      <xdr:colOff>219075</xdr:colOff>
      <xdr:row>191</xdr:row>
      <xdr:rowOff>85725</xdr:rowOff>
    </xdr:from>
    <xdr:to>
      <xdr:col>6</xdr:col>
      <xdr:colOff>219075</xdr:colOff>
      <xdr:row>191</xdr:row>
      <xdr:rowOff>104775</xdr:rowOff>
    </xdr:to>
    <xdr:sp macro="" textlink="">
      <xdr:nvSpPr>
        <xdr:cNvPr id="655641" name="Line 179"/>
        <xdr:cNvSpPr>
          <a:spLocks noChangeShapeType="1"/>
        </xdr:cNvSpPr>
      </xdr:nvSpPr>
      <xdr:spPr bwMode="auto">
        <a:xfrm>
          <a:off x="4705350" y="31356300"/>
          <a:ext cx="0" cy="19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193</xdr:row>
      <xdr:rowOff>0</xdr:rowOff>
    </xdr:from>
    <xdr:to>
      <xdr:col>5</xdr:col>
      <xdr:colOff>9525</xdr:colOff>
      <xdr:row>193</xdr:row>
      <xdr:rowOff>0</xdr:rowOff>
    </xdr:to>
    <xdr:sp macro="" textlink="">
      <xdr:nvSpPr>
        <xdr:cNvPr id="655642" name="Line 180"/>
        <xdr:cNvSpPr>
          <a:spLocks noChangeShapeType="1"/>
        </xdr:cNvSpPr>
      </xdr:nvSpPr>
      <xdr:spPr bwMode="auto">
        <a:xfrm>
          <a:off x="2085975" y="31603950"/>
          <a:ext cx="17621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381000</xdr:colOff>
      <xdr:row>195</xdr:row>
      <xdr:rowOff>28575</xdr:rowOff>
    </xdr:from>
    <xdr:to>
      <xdr:col>5</xdr:col>
      <xdr:colOff>0</xdr:colOff>
      <xdr:row>195</xdr:row>
      <xdr:rowOff>28575</xdr:rowOff>
    </xdr:to>
    <xdr:sp macro="" textlink="">
      <xdr:nvSpPr>
        <xdr:cNvPr id="655643" name="Line 181"/>
        <xdr:cNvSpPr>
          <a:spLocks noChangeShapeType="1"/>
        </xdr:cNvSpPr>
      </xdr:nvSpPr>
      <xdr:spPr bwMode="auto">
        <a:xfrm>
          <a:off x="2457450" y="31956375"/>
          <a:ext cx="13811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195</xdr:row>
      <xdr:rowOff>28575</xdr:rowOff>
    </xdr:from>
    <xdr:to>
      <xdr:col>6</xdr:col>
      <xdr:colOff>219075</xdr:colOff>
      <xdr:row>195</xdr:row>
      <xdr:rowOff>28575</xdr:rowOff>
    </xdr:to>
    <xdr:sp macro="" textlink="">
      <xdr:nvSpPr>
        <xdr:cNvPr id="655644" name="Line 182"/>
        <xdr:cNvSpPr>
          <a:spLocks noChangeShapeType="1"/>
        </xdr:cNvSpPr>
      </xdr:nvSpPr>
      <xdr:spPr bwMode="auto">
        <a:xfrm>
          <a:off x="3838575" y="31956375"/>
          <a:ext cx="8667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752475</xdr:colOff>
      <xdr:row>181</xdr:row>
      <xdr:rowOff>133350</xdr:rowOff>
    </xdr:from>
    <xdr:to>
      <xdr:col>3</xdr:col>
      <xdr:colOff>76200</xdr:colOff>
      <xdr:row>182</xdr:row>
      <xdr:rowOff>28575</xdr:rowOff>
    </xdr:to>
    <xdr:sp macro="" textlink="">
      <xdr:nvSpPr>
        <xdr:cNvPr id="655645" name="Line 183"/>
        <xdr:cNvSpPr>
          <a:spLocks noChangeShapeType="1"/>
        </xdr:cNvSpPr>
      </xdr:nvSpPr>
      <xdr:spPr bwMode="auto">
        <a:xfrm flipH="1">
          <a:off x="1933575" y="29784675"/>
          <a:ext cx="21907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47625</xdr:colOff>
      <xdr:row>196</xdr:row>
      <xdr:rowOff>123825</xdr:rowOff>
    </xdr:from>
    <xdr:to>
      <xdr:col>5</xdr:col>
      <xdr:colOff>285750</xdr:colOff>
      <xdr:row>197</xdr:row>
      <xdr:rowOff>47625</xdr:rowOff>
    </xdr:to>
    <xdr:sp macro="" textlink="">
      <xdr:nvSpPr>
        <xdr:cNvPr id="655646" name="Line 184"/>
        <xdr:cNvSpPr>
          <a:spLocks noChangeShapeType="1"/>
        </xdr:cNvSpPr>
      </xdr:nvSpPr>
      <xdr:spPr bwMode="auto">
        <a:xfrm flipH="1">
          <a:off x="3886200" y="32213550"/>
          <a:ext cx="2381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85725</xdr:colOff>
      <xdr:row>196</xdr:row>
      <xdr:rowOff>123825</xdr:rowOff>
    </xdr:from>
    <xdr:to>
      <xdr:col>4</xdr:col>
      <xdr:colOff>323850</xdr:colOff>
      <xdr:row>197</xdr:row>
      <xdr:rowOff>47625</xdr:rowOff>
    </xdr:to>
    <xdr:sp macro="" textlink="">
      <xdr:nvSpPr>
        <xdr:cNvPr id="655647" name="Line 185"/>
        <xdr:cNvSpPr>
          <a:spLocks noChangeShapeType="1"/>
        </xdr:cNvSpPr>
      </xdr:nvSpPr>
      <xdr:spPr bwMode="auto">
        <a:xfrm flipH="1">
          <a:off x="2990850" y="32213550"/>
          <a:ext cx="238125" cy="857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314325</xdr:colOff>
      <xdr:row>55</xdr:row>
      <xdr:rowOff>142875</xdr:rowOff>
    </xdr:from>
    <xdr:to>
      <xdr:col>8</xdr:col>
      <xdr:colOff>457200</xdr:colOff>
      <xdr:row>56</xdr:row>
      <xdr:rowOff>76200</xdr:rowOff>
    </xdr:to>
    <xdr:sp macro="" textlink="">
      <xdr:nvSpPr>
        <xdr:cNvPr id="655648" name="Line 186"/>
        <xdr:cNvSpPr>
          <a:spLocks noChangeShapeType="1"/>
        </xdr:cNvSpPr>
      </xdr:nvSpPr>
      <xdr:spPr bwMode="auto">
        <a:xfrm flipH="1">
          <a:off x="6076950" y="9315450"/>
          <a:ext cx="142875" cy="95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262</xdr:row>
      <xdr:rowOff>0</xdr:rowOff>
    </xdr:from>
    <xdr:to>
      <xdr:col>2</xdr:col>
      <xdr:colOff>19050</xdr:colOff>
      <xdr:row>262</xdr:row>
      <xdr:rowOff>0</xdr:rowOff>
    </xdr:to>
    <xdr:sp macro="" textlink="">
      <xdr:nvSpPr>
        <xdr:cNvPr id="655649" name="Line 187"/>
        <xdr:cNvSpPr>
          <a:spLocks noChangeShapeType="1"/>
        </xdr:cNvSpPr>
      </xdr:nvSpPr>
      <xdr:spPr bwMode="auto">
        <a:xfrm>
          <a:off x="1019175" y="42814875"/>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237</xdr:row>
      <xdr:rowOff>0</xdr:rowOff>
    </xdr:from>
    <xdr:to>
      <xdr:col>2</xdr:col>
      <xdr:colOff>9525</xdr:colOff>
      <xdr:row>237</xdr:row>
      <xdr:rowOff>0</xdr:rowOff>
    </xdr:to>
    <xdr:sp macro="" textlink="">
      <xdr:nvSpPr>
        <xdr:cNvPr id="655650" name="Line 188"/>
        <xdr:cNvSpPr>
          <a:spLocks noChangeShapeType="1"/>
        </xdr:cNvSpPr>
      </xdr:nvSpPr>
      <xdr:spPr bwMode="auto">
        <a:xfrm>
          <a:off x="1009650" y="3876675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200025</xdr:colOff>
      <xdr:row>213</xdr:row>
      <xdr:rowOff>0</xdr:rowOff>
    </xdr:from>
    <xdr:to>
      <xdr:col>2</xdr:col>
      <xdr:colOff>28575</xdr:colOff>
      <xdr:row>213</xdr:row>
      <xdr:rowOff>0</xdr:rowOff>
    </xdr:to>
    <xdr:sp macro="" textlink="">
      <xdr:nvSpPr>
        <xdr:cNvPr id="655651" name="Line 189"/>
        <xdr:cNvSpPr>
          <a:spLocks noChangeShapeType="1"/>
        </xdr:cNvSpPr>
      </xdr:nvSpPr>
      <xdr:spPr bwMode="auto">
        <a:xfrm>
          <a:off x="1028700" y="3486150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190500</xdr:colOff>
      <xdr:row>182</xdr:row>
      <xdr:rowOff>0</xdr:rowOff>
    </xdr:from>
    <xdr:to>
      <xdr:col>2</xdr:col>
      <xdr:colOff>19050</xdr:colOff>
      <xdr:row>182</xdr:row>
      <xdr:rowOff>0</xdr:rowOff>
    </xdr:to>
    <xdr:sp macro="" textlink="">
      <xdr:nvSpPr>
        <xdr:cNvPr id="655652" name="Line 190"/>
        <xdr:cNvSpPr>
          <a:spLocks noChangeShapeType="1"/>
        </xdr:cNvSpPr>
      </xdr:nvSpPr>
      <xdr:spPr bwMode="auto">
        <a:xfrm>
          <a:off x="1019175" y="2981325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72</xdr:row>
      <xdr:rowOff>0</xdr:rowOff>
    </xdr:from>
    <xdr:to>
      <xdr:col>2</xdr:col>
      <xdr:colOff>9525</xdr:colOff>
      <xdr:row>72</xdr:row>
      <xdr:rowOff>0</xdr:rowOff>
    </xdr:to>
    <xdr:sp macro="" textlink="">
      <xdr:nvSpPr>
        <xdr:cNvPr id="655653" name="Line 191"/>
        <xdr:cNvSpPr>
          <a:spLocks noChangeShapeType="1"/>
        </xdr:cNvSpPr>
      </xdr:nvSpPr>
      <xdr:spPr bwMode="auto">
        <a:xfrm>
          <a:off x="1009650" y="1192530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41</xdr:row>
      <xdr:rowOff>0</xdr:rowOff>
    </xdr:from>
    <xdr:to>
      <xdr:col>2</xdr:col>
      <xdr:colOff>9525</xdr:colOff>
      <xdr:row>41</xdr:row>
      <xdr:rowOff>0</xdr:rowOff>
    </xdr:to>
    <xdr:sp macro="" textlink="">
      <xdr:nvSpPr>
        <xdr:cNvPr id="655654" name="Line 192"/>
        <xdr:cNvSpPr>
          <a:spLocks noChangeShapeType="1"/>
        </xdr:cNvSpPr>
      </xdr:nvSpPr>
      <xdr:spPr bwMode="auto">
        <a:xfrm>
          <a:off x="1009650" y="6905625"/>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47625</xdr:colOff>
      <xdr:row>243</xdr:row>
      <xdr:rowOff>0</xdr:rowOff>
    </xdr:from>
    <xdr:to>
      <xdr:col>6</xdr:col>
      <xdr:colOff>19050</xdr:colOff>
      <xdr:row>243</xdr:row>
      <xdr:rowOff>0</xdr:rowOff>
    </xdr:to>
    <xdr:sp macro="" textlink="">
      <xdr:nvSpPr>
        <xdr:cNvPr id="194" name="Text Box 193"/>
        <xdr:cNvSpPr txBox="1">
          <a:spLocks noChangeArrowheads="1"/>
        </xdr:cNvSpPr>
      </xdr:nvSpPr>
      <xdr:spPr bwMode="auto">
        <a:xfrm>
          <a:off x="3886200" y="39738300"/>
          <a:ext cx="6191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243</xdr:row>
      <xdr:rowOff>0</xdr:rowOff>
    </xdr:from>
    <xdr:to>
      <xdr:col>4</xdr:col>
      <xdr:colOff>38100</xdr:colOff>
      <xdr:row>243</xdr:row>
      <xdr:rowOff>0</xdr:rowOff>
    </xdr:to>
    <xdr:sp macro="" textlink="">
      <xdr:nvSpPr>
        <xdr:cNvPr id="195" name="Text Box 194"/>
        <xdr:cNvSpPr txBox="1">
          <a:spLocks noChangeArrowheads="1"/>
        </xdr:cNvSpPr>
      </xdr:nvSpPr>
      <xdr:spPr bwMode="auto">
        <a:xfrm>
          <a:off x="2133600" y="397383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5</xdr:col>
      <xdr:colOff>47625</xdr:colOff>
      <xdr:row>268</xdr:row>
      <xdr:rowOff>0</xdr:rowOff>
    </xdr:from>
    <xdr:to>
      <xdr:col>6</xdr:col>
      <xdr:colOff>19050</xdr:colOff>
      <xdr:row>268</xdr:row>
      <xdr:rowOff>0</xdr:rowOff>
    </xdr:to>
    <xdr:sp macro="" textlink="">
      <xdr:nvSpPr>
        <xdr:cNvPr id="196" name="Text Box 195"/>
        <xdr:cNvSpPr txBox="1">
          <a:spLocks noChangeArrowheads="1"/>
        </xdr:cNvSpPr>
      </xdr:nvSpPr>
      <xdr:spPr bwMode="auto">
        <a:xfrm>
          <a:off x="3886200" y="43786425"/>
          <a:ext cx="6191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268</xdr:row>
      <xdr:rowOff>0</xdr:rowOff>
    </xdr:from>
    <xdr:to>
      <xdr:col>4</xdr:col>
      <xdr:colOff>38100</xdr:colOff>
      <xdr:row>268</xdr:row>
      <xdr:rowOff>0</xdr:rowOff>
    </xdr:to>
    <xdr:sp macro="" textlink="">
      <xdr:nvSpPr>
        <xdr:cNvPr id="197" name="Text Box 196"/>
        <xdr:cNvSpPr txBox="1">
          <a:spLocks noChangeArrowheads="1"/>
        </xdr:cNvSpPr>
      </xdr:nvSpPr>
      <xdr:spPr bwMode="auto">
        <a:xfrm>
          <a:off x="2133600" y="4378642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5</xdr:col>
      <xdr:colOff>47625</xdr:colOff>
      <xdr:row>293</xdr:row>
      <xdr:rowOff>0</xdr:rowOff>
    </xdr:from>
    <xdr:to>
      <xdr:col>6</xdr:col>
      <xdr:colOff>19050</xdr:colOff>
      <xdr:row>293</xdr:row>
      <xdr:rowOff>0</xdr:rowOff>
    </xdr:to>
    <xdr:sp macro="" textlink="">
      <xdr:nvSpPr>
        <xdr:cNvPr id="198" name="Text Box 197"/>
        <xdr:cNvSpPr txBox="1">
          <a:spLocks noChangeArrowheads="1"/>
        </xdr:cNvSpPr>
      </xdr:nvSpPr>
      <xdr:spPr bwMode="auto">
        <a:xfrm>
          <a:off x="3886200" y="47834550"/>
          <a:ext cx="6191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293</xdr:row>
      <xdr:rowOff>0</xdr:rowOff>
    </xdr:from>
    <xdr:to>
      <xdr:col>4</xdr:col>
      <xdr:colOff>38100</xdr:colOff>
      <xdr:row>293</xdr:row>
      <xdr:rowOff>0</xdr:rowOff>
    </xdr:to>
    <xdr:sp macro="" textlink="">
      <xdr:nvSpPr>
        <xdr:cNvPr id="199" name="Text Box 198"/>
        <xdr:cNvSpPr txBox="1">
          <a:spLocks noChangeArrowheads="1"/>
        </xdr:cNvSpPr>
      </xdr:nvSpPr>
      <xdr:spPr bwMode="auto">
        <a:xfrm>
          <a:off x="2133600" y="478345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6</xdr:col>
      <xdr:colOff>47625</xdr:colOff>
      <xdr:row>94</xdr:row>
      <xdr:rowOff>0</xdr:rowOff>
    </xdr:from>
    <xdr:to>
      <xdr:col>7</xdr:col>
      <xdr:colOff>19050</xdr:colOff>
      <xdr:row>94</xdr:row>
      <xdr:rowOff>0</xdr:rowOff>
    </xdr:to>
    <xdr:sp macro="" textlink="">
      <xdr:nvSpPr>
        <xdr:cNvPr id="200" name="Text Box 199"/>
        <xdr:cNvSpPr txBox="1">
          <a:spLocks noChangeArrowheads="1"/>
        </xdr:cNvSpPr>
      </xdr:nvSpPr>
      <xdr:spPr bwMode="auto">
        <a:xfrm>
          <a:off x="4533900" y="1548765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94</xdr:row>
      <xdr:rowOff>0</xdr:rowOff>
    </xdr:from>
    <xdr:to>
      <xdr:col>4</xdr:col>
      <xdr:colOff>38100</xdr:colOff>
      <xdr:row>94</xdr:row>
      <xdr:rowOff>0</xdr:rowOff>
    </xdr:to>
    <xdr:sp macro="" textlink="">
      <xdr:nvSpPr>
        <xdr:cNvPr id="201" name="Text Box 200"/>
        <xdr:cNvSpPr txBox="1">
          <a:spLocks noChangeArrowheads="1"/>
        </xdr:cNvSpPr>
      </xdr:nvSpPr>
      <xdr:spPr bwMode="auto">
        <a:xfrm>
          <a:off x="2133600" y="154876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97</xdr:row>
      <xdr:rowOff>0</xdr:rowOff>
    </xdr:from>
    <xdr:to>
      <xdr:col>8</xdr:col>
      <xdr:colOff>0</xdr:colOff>
      <xdr:row>97</xdr:row>
      <xdr:rowOff>0</xdr:rowOff>
    </xdr:to>
    <xdr:sp macro="" textlink="">
      <xdr:nvSpPr>
        <xdr:cNvPr id="655663" name="Line 201"/>
        <xdr:cNvSpPr>
          <a:spLocks noChangeShapeType="1"/>
        </xdr:cNvSpPr>
      </xdr:nvSpPr>
      <xdr:spPr bwMode="auto">
        <a:xfrm>
          <a:off x="1181100" y="159734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96</xdr:row>
      <xdr:rowOff>0</xdr:rowOff>
    </xdr:from>
    <xdr:to>
      <xdr:col>2</xdr:col>
      <xdr:colOff>0</xdr:colOff>
      <xdr:row>96</xdr:row>
      <xdr:rowOff>0</xdr:rowOff>
    </xdr:to>
    <xdr:sp macro="" textlink="">
      <xdr:nvSpPr>
        <xdr:cNvPr id="655664" name="Line 202"/>
        <xdr:cNvSpPr>
          <a:spLocks noChangeShapeType="1"/>
        </xdr:cNvSpPr>
      </xdr:nvSpPr>
      <xdr:spPr bwMode="auto">
        <a:xfrm>
          <a:off x="1181100" y="158115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96</xdr:row>
      <xdr:rowOff>0</xdr:rowOff>
    </xdr:from>
    <xdr:to>
      <xdr:col>8</xdr:col>
      <xdr:colOff>257175</xdr:colOff>
      <xdr:row>96</xdr:row>
      <xdr:rowOff>0</xdr:rowOff>
    </xdr:to>
    <xdr:sp macro="" textlink="">
      <xdr:nvSpPr>
        <xdr:cNvPr id="655665" name="Line 203"/>
        <xdr:cNvSpPr>
          <a:spLocks noChangeShapeType="1"/>
        </xdr:cNvSpPr>
      </xdr:nvSpPr>
      <xdr:spPr bwMode="auto">
        <a:xfrm>
          <a:off x="5762625" y="158115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96</xdr:row>
      <xdr:rowOff>0</xdr:rowOff>
    </xdr:from>
    <xdr:to>
      <xdr:col>2</xdr:col>
      <xdr:colOff>0</xdr:colOff>
      <xdr:row>97</xdr:row>
      <xdr:rowOff>0</xdr:rowOff>
    </xdr:to>
    <xdr:sp macro="" textlink="">
      <xdr:nvSpPr>
        <xdr:cNvPr id="655666" name="Line 204"/>
        <xdr:cNvSpPr>
          <a:spLocks noChangeShapeType="1"/>
        </xdr:cNvSpPr>
      </xdr:nvSpPr>
      <xdr:spPr bwMode="auto">
        <a:xfrm>
          <a:off x="1181100" y="1581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96</xdr:row>
      <xdr:rowOff>0</xdr:rowOff>
    </xdr:from>
    <xdr:to>
      <xdr:col>8</xdr:col>
      <xdr:colOff>0</xdr:colOff>
      <xdr:row>97</xdr:row>
      <xdr:rowOff>0</xdr:rowOff>
    </xdr:to>
    <xdr:sp macro="" textlink="">
      <xdr:nvSpPr>
        <xdr:cNvPr id="655667" name="Line 205"/>
        <xdr:cNvSpPr>
          <a:spLocks noChangeShapeType="1"/>
        </xdr:cNvSpPr>
      </xdr:nvSpPr>
      <xdr:spPr bwMode="auto">
        <a:xfrm>
          <a:off x="5762625" y="158115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8</xdr:col>
      <xdr:colOff>0</xdr:colOff>
      <xdr:row>98</xdr:row>
      <xdr:rowOff>0</xdr:rowOff>
    </xdr:to>
    <xdr:sp macro="" textlink="">
      <xdr:nvSpPr>
        <xdr:cNvPr id="655668" name="Line 206"/>
        <xdr:cNvSpPr>
          <a:spLocks noChangeShapeType="1"/>
        </xdr:cNvSpPr>
      </xdr:nvSpPr>
      <xdr:spPr bwMode="auto">
        <a:xfrm>
          <a:off x="1181100" y="1613535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94</xdr:row>
      <xdr:rowOff>0</xdr:rowOff>
    </xdr:from>
    <xdr:to>
      <xdr:col>5</xdr:col>
      <xdr:colOff>0</xdr:colOff>
      <xdr:row>97</xdr:row>
      <xdr:rowOff>161925</xdr:rowOff>
    </xdr:to>
    <xdr:sp macro="" textlink="">
      <xdr:nvSpPr>
        <xdr:cNvPr id="655669" name="Line 207"/>
        <xdr:cNvSpPr>
          <a:spLocks noChangeShapeType="1"/>
        </xdr:cNvSpPr>
      </xdr:nvSpPr>
      <xdr:spPr bwMode="auto">
        <a:xfrm>
          <a:off x="3838575" y="154876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94</xdr:row>
      <xdr:rowOff>85725</xdr:rowOff>
    </xdr:from>
    <xdr:to>
      <xdr:col>3</xdr:col>
      <xdr:colOff>0</xdr:colOff>
      <xdr:row>96</xdr:row>
      <xdr:rowOff>161925</xdr:rowOff>
    </xdr:to>
    <xdr:sp macro="" textlink="">
      <xdr:nvSpPr>
        <xdr:cNvPr id="655670" name="Line 208"/>
        <xdr:cNvSpPr>
          <a:spLocks noChangeShapeType="1"/>
        </xdr:cNvSpPr>
      </xdr:nvSpPr>
      <xdr:spPr bwMode="auto">
        <a:xfrm>
          <a:off x="2076450" y="155733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96</xdr:row>
      <xdr:rowOff>0</xdr:rowOff>
    </xdr:from>
    <xdr:to>
      <xdr:col>5</xdr:col>
      <xdr:colOff>0</xdr:colOff>
      <xdr:row>96</xdr:row>
      <xdr:rowOff>0</xdr:rowOff>
    </xdr:to>
    <xdr:sp macro="" textlink="">
      <xdr:nvSpPr>
        <xdr:cNvPr id="655671" name="Line 209"/>
        <xdr:cNvSpPr>
          <a:spLocks noChangeShapeType="1"/>
        </xdr:cNvSpPr>
      </xdr:nvSpPr>
      <xdr:spPr bwMode="auto">
        <a:xfrm>
          <a:off x="1181100" y="158115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771525</xdr:colOff>
      <xdr:row>95</xdr:row>
      <xdr:rowOff>133350</xdr:rowOff>
    </xdr:from>
    <xdr:to>
      <xdr:col>3</xdr:col>
      <xdr:colOff>95250</xdr:colOff>
      <xdr:row>96</xdr:row>
      <xdr:rowOff>38100</xdr:rowOff>
    </xdr:to>
    <xdr:sp macro="" textlink="">
      <xdr:nvSpPr>
        <xdr:cNvPr id="655672" name="Line 210"/>
        <xdr:cNvSpPr>
          <a:spLocks noChangeShapeType="1"/>
        </xdr:cNvSpPr>
      </xdr:nvSpPr>
      <xdr:spPr bwMode="auto">
        <a:xfrm flipH="1">
          <a:off x="1952625" y="15782925"/>
          <a:ext cx="21907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733425</xdr:colOff>
      <xdr:row>94</xdr:row>
      <xdr:rowOff>85725</xdr:rowOff>
    </xdr:from>
    <xdr:to>
      <xdr:col>3</xdr:col>
      <xdr:colOff>0</xdr:colOff>
      <xdr:row>94</xdr:row>
      <xdr:rowOff>85725</xdr:rowOff>
    </xdr:to>
    <xdr:sp macro="" textlink="">
      <xdr:nvSpPr>
        <xdr:cNvPr id="655673" name="Line 211"/>
        <xdr:cNvSpPr>
          <a:spLocks noChangeShapeType="1"/>
        </xdr:cNvSpPr>
      </xdr:nvSpPr>
      <xdr:spPr bwMode="auto">
        <a:xfrm flipV="1">
          <a:off x="1914525" y="15573375"/>
          <a:ext cx="161925"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119</xdr:row>
      <xdr:rowOff>0</xdr:rowOff>
    </xdr:from>
    <xdr:to>
      <xdr:col>7</xdr:col>
      <xdr:colOff>19050</xdr:colOff>
      <xdr:row>119</xdr:row>
      <xdr:rowOff>0</xdr:rowOff>
    </xdr:to>
    <xdr:sp macro="" textlink="">
      <xdr:nvSpPr>
        <xdr:cNvPr id="213" name="Text Box 212"/>
        <xdr:cNvSpPr txBox="1">
          <a:spLocks noChangeArrowheads="1"/>
        </xdr:cNvSpPr>
      </xdr:nvSpPr>
      <xdr:spPr bwMode="auto">
        <a:xfrm>
          <a:off x="4533900" y="1953577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119</xdr:row>
      <xdr:rowOff>0</xdr:rowOff>
    </xdr:from>
    <xdr:to>
      <xdr:col>4</xdr:col>
      <xdr:colOff>38100</xdr:colOff>
      <xdr:row>119</xdr:row>
      <xdr:rowOff>0</xdr:rowOff>
    </xdr:to>
    <xdr:sp macro="" textlink="">
      <xdr:nvSpPr>
        <xdr:cNvPr id="214" name="Text Box 213"/>
        <xdr:cNvSpPr txBox="1">
          <a:spLocks noChangeArrowheads="1"/>
        </xdr:cNvSpPr>
      </xdr:nvSpPr>
      <xdr:spPr bwMode="auto">
        <a:xfrm>
          <a:off x="2133600" y="1953577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122</xdr:row>
      <xdr:rowOff>0</xdr:rowOff>
    </xdr:from>
    <xdr:to>
      <xdr:col>8</xdr:col>
      <xdr:colOff>0</xdr:colOff>
      <xdr:row>122</xdr:row>
      <xdr:rowOff>0</xdr:rowOff>
    </xdr:to>
    <xdr:sp macro="" textlink="">
      <xdr:nvSpPr>
        <xdr:cNvPr id="655676" name="Line 214"/>
        <xdr:cNvSpPr>
          <a:spLocks noChangeShapeType="1"/>
        </xdr:cNvSpPr>
      </xdr:nvSpPr>
      <xdr:spPr bwMode="auto">
        <a:xfrm>
          <a:off x="1181100" y="20021550"/>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121</xdr:row>
      <xdr:rowOff>0</xdr:rowOff>
    </xdr:from>
    <xdr:to>
      <xdr:col>2</xdr:col>
      <xdr:colOff>0</xdr:colOff>
      <xdr:row>121</xdr:row>
      <xdr:rowOff>0</xdr:rowOff>
    </xdr:to>
    <xdr:sp macro="" textlink="">
      <xdr:nvSpPr>
        <xdr:cNvPr id="655677" name="Line 215"/>
        <xdr:cNvSpPr>
          <a:spLocks noChangeShapeType="1"/>
        </xdr:cNvSpPr>
      </xdr:nvSpPr>
      <xdr:spPr bwMode="auto">
        <a:xfrm>
          <a:off x="1181100" y="19859625"/>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600075</xdr:colOff>
      <xdr:row>121</xdr:row>
      <xdr:rowOff>0</xdr:rowOff>
    </xdr:from>
    <xdr:to>
      <xdr:col>8</xdr:col>
      <xdr:colOff>180975</xdr:colOff>
      <xdr:row>121</xdr:row>
      <xdr:rowOff>0</xdr:rowOff>
    </xdr:to>
    <xdr:sp macro="" textlink="">
      <xdr:nvSpPr>
        <xdr:cNvPr id="655678" name="Line 216"/>
        <xdr:cNvSpPr>
          <a:spLocks noChangeShapeType="1"/>
        </xdr:cNvSpPr>
      </xdr:nvSpPr>
      <xdr:spPr bwMode="auto">
        <a:xfrm>
          <a:off x="5686425" y="19859625"/>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121</xdr:row>
      <xdr:rowOff>0</xdr:rowOff>
    </xdr:from>
    <xdr:to>
      <xdr:col>2</xdr:col>
      <xdr:colOff>0</xdr:colOff>
      <xdr:row>122</xdr:row>
      <xdr:rowOff>0</xdr:rowOff>
    </xdr:to>
    <xdr:sp macro="" textlink="">
      <xdr:nvSpPr>
        <xdr:cNvPr id="655679" name="Line 217"/>
        <xdr:cNvSpPr>
          <a:spLocks noChangeShapeType="1"/>
        </xdr:cNvSpPr>
      </xdr:nvSpPr>
      <xdr:spPr bwMode="auto">
        <a:xfrm>
          <a:off x="1181100" y="19859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121</xdr:row>
      <xdr:rowOff>0</xdr:rowOff>
    </xdr:from>
    <xdr:to>
      <xdr:col>8</xdr:col>
      <xdr:colOff>0</xdr:colOff>
      <xdr:row>122</xdr:row>
      <xdr:rowOff>0</xdr:rowOff>
    </xdr:to>
    <xdr:sp macro="" textlink="">
      <xdr:nvSpPr>
        <xdr:cNvPr id="655680" name="Line 218"/>
        <xdr:cNvSpPr>
          <a:spLocks noChangeShapeType="1"/>
        </xdr:cNvSpPr>
      </xdr:nvSpPr>
      <xdr:spPr bwMode="auto">
        <a:xfrm>
          <a:off x="5762625" y="19859625"/>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123</xdr:row>
      <xdr:rowOff>0</xdr:rowOff>
    </xdr:from>
    <xdr:to>
      <xdr:col>8</xdr:col>
      <xdr:colOff>0</xdr:colOff>
      <xdr:row>123</xdr:row>
      <xdr:rowOff>0</xdr:rowOff>
    </xdr:to>
    <xdr:sp macro="" textlink="">
      <xdr:nvSpPr>
        <xdr:cNvPr id="655681" name="Line 219"/>
        <xdr:cNvSpPr>
          <a:spLocks noChangeShapeType="1"/>
        </xdr:cNvSpPr>
      </xdr:nvSpPr>
      <xdr:spPr bwMode="auto">
        <a:xfrm>
          <a:off x="1181100" y="20183475"/>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119</xdr:row>
      <xdr:rowOff>0</xdr:rowOff>
    </xdr:from>
    <xdr:to>
      <xdr:col>5</xdr:col>
      <xdr:colOff>0</xdr:colOff>
      <xdr:row>122</xdr:row>
      <xdr:rowOff>161925</xdr:rowOff>
    </xdr:to>
    <xdr:sp macro="" textlink="">
      <xdr:nvSpPr>
        <xdr:cNvPr id="655682" name="Line 220"/>
        <xdr:cNvSpPr>
          <a:spLocks noChangeShapeType="1"/>
        </xdr:cNvSpPr>
      </xdr:nvSpPr>
      <xdr:spPr bwMode="auto">
        <a:xfrm>
          <a:off x="3838575" y="19535775"/>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119</xdr:row>
      <xdr:rowOff>85725</xdr:rowOff>
    </xdr:from>
    <xdr:to>
      <xdr:col>4</xdr:col>
      <xdr:colOff>0</xdr:colOff>
      <xdr:row>121</xdr:row>
      <xdr:rowOff>161925</xdr:rowOff>
    </xdr:to>
    <xdr:sp macro="" textlink="">
      <xdr:nvSpPr>
        <xdr:cNvPr id="655683" name="Line 221"/>
        <xdr:cNvSpPr>
          <a:spLocks noChangeShapeType="1"/>
        </xdr:cNvSpPr>
      </xdr:nvSpPr>
      <xdr:spPr bwMode="auto">
        <a:xfrm>
          <a:off x="2905125" y="19621500"/>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121</xdr:row>
      <xdr:rowOff>0</xdr:rowOff>
    </xdr:from>
    <xdr:to>
      <xdr:col>5</xdr:col>
      <xdr:colOff>0</xdr:colOff>
      <xdr:row>121</xdr:row>
      <xdr:rowOff>0</xdr:rowOff>
    </xdr:to>
    <xdr:sp macro="" textlink="">
      <xdr:nvSpPr>
        <xdr:cNvPr id="655684" name="Line 222"/>
        <xdr:cNvSpPr>
          <a:spLocks noChangeShapeType="1"/>
        </xdr:cNvSpPr>
      </xdr:nvSpPr>
      <xdr:spPr bwMode="auto">
        <a:xfrm>
          <a:off x="1181100" y="19859625"/>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657225</xdr:colOff>
      <xdr:row>120</xdr:row>
      <xdr:rowOff>142875</xdr:rowOff>
    </xdr:from>
    <xdr:to>
      <xdr:col>4</xdr:col>
      <xdr:colOff>104775</xdr:colOff>
      <xdr:row>121</xdr:row>
      <xdr:rowOff>47625</xdr:rowOff>
    </xdr:to>
    <xdr:sp macro="" textlink="">
      <xdr:nvSpPr>
        <xdr:cNvPr id="655685" name="Line 223"/>
        <xdr:cNvSpPr>
          <a:spLocks noChangeShapeType="1"/>
        </xdr:cNvSpPr>
      </xdr:nvSpPr>
      <xdr:spPr bwMode="auto">
        <a:xfrm flipH="1">
          <a:off x="2733675" y="19840575"/>
          <a:ext cx="276225" cy="66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790575</xdr:colOff>
      <xdr:row>119</xdr:row>
      <xdr:rowOff>85725</xdr:rowOff>
    </xdr:from>
    <xdr:to>
      <xdr:col>4</xdr:col>
      <xdr:colOff>0</xdr:colOff>
      <xdr:row>119</xdr:row>
      <xdr:rowOff>85725</xdr:rowOff>
    </xdr:to>
    <xdr:sp macro="" textlink="">
      <xdr:nvSpPr>
        <xdr:cNvPr id="655686" name="Line 224"/>
        <xdr:cNvSpPr>
          <a:spLocks noChangeShapeType="1"/>
        </xdr:cNvSpPr>
      </xdr:nvSpPr>
      <xdr:spPr bwMode="auto">
        <a:xfrm>
          <a:off x="1971675" y="19621500"/>
          <a:ext cx="93345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141</xdr:row>
      <xdr:rowOff>0</xdr:rowOff>
    </xdr:from>
    <xdr:to>
      <xdr:col>7</xdr:col>
      <xdr:colOff>19050</xdr:colOff>
      <xdr:row>141</xdr:row>
      <xdr:rowOff>0</xdr:rowOff>
    </xdr:to>
    <xdr:sp macro="" textlink="">
      <xdr:nvSpPr>
        <xdr:cNvPr id="226" name="Text Box 225"/>
        <xdr:cNvSpPr txBox="1">
          <a:spLocks noChangeArrowheads="1"/>
        </xdr:cNvSpPr>
      </xdr:nvSpPr>
      <xdr:spPr bwMode="auto">
        <a:xfrm>
          <a:off x="4533900" y="2309812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141</xdr:row>
      <xdr:rowOff>0</xdr:rowOff>
    </xdr:from>
    <xdr:to>
      <xdr:col>4</xdr:col>
      <xdr:colOff>38100</xdr:colOff>
      <xdr:row>141</xdr:row>
      <xdr:rowOff>0</xdr:rowOff>
    </xdr:to>
    <xdr:sp macro="" textlink="">
      <xdr:nvSpPr>
        <xdr:cNvPr id="227" name="Text Box 226"/>
        <xdr:cNvSpPr txBox="1">
          <a:spLocks noChangeArrowheads="1"/>
        </xdr:cNvSpPr>
      </xdr:nvSpPr>
      <xdr:spPr bwMode="auto">
        <a:xfrm>
          <a:off x="2133600" y="2309812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2</xdr:col>
      <xdr:colOff>0</xdr:colOff>
      <xdr:row>145</xdr:row>
      <xdr:rowOff>0</xdr:rowOff>
    </xdr:from>
    <xdr:to>
      <xdr:col>8</xdr:col>
      <xdr:colOff>0</xdr:colOff>
      <xdr:row>145</xdr:row>
      <xdr:rowOff>0</xdr:rowOff>
    </xdr:to>
    <xdr:sp macro="" textlink="">
      <xdr:nvSpPr>
        <xdr:cNvPr id="655689" name="Line 227"/>
        <xdr:cNvSpPr>
          <a:spLocks noChangeShapeType="1"/>
        </xdr:cNvSpPr>
      </xdr:nvSpPr>
      <xdr:spPr bwMode="auto">
        <a:xfrm>
          <a:off x="1181100" y="23745825"/>
          <a:ext cx="458152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144</xdr:row>
      <xdr:rowOff>0</xdr:rowOff>
    </xdr:from>
    <xdr:to>
      <xdr:col>2</xdr:col>
      <xdr:colOff>0</xdr:colOff>
      <xdr:row>144</xdr:row>
      <xdr:rowOff>0</xdr:rowOff>
    </xdr:to>
    <xdr:sp macro="" textlink="">
      <xdr:nvSpPr>
        <xdr:cNvPr id="655690" name="Line 228"/>
        <xdr:cNvSpPr>
          <a:spLocks noChangeShapeType="1"/>
        </xdr:cNvSpPr>
      </xdr:nvSpPr>
      <xdr:spPr bwMode="auto">
        <a:xfrm>
          <a:off x="1181100" y="23583900"/>
          <a:ext cx="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600075</xdr:colOff>
      <xdr:row>144</xdr:row>
      <xdr:rowOff>0</xdr:rowOff>
    </xdr:from>
    <xdr:to>
      <xdr:col>8</xdr:col>
      <xdr:colOff>180975</xdr:colOff>
      <xdr:row>144</xdr:row>
      <xdr:rowOff>0</xdr:rowOff>
    </xdr:to>
    <xdr:sp macro="" textlink="">
      <xdr:nvSpPr>
        <xdr:cNvPr id="655691" name="Line 229"/>
        <xdr:cNvSpPr>
          <a:spLocks noChangeShapeType="1"/>
        </xdr:cNvSpPr>
      </xdr:nvSpPr>
      <xdr:spPr bwMode="auto">
        <a:xfrm>
          <a:off x="5686425" y="23583900"/>
          <a:ext cx="2571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144</xdr:row>
      <xdr:rowOff>0</xdr:rowOff>
    </xdr:from>
    <xdr:to>
      <xdr:col>2</xdr:col>
      <xdr:colOff>0</xdr:colOff>
      <xdr:row>145</xdr:row>
      <xdr:rowOff>0</xdr:rowOff>
    </xdr:to>
    <xdr:sp macro="" textlink="">
      <xdr:nvSpPr>
        <xdr:cNvPr id="655692" name="Line 230"/>
        <xdr:cNvSpPr>
          <a:spLocks noChangeShapeType="1"/>
        </xdr:cNvSpPr>
      </xdr:nvSpPr>
      <xdr:spPr bwMode="auto">
        <a:xfrm>
          <a:off x="1181100" y="235839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144</xdr:row>
      <xdr:rowOff>0</xdr:rowOff>
    </xdr:from>
    <xdr:to>
      <xdr:col>8</xdr:col>
      <xdr:colOff>0</xdr:colOff>
      <xdr:row>145</xdr:row>
      <xdr:rowOff>0</xdr:rowOff>
    </xdr:to>
    <xdr:sp macro="" textlink="">
      <xdr:nvSpPr>
        <xdr:cNvPr id="655693" name="Line 231"/>
        <xdr:cNvSpPr>
          <a:spLocks noChangeShapeType="1"/>
        </xdr:cNvSpPr>
      </xdr:nvSpPr>
      <xdr:spPr bwMode="auto">
        <a:xfrm>
          <a:off x="5762625" y="23583900"/>
          <a:ext cx="0" cy="16192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146</xdr:row>
      <xdr:rowOff>0</xdr:rowOff>
    </xdr:from>
    <xdr:to>
      <xdr:col>8</xdr:col>
      <xdr:colOff>0</xdr:colOff>
      <xdr:row>146</xdr:row>
      <xdr:rowOff>0</xdr:rowOff>
    </xdr:to>
    <xdr:sp macro="" textlink="">
      <xdr:nvSpPr>
        <xdr:cNvPr id="655694" name="Line 232"/>
        <xdr:cNvSpPr>
          <a:spLocks noChangeShapeType="1"/>
        </xdr:cNvSpPr>
      </xdr:nvSpPr>
      <xdr:spPr bwMode="auto">
        <a:xfrm>
          <a:off x="1181100" y="23907750"/>
          <a:ext cx="45815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142</xdr:row>
      <xdr:rowOff>0</xdr:rowOff>
    </xdr:from>
    <xdr:to>
      <xdr:col>5</xdr:col>
      <xdr:colOff>0</xdr:colOff>
      <xdr:row>145</xdr:row>
      <xdr:rowOff>161925</xdr:rowOff>
    </xdr:to>
    <xdr:sp macro="" textlink="">
      <xdr:nvSpPr>
        <xdr:cNvPr id="655695" name="Line 233"/>
        <xdr:cNvSpPr>
          <a:spLocks noChangeShapeType="1"/>
        </xdr:cNvSpPr>
      </xdr:nvSpPr>
      <xdr:spPr bwMode="auto">
        <a:xfrm>
          <a:off x="3838575" y="23260050"/>
          <a:ext cx="0" cy="647700"/>
        </a:xfrm>
        <a:prstGeom prst="line">
          <a:avLst/>
        </a:prstGeom>
        <a:noFill/>
        <a:ln w="12700">
          <a:solidFill>
            <a:srgbClr val="000000"/>
          </a:solidFill>
          <a:prstDash val="dash"/>
          <a:round/>
          <a:headEnd type="oval"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171450</xdr:colOff>
      <xdr:row>142</xdr:row>
      <xdr:rowOff>85725</xdr:rowOff>
    </xdr:from>
    <xdr:to>
      <xdr:col>3</xdr:col>
      <xdr:colOff>171450</xdr:colOff>
      <xdr:row>144</xdr:row>
      <xdr:rowOff>161925</xdr:rowOff>
    </xdr:to>
    <xdr:sp macro="" textlink="">
      <xdr:nvSpPr>
        <xdr:cNvPr id="655696" name="Line 234"/>
        <xdr:cNvSpPr>
          <a:spLocks noChangeShapeType="1"/>
        </xdr:cNvSpPr>
      </xdr:nvSpPr>
      <xdr:spPr bwMode="auto">
        <a:xfrm>
          <a:off x="2247900" y="233457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144</xdr:row>
      <xdr:rowOff>0</xdr:rowOff>
    </xdr:from>
    <xdr:to>
      <xdr:col>5</xdr:col>
      <xdr:colOff>0</xdr:colOff>
      <xdr:row>144</xdr:row>
      <xdr:rowOff>0</xdr:rowOff>
    </xdr:to>
    <xdr:sp macro="" textlink="">
      <xdr:nvSpPr>
        <xdr:cNvPr id="655697" name="Line 235"/>
        <xdr:cNvSpPr>
          <a:spLocks noChangeShapeType="1"/>
        </xdr:cNvSpPr>
      </xdr:nvSpPr>
      <xdr:spPr bwMode="auto">
        <a:xfrm>
          <a:off x="1181100" y="23583900"/>
          <a:ext cx="26574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133350</xdr:colOff>
      <xdr:row>143</xdr:row>
      <xdr:rowOff>152400</xdr:rowOff>
    </xdr:from>
    <xdr:to>
      <xdr:col>3</xdr:col>
      <xdr:colOff>190500</xdr:colOff>
      <xdr:row>144</xdr:row>
      <xdr:rowOff>47625</xdr:rowOff>
    </xdr:to>
    <xdr:sp macro="" textlink="">
      <xdr:nvSpPr>
        <xdr:cNvPr id="655698" name="Line 236"/>
        <xdr:cNvSpPr>
          <a:spLocks noChangeShapeType="1"/>
        </xdr:cNvSpPr>
      </xdr:nvSpPr>
      <xdr:spPr bwMode="auto">
        <a:xfrm flipH="1">
          <a:off x="2209800" y="23574375"/>
          <a:ext cx="57150"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447675</xdr:colOff>
      <xdr:row>142</xdr:row>
      <xdr:rowOff>85725</xdr:rowOff>
    </xdr:from>
    <xdr:to>
      <xdr:col>2</xdr:col>
      <xdr:colOff>504825</xdr:colOff>
      <xdr:row>142</xdr:row>
      <xdr:rowOff>85725</xdr:rowOff>
    </xdr:to>
    <xdr:sp macro="" textlink="">
      <xdr:nvSpPr>
        <xdr:cNvPr id="655699" name="Line 237"/>
        <xdr:cNvSpPr>
          <a:spLocks noChangeShapeType="1"/>
        </xdr:cNvSpPr>
      </xdr:nvSpPr>
      <xdr:spPr bwMode="auto">
        <a:xfrm>
          <a:off x="1628775" y="23345775"/>
          <a:ext cx="571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95250</xdr:rowOff>
    </xdr:from>
    <xdr:to>
      <xdr:col>6</xdr:col>
      <xdr:colOff>0</xdr:colOff>
      <xdr:row>145</xdr:row>
      <xdr:rowOff>0</xdr:rowOff>
    </xdr:to>
    <xdr:sp macro="" textlink="">
      <xdr:nvSpPr>
        <xdr:cNvPr id="655700" name="Line 238"/>
        <xdr:cNvSpPr>
          <a:spLocks noChangeShapeType="1"/>
        </xdr:cNvSpPr>
      </xdr:nvSpPr>
      <xdr:spPr bwMode="auto">
        <a:xfrm>
          <a:off x="4486275" y="23355300"/>
          <a:ext cx="0" cy="390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142</xdr:row>
      <xdr:rowOff>95250</xdr:rowOff>
    </xdr:from>
    <xdr:to>
      <xdr:col>7</xdr:col>
      <xdr:colOff>0</xdr:colOff>
      <xdr:row>142</xdr:row>
      <xdr:rowOff>95250</xdr:rowOff>
    </xdr:to>
    <xdr:sp macro="" textlink="">
      <xdr:nvSpPr>
        <xdr:cNvPr id="655701" name="Line 239"/>
        <xdr:cNvSpPr>
          <a:spLocks noChangeShapeType="1"/>
        </xdr:cNvSpPr>
      </xdr:nvSpPr>
      <xdr:spPr bwMode="auto">
        <a:xfrm>
          <a:off x="4486275" y="23355300"/>
          <a:ext cx="6000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144</xdr:row>
      <xdr:rowOff>0</xdr:rowOff>
    </xdr:from>
    <xdr:to>
      <xdr:col>6</xdr:col>
      <xdr:colOff>0</xdr:colOff>
      <xdr:row>144</xdr:row>
      <xdr:rowOff>0</xdr:rowOff>
    </xdr:to>
    <xdr:sp macro="" textlink="">
      <xdr:nvSpPr>
        <xdr:cNvPr id="655702" name="Line 240"/>
        <xdr:cNvSpPr>
          <a:spLocks noChangeShapeType="1"/>
        </xdr:cNvSpPr>
      </xdr:nvSpPr>
      <xdr:spPr bwMode="auto">
        <a:xfrm>
          <a:off x="3848100" y="23583900"/>
          <a:ext cx="6381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190500</xdr:colOff>
      <xdr:row>121</xdr:row>
      <xdr:rowOff>0</xdr:rowOff>
    </xdr:from>
    <xdr:to>
      <xdr:col>2</xdr:col>
      <xdr:colOff>19050</xdr:colOff>
      <xdr:row>121</xdr:row>
      <xdr:rowOff>0</xdr:rowOff>
    </xdr:to>
    <xdr:sp macro="" textlink="">
      <xdr:nvSpPr>
        <xdr:cNvPr id="655703" name="Line 241"/>
        <xdr:cNvSpPr>
          <a:spLocks noChangeShapeType="1"/>
        </xdr:cNvSpPr>
      </xdr:nvSpPr>
      <xdr:spPr bwMode="auto">
        <a:xfrm>
          <a:off x="1019175" y="19859625"/>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180975</xdr:colOff>
      <xdr:row>96</xdr:row>
      <xdr:rowOff>0</xdr:rowOff>
    </xdr:from>
    <xdr:to>
      <xdr:col>2</xdr:col>
      <xdr:colOff>9525</xdr:colOff>
      <xdr:row>96</xdr:row>
      <xdr:rowOff>0</xdr:rowOff>
    </xdr:to>
    <xdr:sp macro="" textlink="">
      <xdr:nvSpPr>
        <xdr:cNvPr id="655704" name="Line 242"/>
        <xdr:cNvSpPr>
          <a:spLocks noChangeShapeType="1"/>
        </xdr:cNvSpPr>
      </xdr:nvSpPr>
      <xdr:spPr bwMode="auto">
        <a:xfrm>
          <a:off x="1009650" y="15811500"/>
          <a:ext cx="18097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47625</xdr:colOff>
      <xdr:row>102</xdr:row>
      <xdr:rowOff>0</xdr:rowOff>
    </xdr:from>
    <xdr:to>
      <xdr:col>7</xdr:col>
      <xdr:colOff>19050</xdr:colOff>
      <xdr:row>102</xdr:row>
      <xdr:rowOff>0</xdr:rowOff>
    </xdr:to>
    <xdr:sp macro="" textlink="">
      <xdr:nvSpPr>
        <xdr:cNvPr id="244" name="Text Box 243"/>
        <xdr:cNvSpPr txBox="1">
          <a:spLocks noChangeArrowheads="1"/>
        </xdr:cNvSpPr>
      </xdr:nvSpPr>
      <xdr:spPr bwMode="auto">
        <a:xfrm>
          <a:off x="4533900" y="1678305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102</xdr:row>
      <xdr:rowOff>0</xdr:rowOff>
    </xdr:from>
    <xdr:to>
      <xdr:col>4</xdr:col>
      <xdr:colOff>38100</xdr:colOff>
      <xdr:row>102</xdr:row>
      <xdr:rowOff>0</xdr:rowOff>
    </xdr:to>
    <xdr:sp macro="" textlink="">
      <xdr:nvSpPr>
        <xdr:cNvPr id="245" name="Text Box 244"/>
        <xdr:cNvSpPr txBox="1">
          <a:spLocks noChangeArrowheads="1"/>
        </xdr:cNvSpPr>
      </xdr:nvSpPr>
      <xdr:spPr bwMode="auto">
        <a:xfrm>
          <a:off x="2133600" y="1678305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6</xdr:col>
      <xdr:colOff>47625</xdr:colOff>
      <xdr:row>127</xdr:row>
      <xdr:rowOff>0</xdr:rowOff>
    </xdr:from>
    <xdr:to>
      <xdr:col>7</xdr:col>
      <xdr:colOff>19050</xdr:colOff>
      <xdr:row>127</xdr:row>
      <xdr:rowOff>0</xdr:rowOff>
    </xdr:to>
    <xdr:sp macro="" textlink="">
      <xdr:nvSpPr>
        <xdr:cNvPr id="246" name="Text Box 245"/>
        <xdr:cNvSpPr txBox="1">
          <a:spLocks noChangeArrowheads="1"/>
        </xdr:cNvSpPr>
      </xdr:nvSpPr>
      <xdr:spPr bwMode="auto">
        <a:xfrm>
          <a:off x="4533900" y="20831175"/>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127</xdr:row>
      <xdr:rowOff>0</xdr:rowOff>
    </xdr:from>
    <xdr:to>
      <xdr:col>4</xdr:col>
      <xdr:colOff>38100</xdr:colOff>
      <xdr:row>127</xdr:row>
      <xdr:rowOff>0</xdr:rowOff>
    </xdr:to>
    <xdr:sp macro="" textlink="">
      <xdr:nvSpPr>
        <xdr:cNvPr id="247" name="Text Box 246"/>
        <xdr:cNvSpPr txBox="1">
          <a:spLocks noChangeArrowheads="1"/>
        </xdr:cNvSpPr>
      </xdr:nvSpPr>
      <xdr:spPr bwMode="auto">
        <a:xfrm>
          <a:off x="2133600" y="20831175"/>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6</xdr:col>
      <xdr:colOff>47625</xdr:colOff>
      <xdr:row>152</xdr:row>
      <xdr:rowOff>0</xdr:rowOff>
    </xdr:from>
    <xdr:to>
      <xdr:col>7</xdr:col>
      <xdr:colOff>19050</xdr:colOff>
      <xdr:row>152</xdr:row>
      <xdr:rowOff>0</xdr:rowOff>
    </xdr:to>
    <xdr:sp macro="" textlink="">
      <xdr:nvSpPr>
        <xdr:cNvPr id="248" name="Text Box 247"/>
        <xdr:cNvSpPr txBox="1">
          <a:spLocks noChangeArrowheads="1"/>
        </xdr:cNvSpPr>
      </xdr:nvSpPr>
      <xdr:spPr bwMode="auto">
        <a:xfrm>
          <a:off x="4533900" y="24879300"/>
          <a:ext cx="571500"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T</a:t>
          </a:r>
        </a:p>
      </xdr:txBody>
    </xdr:sp>
    <xdr:clientData/>
  </xdr:twoCellAnchor>
  <xdr:twoCellAnchor>
    <xdr:from>
      <xdr:col>3</xdr:col>
      <xdr:colOff>57150</xdr:colOff>
      <xdr:row>152</xdr:row>
      <xdr:rowOff>0</xdr:rowOff>
    </xdr:from>
    <xdr:to>
      <xdr:col>4</xdr:col>
      <xdr:colOff>38100</xdr:colOff>
      <xdr:row>152</xdr:row>
      <xdr:rowOff>0</xdr:rowOff>
    </xdr:to>
    <xdr:sp macro="" textlink="">
      <xdr:nvSpPr>
        <xdr:cNvPr id="249" name="Text Box 248"/>
        <xdr:cNvSpPr txBox="1">
          <a:spLocks noChangeArrowheads="1"/>
        </xdr:cNvSpPr>
      </xdr:nvSpPr>
      <xdr:spPr bwMode="auto">
        <a:xfrm>
          <a:off x="2133600" y="24879300"/>
          <a:ext cx="809625" cy="0"/>
        </a:xfrm>
        <a:prstGeom prst="rect">
          <a:avLst/>
        </a:prstGeom>
        <a:solidFill>
          <a:srgbClr val="FFFFFF"/>
        </a:solidFill>
        <a:ln>
          <a:noFill/>
        </a:ln>
      </xdr:spPr>
      <xdr:txBody>
        <a:bodyPr vertOverflow="clip" wrap="square" lIns="27432" tIns="18288" rIns="0" bIns="0" anchor="t" upright="1"/>
        <a:lstStyle/>
        <a:p>
          <a:pPr algn="l" rtl="0">
            <a:defRPr sz="1000"/>
          </a:pPr>
          <a:r>
            <a:rPr lang="en-US" sz="1000" b="0" i="0" u="none" strike="noStrike" baseline="0">
              <a:solidFill>
                <a:srgbClr val="000000"/>
              </a:solidFill>
              <a:latin typeface="Arial"/>
              <a:cs typeface="Arial"/>
            </a:rPr>
            <a:t>M</a:t>
          </a:r>
          <a:r>
            <a:rPr lang="en-US" sz="1000" b="0" i="0" u="none" strike="noStrike" baseline="-25000">
              <a:solidFill>
                <a:srgbClr val="000000"/>
              </a:solidFill>
              <a:latin typeface="Arial"/>
              <a:cs typeface="Arial"/>
            </a:rPr>
            <a:t>L</a:t>
          </a:r>
        </a:p>
        <a:p>
          <a:pPr algn="l" rtl="0">
            <a:defRPr sz="1000"/>
          </a:pPr>
          <a:endParaRPr lang="en-US" sz="1000" b="0" i="0" u="none" strike="noStrike" baseline="-25000">
            <a:solidFill>
              <a:srgbClr val="000000"/>
            </a:solidFill>
            <a:latin typeface="Arial"/>
            <a:cs typeface="Arial"/>
          </a:endParaRPr>
        </a:p>
      </xdr:txBody>
    </xdr:sp>
    <xdr:clientData/>
  </xdr:twoCellAnchor>
  <xdr:twoCellAnchor>
    <xdr:from>
      <xdr:col>3</xdr:col>
      <xdr:colOff>9525</xdr:colOff>
      <xdr:row>164</xdr:row>
      <xdr:rowOff>0</xdr:rowOff>
    </xdr:from>
    <xdr:to>
      <xdr:col>5</xdr:col>
      <xdr:colOff>0</xdr:colOff>
      <xdr:row>164</xdr:row>
      <xdr:rowOff>0</xdr:rowOff>
    </xdr:to>
    <xdr:sp macro="" textlink="">
      <xdr:nvSpPr>
        <xdr:cNvPr id="655711" name="Line 249"/>
        <xdr:cNvSpPr>
          <a:spLocks noChangeShapeType="1"/>
        </xdr:cNvSpPr>
      </xdr:nvSpPr>
      <xdr:spPr bwMode="auto">
        <a:xfrm>
          <a:off x="2085975" y="26860500"/>
          <a:ext cx="17526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164</xdr:row>
      <xdr:rowOff>0</xdr:rowOff>
    </xdr:from>
    <xdr:to>
      <xdr:col>3</xdr:col>
      <xdr:colOff>9525</xdr:colOff>
      <xdr:row>164</xdr:row>
      <xdr:rowOff>0</xdr:rowOff>
    </xdr:to>
    <xdr:sp macro="" textlink="">
      <xdr:nvSpPr>
        <xdr:cNvPr id="655712" name="Line 250"/>
        <xdr:cNvSpPr>
          <a:spLocks noChangeShapeType="1"/>
        </xdr:cNvSpPr>
      </xdr:nvSpPr>
      <xdr:spPr bwMode="auto">
        <a:xfrm>
          <a:off x="1181100" y="26860500"/>
          <a:ext cx="90487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266700</xdr:colOff>
      <xdr:row>164</xdr:row>
      <xdr:rowOff>0</xdr:rowOff>
    </xdr:from>
    <xdr:to>
      <xdr:col>6</xdr:col>
      <xdr:colOff>581025</xdr:colOff>
      <xdr:row>164</xdr:row>
      <xdr:rowOff>0</xdr:rowOff>
    </xdr:to>
    <xdr:sp macro="" textlink="">
      <xdr:nvSpPr>
        <xdr:cNvPr id="655713" name="Line 251"/>
        <xdr:cNvSpPr>
          <a:spLocks noChangeShapeType="1"/>
        </xdr:cNvSpPr>
      </xdr:nvSpPr>
      <xdr:spPr bwMode="auto">
        <a:xfrm>
          <a:off x="4752975" y="26860500"/>
          <a:ext cx="314325"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28</xdr:row>
      <xdr:rowOff>0</xdr:rowOff>
    </xdr:from>
    <xdr:to>
      <xdr:col>2</xdr:col>
      <xdr:colOff>9525</xdr:colOff>
      <xdr:row>31</xdr:row>
      <xdr:rowOff>0</xdr:rowOff>
    </xdr:to>
    <xdr:sp macro="" textlink="">
      <xdr:nvSpPr>
        <xdr:cNvPr id="621097" name="Line 1"/>
        <xdr:cNvSpPr>
          <a:spLocks noChangeShapeType="1"/>
        </xdr:cNvSpPr>
      </xdr:nvSpPr>
      <xdr:spPr bwMode="auto">
        <a:xfrm flipH="1">
          <a:off x="1485900" y="13068300"/>
          <a:ext cx="9525" cy="1400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581025</xdr:colOff>
      <xdr:row>28</xdr:row>
      <xdr:rowOff>0</xdr:rowOff>
    </xdr:from>
    <xdr:to>
      <xdr:col>12</xdr:col>
      <xdr:colOff>9525</xdr:colOff>
      <xdr:row>28</xdr:row>
      <xdr:rowOff>9525</xdr:rowOff>
    </xdr:to>
    <xdr:sp macro="" textlink="">
      <xdr:nvSpPr>
        <xdr:cNvPr id="621098" name="Line 2"/>
        <xdr:cNvSpPr>
          <a:spLocks noChangeShapeType="1"/>
        </xdr:cNvSpPr>
      </xdr:nvSpPr>
      <xdr:spPr bwMode="auto">
        <a:xfrm>
          <a:off x="1457325" y="13068300"/>
          <a:ext cx="63817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9525</xdr:colOff>
      <xdr:row>15</xdr:row>
      <xdr:rowOff>0</xdr:rowOff>
    </xdr:from>
    <xdr:to>
      <xdr:col>12</xdr:col>
      <xdr:colOff>19050</xdr:colOff>
      <xdr:row>28</xdr:row>
      <xdr:rowOff>0</xdr:rowOff>
    </xdr:to>
    <xdr:sp macro="" textlink="">
      <xdr:nvSpPr>
        <xdr:cNvPr id="621099" name="Line 3"/>
        <xdr:cNvSpPr>
          <a:spLocks noChangeShapeType="1"/>
        </xdr:cNvSpPr>
      </xdr:nvSpPr>
      <xdr:spPr bwMode="auto">
        <a:xfrm flipH="1" flipV="1">
          <a:off x="7839075" y="7000875"/>
          <a:ext cx="9525" cy="6067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15</xdr:row>
      <xdr:rowOff>0</xdr:rowOff>
    </xdr:from>
    <xdr:to>
      <xdr:col>13</xdr:col>
      <xdr:colOff>9525</xdr:colOff>
      <xdr:row>15</xdr:row>
      <xdr:rowOff>9525</xdr:rowOff>
    </xdr:to>
    <xdr:sp macro="" textlink="">
      <xdr:nvSpPr>
        <xdr:cNvPr id="621100" name="Line 4"/>
        <xdr:cNvSpPr>
          <a:spLocks noChangeShapeType="1"/>
        </xdr:cNvSpPr>
      </xdr:nvSpPr>
      <xdr:spPr bwMode="auto">
        <a:xfrm flipV="1">
          <a:off x="1485900" y="7000875"/>
          <a:ext cx="6972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0</xdr:rowOff>
    </xdr:from>
    <xdr:to>
      <xdr:col>13</xdr:col>
      <xdr:colOff>200025</xdr:colOff>
      <xdr:row>14</xdr:row>
      <xdr:rowOff>9525</xdr:rowOff>
    </xdr:to>
    <xdr:sp macro="" textlink="">
      <xdr:nvSpPr>
        <xdr:cNvPr id="621101" name="Line 5"/>
        <xdr:cNvSpPr>
          <a:spLocks noChangeShapeType="1"/>
        </xdr:cNvSpPr>
      </xdr:nvSpPr>
      <xdr:spPr bwMode="auto">
        <a:xfrm>
          <a:off x="1495425" y="6534150"/>
          <a:ext cx="71532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14</xdr:row>
      <xdr:rowOff>9525</xdr:rowOff>
    </xdr:from>
    <xdr:to>
      <xdr:col>13</xdr:col>
      <xdr:colOff>9525</xdr:colOff>
      <xdr:row>19</xdr:row>
      <xdr:rowOff>76200</xdr:rowOff>
    </xdr:to>
    <xdr:sp macro="" textlink="">
      <xdr:nvSpPr>
        <xdr:cNvPr id="621102" name="Line 6"/>
        <xdr:cNvSpPr>
          <a:spLocks noChangeShapeType="1"/>
        </xdr:cNvSpPr>
      </xdr:nvSpPr>
      <xdr:spPr bwMode="auto">
        <a:xfrm>
          <a:off x="8448675" y="6543675"/>
          <a:ext cx="9525" cy="2400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14</xdr:row>
      <xdr:rowOff>0</xdr:rowOff>
    </xdr:from>
    <xdr:to>
      <xdr:col>13</xdr:col>
      <xdr:colOff>85725</xdr:colOff>
      <xdr:row>18</xdr:row>
      <xdr:rowOff>457200</xdr:rowOff>
    </xdr:to>
    <xdr:sp macro="" textlink="">
      <xdr:nvSpPr>
        <xdr:cNvPr id="621103" name="Line 7"/>
        <xdr:cNvSpPr>
          <a:spLocks noChangeShapeType="1"/>
        </xdr:cNvSpPr>
      </xdr:nvSpPr>
      <xdr:spPr bwMode="auto">
        <a:xfrm>
          <a:off x="8524875" y="6534150"/>
          <a:ext cx="9525" cy="2324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104775</xdr:colOff>
      <xdr:row>14</xdr:row>
      <xdr:rowOff>0</xdr:rowOff>
    </xdr:from>
    <xdr:to>
      <xdr:col>21</xdr:col>
      <xdr:colOff>9525</xdr:colOff>
      <xdr:row>14</xdr:row>
      <xdr:rowOff>9525</xdr:rowOff>
    </xdr:to>
    <xdr:sp macro="" textlink="">
      <xdr:nvSpPr>
        <xdr:cNvPr id="621104" name="Line 8"/>
        <xdr:cNvSpPr>
          <a:spLocks noChangeShapeType="1"/>
        </xdr:cNvSpPr>
      </xdr:nvSpPr>
      <xdr:spPr bwMode="auto">
        <a:xfrm flipV="1">
          <a:off x="8553450" y="6534150"/>
          <a:ext cx="52578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19</xdr:row>
      <xdr:rowOff>0</xdr:rowOff>
    </xdr:from>
    <xdr:to>
      <xdr:col>21</xdr:col>
      <xdr:colOff>9525</xdr:colOff>
      <xdr:row>19</xdr:row>
      <xdr:rowOff>9525</xdr:rowOff>
    </xdr:to>
    <xdr:sp macro="" textlink="">
      <xdr:nvSpPr>
        <xdr:cNvPr id="621105" name="Line 9"/>
        <xdr:cNvSpPr>
          <a:spLocks noChangeShapeType="1"/>
        </xdr:cNvSpPr>
      </xdr:nvSpPr>
      <xdr:spPr bwMode="auto">
        <a:xfrm>
          <a:off x="8524875" y="8867775"/>
          <a:ext cx="52863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19</xdr:row>
      <xdr:rowOff>76200</xdr:rowOff>
    </xdr:from>
    <xdr:to>
      <xdr:col>16</xdr:col>
      <xdr:colOff>19050</xdr:colOff>
      <xdr:row>19</xdr:row>
      <xdr:rowOff>76200</xdr:rowOff>
    </xdr:to>
    <xdr:sp macro="" textlink="">
      <xdr:nvSpPr>
        <xdr:cNvPr id="621106" name="Line 10"/>
        <xdr:cNvSpPr>
          <a:spLocks noChangeShapeType="1"/>
        </xdr:cNvSpPr>
      </xdr:nvSpPr>
      <xdr:spPr bwMode="auto">
        <a:xfrm>
          <a:off x="8458200" y="8943975"/>
          <a:ext cx="20764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19</xdr:row>
      <xdr:rowOff>0</xdr:rowOff>
    </xdr:from>
    <xdr:to>
      <xdr:col>16</xdr:col>
      <xdr:colOff>28575</xdr:colOff>
      <xdr:row>28</xdr:row>
      <xdr:rowOff>28575</xdr:rowOff>
    </xdr:to>
    <xdr:sp macro="" textlink="">
      <xdr:nvSpPr>
        <xdr:cNvPr id="621107" name="Line 11"/>
        <xdr:cNvSpPr>
          <a:spLocks noChangeShapeType="1"/>
        </xdr:cNvSpPr>
      </xdr:nvSpPr>
      <xdr:spPr bwMode="auto">
        <a:xfrm flipH="1">
          <a:off x="10525125" y="8867775"/>
          <a:ext cx="19050" cy="422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27</xdr:row>
      <xdr:rowOff>457200</xdr:rowOff>
    </xdr:from>
    <xdr:to>
      <xdr:col>20</xdr:col>
      <xdr:colOff>457200</xdr:colOff>
      <xdr:row>28</xdr:row>
      <xdr:rowOff>28575</xdr:rowOff>
    </xdr:to>
    <xdr:sp macro="" textlink="">
      <xdr:nvSpPr>
        <xdr:cNvPr id="621108" name="Line 12"/>
        <xdr:cNvSpPr>
          <a:spLocks noChangeShapeType="1"/>
        </xdr:cNvSpPr>
      </xdr:nvSpPr>
      <xdr:spPr bwMode="auto">
        <a:xfrm flipV="1">
          <a:off x="10515600" y="13058775"/>
          <a:ext cx="31337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447675</xdr:colOff>
      <xdr:row>27</xdr:row>
      <xdr:rowOff>457200</xdr:rowOff>
    </xdr:from>
    <xdr:to>
      <xdr:col>20</xdr:col>
      <xdr:colOff>457200</xdr:colOff>
      <xdr:row>31</xdr:row>
      <xdr:rowOff>28575</xdr:rowOff>
    </xdr:to>
    <xdr:sp macro="" textlink="">
      <xdr:nvSpPr>
        <xdr:cNvPr id="621109" name="Line 13"/>
        <xdr:cNvSpPr>
          <a:spLocks noChangeShapeType="1"/>
        </xdr:cNvSpPr>
      </xdr:nvSpPr>
      <xdr:spPr bwMode="auto">
        <a:xfrm>
          <a:off x="13639800" y="13058775"/>
          <a:ext cx="9525" cy="1438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31</xdr:row>
      <xdr:rowOff>0</xdr:rowOff>
    </xdr:from>
    <xdr:to>
      <xdr:col>20</xdr:col>
      <xdr:colOff>476250</xdr:colOff>
      <xdr:row>31</xdr:row>
      <xdr:rowOff>19050</xdr:rowOff>
    </xdr:to>
    <xdr:sp macro="" textlink="">
      <xdr:nvSpPr>
        <xdr:cNvPr id="621110" name="Line 14"/>
        <xdr:cNvSpPr>
          <a:spLocks noChangeShapeType="1"/>
        </xdr:cNvSpPr>
      </xdr:nvSpPr>
      <xdr:spPr bwMode="auto">
        <a:xfrm flipV="1">
          <a:off x="1485900" y="14468475"/>
          <a:ext cx="12182475" cy="19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13</xdr:row>
      <xdr:rowOff>419100</xdr:rowOff>
    </xdr:from>
    <xdr:to>
      <xdr:col>21</xdr:col>
      <xdr:colOff>9525</xdr:colOff>
      <xdr:row>15</xdr:row>
      <xdr:rowOff>152400</xdr:rowOff>
    </xdr:to>
    <xdr:sp macro="" textlink="">
      <xdr:nvSpPr>
        <xdr:cNvPr id="621111" name="Line 15"/>
        <xdr:cNvSpPr>
          <a:spLocks noChangeShapeType="1"/>
        </xdr:cNvSpPr>
      </xdr:nvSpPr>
      <xdr:spPr bwMode="auto">
        <a:xfrm flipH="1">
          <a:off x="13801725" y="6486525"/>
          <a:ext cx="9525"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16</xdr:row>
      <xdr:rowOff>266700</xdr:rowOff>
    </xdr:from>
    <xdr:to>
      <xdr:col>21</xdr:col>
      <xdr:colOff>9525</xdr:colOff>
      <xdr:row>18</xdr:row>
      <xdr:rowOff>457200</xdr:rowOff>
    </xdr:to>
    <xdr:sp macro="" textlink="">
      <xdr:nvSpPr>
        <xdr:cNvPr id="621112" name="Line 16"/>
        <xdr:cNvSpPr>
          <a:spLocks noChangeShapeType="1"/>
        </xdr:cNvSpPr>
      </xdr:nvSpPr>
      <xdr:spPr bwMode="auto">
        <a:xfrm>
          <a:off x="13811250" y="7734300"/>
          <a:ext cx="0" cy="1123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15</xdr:row>
      <xdr:rowOff>152400</xdr:rowOff>
    </xdr:from>
    <xdr:to>
      <xdr:col>21</xdr:col>
      <xdr:colOff>228600</xdr:colOff>
      <xdr:row>15</xdr:row>
      <xdr:rowOff>295275</xdr:rowOff>
    </xdr:to>
    <xdr:sp macro="" textlink="">
      <xdr:nvSpPr>
        <xdr:cNvPr id="621113" name="Line 17"/>
        <xdr:cNvSpPr>
          <a:spLocks noChangeShapeType="1"/>
        </xdr:cNvSpPr>
      </xdr:nvSpPr>
      <xdr:spPr bwMode="auto">
        <a:xfrm>
          <a:off x="13811250" y="7153275"/>
          <a:ext cx="219075"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15</xdr:row>
      <xdr:rowOff>304800</xdr:rowOff>
    </xdr:from>
    <xdr:to>
      <xdr:col>21</xdr:col>
      <xdr:colOff>228600</xdr:colOff>
      <xdr:row>16</xdr:row>
      <xdr:rowOff>76200</xdr:rowOff>
    </xdr:to>
    <xdr:sp macro="" textlink="">
      <xdr:nvSpPr>
        <xdr:cNvPr id="621114" name="Line 18"/>
        <xdr:cNvSpPr>
          <a:spLocks noChangeShapeType="1"/>
        </xdr:cNvSpPr>
      </xdr:nvSpPr>
      <xdr:spPr bwMode="auto">
        <a:xfrm flipH="1">
          <a:off x="13468350" y="7305675"/>
          <a:ext cx="561975"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16</xdr:row>
      <xdr:rowOff>76200</xdr:rowOff>
    </xdr:from>
    <xdr:to>
      <xdr:col>21</xdr:col>
      <xdr:colOff>0</xdr:colOff>
      <xdr:row>16</xdr:row>
      <xdr:rowOff>276225</xdr:rowOff>
    </xdr:to>
    <xdr:sp macro="" textlink="">
      <xdr:nvSpPr>
        <xdr:cNvPr id="621115" name="Line 19"/>
        <xdr:cNvSpPr>
          <a:spLocks noChangeShapeType="1"/>
        </xdr:cNvSpPr>
      </xdr:nvSpPr>
      <xdr:spPr bwMode="auto">
        <a:xfrm>
          <a:off x="13468350" y="7543800"/>
          <a:ext cx="333375" cy="2000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13</xdr:row>
      <xdr:rowOff>409575</xdr:rowOff>
    </xdr:from>
    <xdr:to>
      <xdr:col>21</xdr:col>
      <xdr:colOff>0</xdr:colOff>
      <xdr:row>13</xdr:row>
      <xdr:rowOff>419100</xdr:rowOff>
    </xdr:to>
    <xdr:sp macro="" textlink="">
      <xdr:nvSpPr>
        <xdr:cNvPr id="621116" name="Line 20"/>
        <xdr:cNvSpPr>
          <a:spLocks noChangeShapeType="1"/>
        </xdr:cNvSpPr>
      </xdr:nvSpPr>
      <xdr:spPr bwMode="auto">
        <a:xfrm>
          <a:off x="1495425" y="6477000"/>
          <a:ext cx="12306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xdr:row>
      <xdr:rowOff>409575</xdr:rowOff>
    </xdr:from>
    <xdr:to>
      <xdr:col>2</xdr:col>
      <xdr:colOff>9525</xdr:colOff>
      <xdr:row>14</xdr:row>
      <xdr:rowOff>190500</xdr:rowOff>
    </xdr:to>
    <xdr:sp macro="" textlink="">
      <xdr:nvSpPr>
        <xdr:cNvPr id="621117" name="Line 21"/>
        <xdr:cNvSpPr>
          <a:spLocks noChangeShapeType="1"/>
        </xdr:cNvSpPr>
      </xdr:nvSpPr>
      <xdr:spPr bwMode="auto">
        <a:xfrm>
          <a:off x="1485900" y="6477000"/>
          <a:ext cx="9525" cy="2476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180975</xdr:rowOff>
    </xdr:from>
    <xdr:to>
      <xdr:col>2</xdr:col>
      <xdr:colOff>209550</xdr:colOff>
      <xdr:row>14</xdr:row>
      <xdr:rowOff>228600</xdr:rowOff>
    </xdr:to>
    <xdr:sp macro="" textlink="">
      <xdr:nvSpPr>
        <xdr:cNvPr id="621118" name="Line 22"/>
        <xdr:cNvSpPr>
          <a:spLocks noChangeShapeType="1"/>
        </xdr:cNvSpPr>
      </xdr:nvSpPr>
      <xdr:spPr bwMode="auto">
        <a:xfrm>
          <a:off x="1495425" y="6715125"/>
          <a:ext cx="200025" cy="47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238125</xdr:rowOff>
    </xdr:from>
    <xdr:to>
      <xdr:col>2</xdr:col>
      <xdr:colOff>200025</xdr:colOff>
      <xdr:row>14</xdr:row>
      <xdr:rowOff>276225</xdr:rowOff>
    </xdr:to>
    <xdr:sp macro="" textlink="">
      <xdr:nvSpPr>
        <xdr:cNvPr id="621119" name="Line 23"/>
        <xdr:cNvSpPr>
          <a:spLocks noChangeShapeType="1"/>
        </xdr:cNvSpPr>
      </xdr:nvSpPr>
      <xdr:spPr bwMode="auto">
        <a:xfrm flipH="1">
          <a:off x="1295400" y="6772275"/>
          <a:ext cx="3905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285750</xdr:rowOff>
    </xdr:from>
    <xdr:to>
      <xdr:col>2</xdr:col>
      <xdr:colOff>9525</xdr:colOff>
      <xdr:row>14</xdr:row>
      <xdr:rowOff>342900</xdr:rowOff>
    </xdr:to>
    <xdr:sp macro="" textlink="">
      <xdr:nvSpPr>
        <xdr:cNvPr id="621120" name="Line 24"/>
        <xdr:cNvSpPr>
          <a:spLocks noChangeShapeType="1"/>
        </xdr:cNvSpPr>
      </xdr:nvSpPr>
      <xdr:spPr bwMode="auto">
        <a:xfrm>
          <a:off x="1295400" y="6819900"/>
          <a:ext cx="20002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333375</xdr:rowOff>
    </xdr:from>
    <xdr:to>
      <xdr:col>2</xdr:col>
      <xdr:colOff>9525</xdr:colOff>
      <xdr:row>15</xdr:row>
      <xdr:rowOff>9525</xdr:rowOff>
    </xdr:to>
    <xdr:sp macro="" textlink="">
      <xdr:nvSpPr>
        <xdr:cNvPr id="621121" name="Line 25"/>
        <xdr:cNvSpPr>
          <a:spLocks noChangeShapeType="1"/>
        </xdr:cNvSpPr>
      </xdr:nvSpPr>
      <xdr:spPr bwMode="auto">
        <a:xfrm>
          <a:off x="1495425" y="686752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0</xdr:colOff>
      <xdr:row>28</xdr:row>
      <xdr:rowOff>0</xdr:rowOff>
    </xdr:from>
    <xdr:to>
      <xdr:col>22</xdr:col>
      <xdr:colOff>9525</xdr:colOff>
      <xdr:row>29</xdr:row>
      <xdr:rowOff>0</xdr:rowOff>
    </xdr:to>
    <xdr:sp macro="" textlink="">
      <xdr:nvSpPr>
        <xdr:cNvPr id="621122" name="Line 26"/>
        <xdr:cNvSpPr>
          <a:spLocks noChangeShapeType="1"/>
        </xdr:cNvSpPr>
      </xdr:nvSpPr>
      <xdr:spPr bwMode="auto">
        <a:xfrm flipV="1">
          <a:off x="14411325" y="13068300"/>
          <a:ext cx="9525" cy="4667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9525</xdr:colOff>
      <xdr:row>29</xdr:row>
      <xdr:rowOff>457200</xdr:rowOff>
    </xdr:from>
    <xdr:to>
      <xdr:col>22</xdr:col>
      <xdr:colOff>9525</xdr:colOff>
      <xdr:row>31</xdr:row>
      <xdr:rowOff>38100</xdr:rowOff>
    </xdr:to>
    <xdr:sp macro="" textlink="">
      <xdr:nvSpPr>
        <xdr:cNvPr id="621123" name="Line 27"/>
        <xdr:cNvSpPr>
          <a:spLocks noChangeShapeType="1"/>
        </xdr:cNvSpPr>
      </xdr:nvSpPr>
      <xdr:spPr bwMode="auto">
        <a:xfrm>
          <a:off x="14420850" y="13992225"/>
          <a:ext cx="0" cy="514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32</xdr:row>
      <xdr:rowOff>0</xdr:rowOff>
    </xdr:from>
    <xdr:to>
      <xdr:col>6</xdr:col>
      <xdr:colOff>76200</xdr:colOff>
      <xdr:row>32</xdr:row>
      <xdr:rowOff>9525</xdr:rowOff>
    </xdr:to>
    <xdr:sp macro="" textlink="">
      <xdr:nvSpPr>
        <xdr:cNvPr id="621124" name="Line 28"/>
        <xdr:cNvSpPr>
          <a:spLocks noChangeShapeType="1"/>
        </xdr:cNvSpPr>
      </xdr:nvSpPr>
      <xdr:spPr bwMode="auto">
        <a:xfrm flipH="1">
          <a:off x="1485900" y="14935200"/>
          <a:ext cx="2514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561975</xdr:colOff>
      <xdr:row>31</xdr:row>
      <xdr:rowOff>457200</xdr:rowOff>
    </xdr:from>
    <xdr:to>
      <xdr:col>12</xdr:col>
      <xdr:colOff>9525</xdr:colOff>
      <xdr:row>32</xdr:row>
      <xdr:rowOff>0</xdr:rowOff>
    </xdr:to>
    <xdr:sp macro="" textlink="">
      <xdr:nvSpPr>
        <xdr:cNvPr id="621125" name="Line 29"/>
        <xdr:cNvSpPr>
          <a:spLocks noChangeShapeType="1"/>
        </xdr:cNvSpPr>
      </xdr:nvSpPr>
      <xdr:spPr bwMode="auto">
        <a:xfrm>
          <a:off x="4486275" y="14925675"/>
          <a:ext cx="33528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31</xdr:row>
      <xdr:rowOff>457200</xdr:rowOff>
    </xdr:from>
    <xdr:to>
      <xdr:col>13</xdr:col>
      <xdr:colOff>561975</xdr:colOff>
      <xdr:row>32</xdr:row>
      <xdr:rowOff>0</xdr:rowOff>
    </xdr:to>
    <xdr:sp macro="" textlink="">
      <xdr:nvSpPr>
        <xdr:cNvPr id="621126" name="Line 30"/>
        <xdr:cNvSpPr>
          <a:spLocks noChangeShapeType="1"/>
        </xdr:cNvSpPr>
      </xdr:nvSpPr>
      <xdr:spPr bwMode="auto">
        <a:xfrm flipH="1">
          <a:off x="7829550" y="14925675"/>
          <a:ext cx="11811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571500</xdr:colOff>
      <xdr:row>32</xdr:row>
      <xdr:rowOff>0</xdr:rowOff>
    </xdr:from>
    <xdr:to>
      <xdr:col>16</xdr:col>
      <xdr:colOff>0</xdr:colOff>
      <xdr:row>32</xdr:row>
      <xdr:rowOff>9525</xdr:rowOff>
    </xdr:to>
    <xdr:sp macro="" textlink="">
      <xdr:nvSpPr>
        <xdr:cNvPr id="621127" name="Line 31"/>
        <xdr:cNvSpPr>
          <a:spLocks noChangeShapeType="1"/>
        </xdr:cNvSpPr>
      </xdr:nvSpPr>
      <xdr:spPr bwMode="auto">
        <a:xfrm flipV="1">
          <a:off x="9629775" y="14935200"/>
          <a:ext cx="885825"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600075</xdr:colOff>
      <xdr:row>31</xdr:row>
      <xdr:rowOff>447675</xdr:rowOff>
    </xdr:from>
    <xdr:to>
      <xdr:col>18</xdr:col>
      <xdr:colOff>180975</xdr:colOff>
      <xdr:row>32</xdr:row>
      <xdr:rowOff>0</xdr:rowOff>
    </xdr:to>
    <xdr:sp macro="" textlink="">
      <xdr:nvSpPr>
        <xdr:cNvPr id="621128" name="Line 32"/>
        <xdr:cNvSpPr>
          <a:spLocks noChangeShapeType="1"/>
        </xdr:cNvSpPr>
      </xdr:nvSpPr>
      <xdr:spPr bwMode="auto">
        <a:xfrm flipH="1">
          <a:off x="10506075" y="14916150"/>
          <a:ext cx="1409700"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533400</xdr:colOff>
      <xdr:row>31</xdr:row>
      <xdr:rowOff>447675</xdr:rowOff>
    </xdr:from>
    <xdr:to>
      <xdr:col>20</xdr:col>
      <xdr:colOff>466725</xdr:colOff>
      <xdr:row>31</xdr:row>
      <xdr:rowOff>457200</xdr:rowOff>
    </xdr:to>
    <xdr:sp macro="" textlink="">
      <xdr:nvSpPr>
        <xdr:cNvPr id="621129" name="Line 33"/>
        <xdr:cNvSpPr>
          <a:spLocks noChangeShapeType="1"/>
        </xdr:cNvSpPr>
      </xdr:nvSpPr>
      <xdr:spPr bwMode="auto">
        <a:xfrm>
          <a:off x="12268200" y="14916150"/>
          <a:ext cx="1390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600075</xdr:colOff>
      <xdr:row>19</xdr:row>
      <xdr:rowOff>457200</xdr:rowOff>
    </xdr:from>
    <xdr:to>
      <xdr:col>16</xdr:col>
      <xdr:colOff>9525</xdr:colOff>
      <xdr:row>19</xdr:row>
      <xdr:rowOff>457200</xdr:rowOff>
    </xdr:to>
    <xdr:sp macro="" textlink="">
      <xdr:nvSpPr>
        <xdr:cNvPr id="621130" name="Line 34"/>
        <xdr:cNvSpPr>
          <a:spLocks noChangeShapeType="1"/>
        </xdr:cNvSpPr>
      </xdr:nvSpPr>
      <xdr:spPr bwMode="auto">
        <a:xfrm>
          <a:off x="7820025" y="9324975"/>
          <a:ext cx="2705100" cy="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sp>
    <xdr:clientData/>
  </xdr:twoCellAnchor>
  <xdr:twoCellAnchor>
    <xdr:from>
      <xdr:col>11</xdr:col>
      <xdr:colOff>28575</xdr:colOff>
      <xdr:row>18</xdr:row>
      <xdr:rowOff>447675</xdr:rowOff>
    </xdr:from>
    <xdr:to>
      <xdr:col>11</xdr:col>
      <xdr:colOff>38100</xdr:colOff>
      <xdr:row>19</xdr:row>
      <xdr:rowOff>438150</xdr:rowOff>
    </xdr:to>
    <xdr:sp macro="" textlink="">
      <xdr:nvSpPr>
        <xdr:cNvPr id="621131" name="Line 35"/>
        <xdr:cNvSpPr>
          <a:spLocks noChangeShapeType="1"/>
        </xdr:cNvSpPr>
      </xdr:nvSpPr>
      <xdr:spPr bwMode="auto">
        <a:xfrm flipH="1" flipV="1">
          <a:off x="7248525" y="8848725"/>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19</xdr:row>
      <xdr:rowOff>266700</xdr:rowOff>
    </xdr:from>
    <xdr:to>
      <xdr:col>11</xdr:col>
      <xdr:colOff>28575</xdr:colOff>
      <xdr:row>19</xdr:row>
      <xdr:rowOff>457200</xdr:rowOff>
    </xdr:to>
    <xdr:sp macro="" textlink="">
      <xdr:nvSpPr>
        <xdr:cNvPr id="621132" name="Line 36"/>
        <xdr:cNvSpPr>
          <a:spLocks noChangeShapeType="1"/>
        </xdr:cNvSpPr>
      </xdr:nvSpPr>
      <xdr:spPr bwMode="auto">
        <a:xfrm flipH="1">
          <a:off x="7229475" y="9134475"/>
          <a:ext cx="19050"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15</xdr:row>
      <xdr:rowOff>19050</xdr:rowOff>
    </xdr:from>
    <xdr:to>
      <xdr:col>11</xdr:col>
      <xdr:colOff>28575</xdr:colOff>
      <xdr:row>18</xdr:row>
      <xdr:rowOff>419100</xdr:rowOff>
    </xdr:to>
    <xdr:sp macro="" textlink="">
      <xdr:nvSpPr>
        <xdr:cNvPr id="621133" name="Line 37"/>
        <xdr:cNvSpPr>
          <a:spLocks noChangeShapeType="1"/>
        </xdr:cNvSpPr>
      </xdr:nvSpPr>
      <xdr:spPr bwMode="auto">
        <a:xfrm flipH="1" flipV="1">
          <a:off x="7219950" y="7019925"/>
          <a:ext cx="28575" cy="1800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19050</xdr:colOff>
      <xdr:row>18</xdr:row>
      <xdr:rowOff>304800</xdr:rowOff>
    </xdr:from>
    <xdr:to>
      <xdr:col>11</xdr:col>
      <xdr:colOff>28575</xdr:colOff>
      <xdr:row>18</xdr:row>
      <xdr:rowOff>438150</xdr:rowOff>
    </xdr:to>
    <xdr:sp macro="" textlink="">
      <xdr:nvSpPr>
        <xdr:cNvPr id="621134" name="Line 38"/>
        <xdr:cNvSpPr>
          <a:spLocks noChangeShapeType="1"/>
        </xdr:cNvSpPr>
      </xdr:nvSpPr>
      <xdr:spPr bwMode="auto">
        <a:xfrm flipH="1">
          <a:off x="7239000" y="8705850"/>
          <a:ext cx="9525"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28575</xdr:colOff>
      <xdr:row>13</xdr:row>
      <xdr:rowOff>447675</xdr:rowOff>
    </xdr:from>
    <xdr:to>
      <xdr:col>1</xdr:col>
      <xdr:colOff>38100</xdr:colOff>
      <xdr:row>14</xdr:row>
      <xdr:rowOff>438150</xdr:rowOff>
    </xdr:to>
    <xdr:sp macro="" textlink="">
      <xdr:nvSpPr>
        <xdr:cNvPr id="621135" name="Line 39"/>
        <xdr:cNvSpPr>
          <a:spLocks noChangeShapeType="1"/>
        </xdr:cNvSpPr>
      </xdr:nvSpPr>
      <xdr:spPr bwMode="auto">
        <a:xfrm flipH="1" flipV="1">
          <a:off x="904875" y="6515100"/>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104775</xdr:rowOff>
    </xdr:from>
    <xdr:to>
      <xdr:col>1</xdr:col>
      <xdr:colOff>28575</xdr:colOff>
      <xdr:row>14</xdr:row>
      <xdr:rowOff>457200</xdr:rowOff>
    </xdr:to>
    <xdr:sp macro="" textlink="">
      <xdr:nvSpPr>
        <xdr:cNvPr id="621136" name="Line 40"/>
        <xdr:cNvSpPr>
          <a:spLocks noChangeShapeType="1"/>
        </xdr:cNvSpPr>
      </xdr:nvSpPr>
      <xdr:spPr bwMode="auto">
        <a:xfrm>
          <a:off x="895350" y="6638925"/>
          <a:ext cx="9525" cy="352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590550</xdr:colOff>
      <xdr:row>32</xdr:row>
      <xdr:rowOff>457200</xdr:rowOff>
    </xdr:from>
    <xdr:to>
      <xdr:col>12</xdr:col>
      <xdr:colOff>0</xdr:colOff>
      <xdr:row>32</xdr:row>
      <xdr:rowOff>457200</xdr:rowOff>
    </xdr:to>
    <xdr:sp macro="" textlink="">
      <xdr:nvSpPr>
        <xdr:cNvPr id="621137" name="Line 41"/>
        <xdr:cNvSpPr>
          <a:spLocks noChangeShapeType="1"/>
        </xdr:cNvSpPr>
      </xdr:nvSpPr>
      <xdr:spPr bwMode="auto">
        <a:xfrm flipH="1" flipV="1">
          <a:off x="1466850" y="15392400"/>
          <a:ext cx="6362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571500</xdr:colOff>
      <xdr:row>33</xdr:row>
      <xdr:rowOff>0</xdr:rowOff>
    </xdr:from>
    <xdr:to>
      <xdr:col>20</xdr:col>
      <xdr:colOff>476250</xdr:colOff>
      <xdr:row>33</xdr:row>
      <xdr:rowOff>19050</xdr:rowOff>
    </xdr:to>
    <xdr:sp macro="" textlink="">
      <xdr:nvSpPr>
        <xdr:cNvPr id="621138" name="Line 42"/>
        <xdr:cNvSpPr>
          <a:spLocks noChangeShapeType="1"/>
        </xdr:cNvSpPr>
      </xdr:nvSpPr>
      <xdr:spPr bwMode="auto">
        <a:xfrm>
          <a:off x="8401050" y="15401925"/>
          <a:ext cx="526732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419100</xdr:rowOff>
    </xdr:from>
    <xdr:to>
      <xdr:col>1</xdr:col>
      <xdr:colOff>19050</xdr:colOff>
      <xdr:row>21</xdr:row>
      <xdr:rowOff>95250</xdr:rowOff>
    </xdr:to>
    <xdr:sp macro="" textlink="">
      <xdr:nvSpPr>
        <xdr:cNvPr id="621139" name="Line 43"/>
        <xdr:cNvSpPr>
          <a:spLocks noChangeShapeType="1"/>
        </xdr:cNvSpPr>
      </xdr:nvSpPr>
      <xdr:spPr bwMode="auto">
        <a:xfrm flipV="1">
          <a:off x="895350" y="6953250"/>
          <a:ext cx="0" cy="2943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22</xdr:row>
      <xdr:rowOff>19050</xdr:rowOff>
    </xdr:from>
    <xdr:to>
      <xdr:col>1</xdr:col>
      <xdr:colOff>0</xdr:colOff>
      <xdr:row>31</xdr:row>
      <xdr:rowOff>38100</xdr:rowOff>
    </xdr:to>
    <xdr:sp macro="" textlink="">
      <xdr:nvSpPr>
        <xdr:cNvPr id="621140" name="Line 44"/>
        <xdr:cNvSpPr>
          <a:spLocks noChangeShapeType="1"/>
        </xdr:cNvSpPr>
      </xdr:nvSpPr>
      <xdr:spPr bwMode="auto">
        <a:xfrm>
          <a:off x="876300" y="10287000"/>
          <a:ext cx="0" cy="4219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13</xdr:row>
      <xdr:rowOff>438150</xdr:rowOff>
    </xdr:from>
    <xdr:to>
      <xdr:col>23</xdr:col>
      <xdr:colOff>28575</xdr:colOff>
      <xdr:row>18</xdr:row>
      <xdr:rowOff>419100</xdr:rowOff>
    </xdr:to>
    <xdr:sp macro="" textlink="">
      <xdr:nvSpPr>
        <xdr:cNvPr id="621141" name="Line 47"/>
        <xdr:cNvSpPr>
          <a:spLocks noChangeShapeType="1"/>
        </xdr:cNvSpPr>
      </xdr:nvSpPr>
      <xdr:spPr bwMode="auto">
        <a:xfrm flipH="1" flipV="1">
          <a:off x="15020925" y="6505575"/>
          <a:ext cx="28575" cy="2314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23</xdr:row>
      <xdr:rowOff>276225</xdr:rowOff>
    </xdr:from>
    <xdr:to>
      <xdr:col>11</xdr:col>
      <xdr:colOff>19050</xdr:colOff>
      <xdr:row>28</xdr:row>
      <xdr:rowOff>19050</xdr:rowOff>
    </xdr:to>
    <xdr:sp macro="" textlink="">
      <xdr:nvSpPr>
        <xdr:cNvPr id="621142" name="Line 49"/>
        <xdr:cNvSpPr>
          <a:spLocks noChangeShapeType="1"/>
        </xdr:cNvSpPr>
      </xdr:nvSpPr>
      <xdr:spPr bwMode="auto">
        <a:xfrm flipH="1">
          <a:off x="7219950" y="11010900"/>
          <a:ext cx="19050" cy="2076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19</xdr:row>
      <xdr:rowOff>409575</xdr:rowOff>
    </xdr:from>
    <xdr:to>
      <xdr:col>11</xdr:col>
      <xdr:colOff>0</xdr:colOff>
      <xdr:row>22</xdr:row>
      <xdr:rowOff>419100</xdr:rowOff>
    </xdr:to>
    <xdr:sp macro="" textlink="">
      <xdr:nvSpPr>
        <xdr:cNvPr id="621143" name="Line 51"/>
        <xdr:cNvSpPr>
          <a:spLocks noChangeShapeType="1"/>
        </xdr:cNvSpPr>
      </xdr:nvSpPr>
      <xdr:spPr bwMode="auto">
        <a:xfrm flipV="1">
          <a:off x="7219950" y="9277350"/>
          <a:ext cx="0" cy="1409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13</xdr:col>
      <xdr:colOff>9525</xdr:colOff>
      <xdr:row>13</xdr:row>
      <xdr:rowOff>9525</xdr:rowOff>
    </xdr:to>
    <xdr:sp macro="" textlink="">
      <xdr:nvSpPr>
        <xdr:cNvPr id="621144" name="Line 52"/>
        <xdr:cNvSpPr>
          <a:spLocks noChangeShapeType="1"/>
        </xdr:cNvSpPr>
      </xdr:nvSpPr>
      <xdr:spPr bwMode="auto">
        <a:xfrm>
          <a:off x="7829550" y="6067425"/>
          <a:ext cx="628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12</xdr:col>
      <xdr:colOff>590550</xdr:colOff>
      <xdr:row>13</xdr:row>
      <xdr:rowOff>0</xdr:rowOff>
    </xdr:to>
    <xdr:sp macro="" textlink="">
      <xdr:nvSpPr>
        <xdr:cNvPr id="621145" name="Line 53"/>
        <xdr:cNvSpPr>
          <a:spLocks noChangeShapeType="1"/>
        </xdr:cNvSpPr>
      </xdr:nvSpPr>
      <xdr:spPr bwMode="auto">
        <a:xfrm flipH="1">
          <a:off x="7829550" y="6067425"/>
          <a:ext cx="5905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18</xdr:row>
      <xdr:rowOff>276225</xdr:rowOff>
    </xdr:from>
    <xdr:to>
      <xdr:col>23</xdr:col>
      <xdr:colOff>28575</xdr:colOff>
      <xdr:row>19</xdr:row>
      <xdr:rowOff>0</xdr:rowOff>
    </xdr:to>
    <xdr:sp macro="" textlink="">
      <xdr:nvSpPr>
        <xdr:cNvPr id="621146" name="Line 56"/>
        <xdr:cNvSpPr>
          <a:spLocks noChangeShapeType="1"/>
        </xdr:cNvSpPr>
      </xdr:nvSpPr>
      <xdr:spPr bwMode="auto">
        <a:xfrm>
          <a:off x="15020925" y="8677275"/>
          <a:ext cx="28575"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600075</xdr:colOff>
      <xdr:row>20</xdr:row>
      <xdr:rowOff>0</xdr:rowOff>
    </xdr:from>
    <xdr:to>
      <xdr:col>11</xdr:col>
      <xdr:colOff>600075</xdr:colOff>
      <xdr:row>27</xdr:row>
      <xdr:rowOff>457200</xdr:rowOff>
    </xdr:to>
    <xdr:sp macro="" textlink="">
      <xdr:nvSpPr>
        <xdr:cNvPr id="621147" name="Line 57"/>
        <xdr:cNvSpPr>
          <a:spLocks noChangeShapeType="1"/>
        </xdr:cNvSpPr>
      </xdr:nvSpPr>
      <xdr:spPr bwMode="auto">
        <a:xfrm flipV="1">
          <a:off x="2085975" y="9334500"/>
          <a:ext cx="5734050" cy="3724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20</xdr:row>
      <xdr:rowOff>0</xdr:rowOff>
    </xdr:from>
    <xdr:to>
      <xdr:col>19</xdr:col>
      <xdr:colOff>561975</xdr:colOff>
      <xdr:row>28</xdr:row>
      <xdr:rowOff>28575</xdr:rowOff>
    </xdr:to>
    <xdr:sp macro="" textlink="">
      <xdr:nvSpPr>
        <xdr:cNvPr id="621148" name="Line 58"/>
        <xdr:cNvSpPr>
          <a:spLocks noChangeShapeType="1"/>
        </xdr:cNvSpPr>
      </xdr:nvSpPr>
      <xdr:spPr bwMode="auto">
        <a:xfrm>
          <a:off x="10525125" y="9334500"/>
          <a:ext cx="2619375" cy="37623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48</xdr:row>
      <xdr:rowOff>0</xdr:rowOff>
    </xdr:from>
    <xdr:to>
      <xdr:col>5</xdr:col>
      <xdr:colOff>0</xdr:colOff>
      <xdr:row>48</xdr:row>
      <xdr:rowOff>0</xdr:rowOff>
    </xdr:to>
    <xdr:sp macro="" textlink="">
      <xdr:nvSpPr>
        <xdr:cNvPr id="2" name="Text 163"/>
        <xdr:cNvSpPr txBox="1">
          <a:spLocks noChangeArrowheads="1"/>
        </xdr:cNvSpPr>
      </xdr:nvSpPr>
      <xdr:spPr bwMode="auto">
        <a:xfrm>
          <a:off x="5076825" y="74771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48</xdr:row>
      <xdr:rowOff>0</xdr:rowOff>
    </xdr:from>
    <xdr:to>
      <xdr:col>5</xdr:col>
      <xdr:colOff>0</xdr:colOff>
      <xdr:row>48</xdr:row>
      <xdr:rowOff>0</xdr:rowOff>
    </xdr:to>
    <xdr:sp macro="" textlink="">
      <xdr:nvSpPr>
        <xdr:cNvPr id="3" name="Text 815"/>
        <xdr:cNvSpPr txBox="1">
          <a:spLocks noChangeArrowheads="1"/>
        </xdr:cNvSpPr>
      </xdr:nvSpPr>
      <xdr:spPr bwMode="auto">
        <a:xfrm>
          <a:off x="5076825" y="747712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69</xdr:row>
      <xdr:rowOff>0</xdr:rowOff>
    </xdr:from>
    <xdr:to>
      <xdr:col>4</xdr:col>
      <xdr:colOff>38100</xdr:colOff>
      <xdr:row>69</xdr:row>
      <xdr:rowOff>0</xdr:rowOff>
    </xdr:to>
    <xdr:sp macro="" textlink="">
      <xdr:nvSpPr>
        <xdr:cNvPr id="504061" name="Line 4"/>
        <xdr:cNvSpPr>
          <a:spLocks noChangeShapeType="1"/>
        </xdr:cNvSpPr>
      </xdr:nvSpPr>
      <xdr:spPr bwMode="auto">
        <a:xfrm>
          <a:off x="4467225"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69</xdr:row>
      <xdr:rowOff>0</xdr:rowOff>
    </xdr:from>
    <xdr:to>
      <xdr:col>5</xdr:col>
      <xdr:colOff>9525</xdr:colOff>
      <xdr:row>69</xdr:row>
      <xdr:rowOff>0</xdr:rowOff>
    </xdr:to>
    <xdr:sp macro="" textlink="">
      <xdr:nvSpPr>
        <xdr:cNvPr id="504062" name="Line 5"/>
        <xdr:cNvSpPr>
          <a:spLocks noChangeShapeType="1"/>
        </xdr:cNvSpPr>
      </xdr:nvSpPr>
      <xdr:spPr bwMode="auto">
        <a:xfrm>
          <a:off x="5086350" y="11630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69</xdr:row>
      <xdr:rowOff>0</xdr:rowOff>
    </xdr:from>
    <xdr:to>
      <xdr:col>6</xdr:col>
      <xdr:colOff>438150</xdr:colOff>
      <xdr:row>69</xdr:row>
      <xdr:rowOff>0</xdr:rowOff>
    </xdr:to>
    <xdr:sp macro="" textlink="">
      <xdr:nvSpPr>
        <xdr:cNvPr id="504063" name="Line 6"/>
        <xdr:cNvSpPr>
          <a:spLocks noChangeShapeType="1"/>
        </xdr:cNvSpPr>
      </xdr:nvSpPr>
      <xdr:spPr bwMode="auto">
        <a:xfrm flipH="1">
          <a:off x="6057900" y="1163002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552450</xdr:colOff>
      <xdr:row>3</xdr:row>
      <xdr:rowOff>76200</xdr:rowOff>
    </xdr:from>
    <xdr:to>
      <xdr:col>3</xdr:col>
      <xdr:colOff>38100</xdr:colOff>
      <xdr:row>10</xdr:row>
      <xdr:rowOff>123825</xdr:rowOff>
    </xdr:to>
    <xdr:sp macro="" textlink="">
      <xdr:nvSpPr>
        <xdr:cNvPr id="652315" name="Line 1"/>
        <xdr:cNvSpPr>
          <a:spLocks noChangeShapeType="1"/>
        </xdr:cNvSpPr>
      </xdr:nvSpPr>
      <xdr:spPr bwMode="auto">
        <a:xfrm flipH="1">
          <a:off x="1343025" y="561975"/>
          <a:ext cx="657225" cy="1181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142875</xdr:colOff>
      <xdr:row>3</xdr:row>
      <xdr:rowOff>85725</xdr:rowOff>
    </xdr:from>
    <xdr:to>
      <xdr:col>5</xdr:col>
      <xdr:colOff>142875</xdr:colOff>
      <xdr:row>10</xdr:row>
      <xdr:rowOff>142875</xdr:rowOff>
    </xdr:to>
    <xdr:sp macro="" textlink="">
      <xdr:nvSpPr>
        <xdr:cNvPr id="652316" name="Line 2"/>
        <xdr:cNvSpPr>
          <a:spLocks noChangeShapeType="1"/>
        </xdr:cNvSpPr>
      </xdr:nvSpPr>
      <xdr:spPr bwMode="auto">
        <a:xfrm>
          <a:off x="3324225" y="571500"/>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10</xdr:row>
      <xdr:rowOff>104775</xdr:rowOff>
    </xdr:from>
    <xdr:to>
      <xdr:col>5</xdr:col>
      <xdr:colOff>438150</xdr:colOff>
      <xdr:row>16</xdr:row>
      <xdr:rowOff>47625</xdr:rowOff>
    </xdr:to>
    <xdr:sp macro="" textlink="">
      <xdr:nvSpPr>
        <xdr:cNvPr id="652317" name="Rectangle 3"/>
        <xdr:cNvSpPr>
          <a:spLocks noChangeArrowheads="1"/>
        </xdr:cNvSpPr>
      </xdr:nvSpPr>
      <xdr:spPr bwMode="auto">
        <a:xfrm>
          <a:off x="1009650" y="1724025"/>
          <a:ext cx="2609850" cy="914400"/>
        </a:xfrm>
        <a:prstGeom prst="rect">
          <a:avLst/>
        </a:prstGeom>
        <a:solidFill>
          <a:srgbClr val="FFFFFF"/>
        </a:solidFill>
        <a:ln w="9525">
          <a:solidFill>
            <a:srgbClr val="000000"/>
          </a:solidFill>
          <a:miter lim="800000"/>
          <a:headEnd/>
          <a:tailEnd/>
        </a:ln>
      </xdr:spPr>
    </xdr:sp>
    <xdr:clientData/>
  </xdr:twoCellAnchor>
  <xdr:twoCellAnchor>
    <xdr:from>
      <xdr:col>3</xdr:col>
      <xdr:colOff>38100</xdr:colOff>
      <xdr:row>3</xdr:row>
      <xdr:rowOff>95250</xdr:rowOff>
    </xdr:from>
    <xdr:to>
      <xdr:col>3</xdr:col>
      <xdr:colOff>228600</xdr:colOff>
      <xdr:row>3</xdr:row>
      <xdr:rowOff>95250</xdr:rowOff>
    </xdr:to>
    <xdr:sp macro="" textlink="">
      <xdr:nvSpPr>
        <xdr:cNvPr id="652318" name="Line 4"/>
        <xdr:cNvSpPr>
          <a:spLocks noChangeShapeType="1"/>
        </xdr:cNvSpPr>
      </xdr:nvSpPr>
      <xdr:spPr bwMode="auto">
        <a:xfrm flipV="1">
          <a:off x="2000250" y="5810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485775</xdr:colOff>
      <xdr:row>3</xdr:row>
      <xdr:rowOff>104775</xdr:rowOff>
    </xdr:from>
    <xdr:to>
      <xdr:col>5</xdr:col>
      <xdr:colOff>133350</xdr:colOff>
      <xdr:row>3</xdr:row>
      <xdr:rowOff>104775</xdr:rowOff>
    </xdr:to>
    <xdr:sp macro="" textlink="">
      <xdr:nvSpPr>
        <xdr:cNvPr id="652319" name="Line 5"/>
        <xdr:cNvSpPr>
          <a:spLocks noChangeShapeType="1"/>
        </xdr:cNvSpPr>
      </xdr:nvSpPr>
      <xdr:spPr bwMode="auto">
        <a:xfrm>
          <a:off x="2447925" y="590550"/>
          <a:ext cx="866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2</xdr:row>
      <xdr:rowOff>85725</xdr:rowOff>
    </xdr:from>
    <xdr:to>
      <xdr:col>3</xdr:col>
      <xdr:colOff>304800</xdr:colOff>
      <xdr:row>3</xdr:row>
      <xdr:rowOff>85725</xdr:rowOff>
    </xdr:to>
    <xdr:sp macro="" textlink="">
      <xdr:nvSpPr>
        <xdr:cNvPr id="652320" name="Line 6"/>
        <xdr:cNvSpPr>
          <a:spLocks noChangeShapeType="1"/>
        </xdr:cNvSpPr>
      </xdr:nvSpPr>
      <xdr:spPr bwMode="auto">
        <a:xfrm flipV="1">
          <a:off x="2200275" y="409575"/>
          <a:ext cx="66675"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2</xdr:row>
      <xdr:rowOff>85725</xdr:rowOff>
    </xdr:from>
    <xdr:to>
      <xdr:col>3</xdr:col>
      <xdr:colOff>381000</xdr:colOff>
      <xdr:row>4</xdr:row>
      <xdr:rowOff>85725</xdr:rowOff>
    </xdr:to>
    <xdr:sp macro="" textlink="">
      <xdr:nvSpPr>
        <xdr:cNvPr id="652321" name="Line 7"/>
        <xdr:cNvSpPr>
          <a:spLocks noChangeShapeType="1"/>
        </xdr:cNvSpPr>
      </xdr:nvSpPr>
      <xdr:spPr bwMode="auto">
        <a:xfrm>
          <a:off x="2286000" y="409575"/>
          <a:ext cx="57150" cy="3238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390525</xdr:colOff>
      <xdr:row>3</xdr:row>
      <xdr:rowOff>95250</xdr:rowOff>
    </xdr:from>
    <xdr:to>
      <xdr:col>3</xdr:col>
      <xdr:colOff>514350</xdr:colOff>
      <xdr:row>4</xdr:row>
      <xdr:rowOff>85725</xdr:rowOff>
    </xdr:to>
    <xdr:sp macro="" textlink="">
      <xdr:nvSpPr>
        <xdr:cNvPr id="652322" name="Line 8"/>
        <xdr:cNvSpPr>
          <a:spLocks noChangeShapeType="1"/>
        </xdr:cNvSpPr>
      </xdr:nvSpPr>
      <xdr:spPr bwMode="auto">
        <a:xfrm flipH="1">
          <a:off x="2352675" y="581025"/>
          <a:ext cx="123825"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457200</xdr:colOff>
      <xdr:row>18</xdr:row>
      <xdr:rowOff>47625</xdr:rowOff>
    </xdr:to>
    <xdr:sp macro="" textlink="">
      <xdr:nvSpPr>
        <xdr:cNvPr id="652323" name="Line 9"/>
        <xdr:cNvSpPr>
          <a:spLocks noChangeShapeType="1"/>
        </xdr:cNvSpPr>
      </xdr:nvSpPr>
      <xdr:spPr bwMode="auto">
        <a:xfrm>
          <a:off x="1028700" y="2962275"/>
          <a:ext cx="26098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438150</xdr:colOff>
      <xdr:row>18</xdr:row>
      <xdr:rowOff>47625</xdr:rowOff>
    </xdr:to>
    <xdr:sp macro="" textlink="">
      <xdr:nvSpPr>
        <xdr:cNvPr id="652324" name="Line 10"/>
        <xdr:cNvSpPr>
          <a:spLocks noChangeShapeType="1"/>
        </xdr:cNvSpPr>
      </xdr:nvSpPr>
      <xdr:spPr bwMode="auto">
        <a:xfrm flipH="1" flipV="1">
          <a:off x="1028700" y="2962275"/>
          <a:ext cx="2590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28575</xdr:colOff>
      <xdr:row>1</xdr:row>
      <xdr:rowOff>152400</xdr:rowOff>
    </xdr:from>
    <xdr:to>
      <xdr:col>5</xdr:col>
      <xdr:colOff>180975</xdr:colOff>
      <xdr:row>2</xdr:row>
      <xdr:rowOff>0</xdr:rowOff>
    </xdr:to>
    <xdr:sp macro="" textlink="">
      <xdr:nvSpPr>
        <xdr:cNvPr id="652325" name="Line 11"/>
        <xdr:cNvSpPr>
          <a:spLocks noChangeShapeType="1"/>
        </xdr:cNvSpPr>
      </xdr:nvSpPr>
      <xdr:spPr bwMode="auto">
        <a:xfrm>
          <a:off x="1990725" y="314325"/>
          <a:ext cx="1371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0</xdr:rowOff>
    </xdr:from>
    <xdr:to>
      <xdr:col>5</xdr:col>
      <xdr:colOff>466725</xdr:colOff>
      <xdr:row>23</xdr:row>
      <xdr:rowOff>9525</xdr:rowOff>
    </xdr:to>
    <xdr:sp macro="" textlink="">
      <xdr:nvSpPr>
        <xdr:cNvPr id="652326" name="Line 15"/>
        <xdr:cNvSpPr>
          <a:spLocks noChangeShapeType="1"/>
        </xdr:cNvSpPr>
      </xdr:nvSpPr>
      <xdr:spPr bwMode="auto">
        <a:xfrm flipV="1">
          <a:off x="942975" y="3724275"/>
          <a:ext cx="27051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457200</xdr:colOff>
      <xdr:row>23</xdr:row>
      <xdr:rowOff>9525</xdr:rowOff>
    </xdr:from>
    <xdr:to>
      <xdr:col>5</xdr:col>
      <xdr:colOff>466725</xdr:colOff>
      <xdr:row>29</xdr:row>
      <xdr:rowOff>9525</xdr:rowOff>
    </xdr:to>
    <xdr:sp macro="" textlink="">
      <xdr:nvSpPr>
        <xdr:cNvPr id="652327" name="Line 16"/>
        <xdr:cNvSpPr>
          <a:spLocks noChangeShapeType="1"/>
        </xdr:cNvSpPr>
      </xdr:nvSpPr>
      <xdr:spPr bwMode="auto">
        <a:xfrm flipH="1">
          <a:off x="3638550" y="3733800"/>
          <a:ext cx="9525" cy="990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9525</xdr:rowOff>
    </xdr:from>
    <xdr:to>
      <xdr:col>5</xdr:col>
      <xdr:colOff>466725</xdr:colOff>
      <xdr:row>29</xdr:row>
      <xdr:rowOff>19050</xdr:rowOff>
    </xdr:to>
    <xdr:sp macro="" textlink="">
      <xdr:nvSpPr>
        <xdr:cNvPr id="652328" name="Line 17"/>
        <xdr:cNvSpPr>
          <a:spLocks noChangeShapeType="1"/>
        </xdr:cNvSpPr>
      </xdr:nvSpPr>
      <xdr:spPr bwMode="auto">
        <a:xfrm>
          <a:off x="942975" y="3733800"/>
          <a:ext cx="2705100" cy="1000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57150</xdr:colOff>
      <xdr:row>21</xdr:row>
      <xdr:rowOff>47625</xdr:rowOff>
    </xdr:to>
    <xdr:sp macro="" textlink="">
      <xdr:nvSpPr>
        <xdr:cNvPr id="652329" name="Line 18"/>
        <xdr:cNvSpPr>
          <a:spLocks noChangeShapeType="1"/>
        </xdr:cNvSpPr>
      </xdr:nvSpPr>
      <xdr:spPr bwMode="auto">
        <a:xfrm flipH="1" flipV="1">
          <a:off x="933450" y="3448050"/>
          <a:ext cx="476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180975</xdr:colOff>
      <xdr:row>21</xdr:row>
      <xdr:rowOff>47625</xdr:rowOff>
    </xdr:to>
    <xdr:sp macro="" textlink="">
      <xdr:nvSpPr>
        <xdr:cNvPr id="652330" name="Line 19"/>
        <xdr:cNvSpPr>
          <a:spLocks noChangeShapeType="1"/>
        </xdr:cNvSpPr>
      </xdr:nvSpPr>
      <xdr:spPr bwMode="auto">
        <a:xfrm>
          <a:off x="933450" y="3448050"/>
          <a:ext cx="600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0</xdr:rowOff>
    </xdr:from>
    <xdr:to>
      <xdr:col>4</xdr:col>
      <xdr:colOff>0</xdr:colOff>
      <xdr:row>26</xdr:row>
      <xdr:rowOff>123825</xdr:rowOff>
    </xdr:to>
    <xdr:sp macro="" textlink="">
      <xdr:nvSpPr>
        <xdr:cNvPr id="652331" name="Line 20"/>
        <xdr:cNvSpPr>
          <a:spLocks noChangeShapeType="1"/>
        </xdr:cNvSpPr>
      </xdr:nvSpPr>
      <xdr:spPr bwMode="auto">
        <a:xfrm flipH="1">
          <a:off x="2571750" y="3724275"/>
          <a:ext cx="0" cy="6286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xdr:row>
      <xdr:rowOff>152400</xdr:rowOff>
    </xdr:from>
    <xdr:to>
      <xdr:col>5</xdr:col>
      <xdr:colOff>190500</xdr:colOff>
      <xdr:row>2</xdr:row>
      <xdr:rowOff>9525</xdr:rowOff>
    </xdr:to>
    <xdr:sp macro="" textlink="">
      <xdr:nvSpPr>
        <xdr:cNvPr id="652332" name="Line 23"/>
        <xdr:cNvSpPr>
          <a:spLocks noChangeShapeType="1"/>
        </xdr:cNvSpPr>
      </xdr:nvSpPr>
      <xdr:spPr bwMode="auto">
        <a:xfrm flipH="1" flipV="1">
          <a:off x="1971675" y="314325"/>
          <a:ext cx="140017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9525</xdr:rowOff>
    </xdr:from>
    <xdr:to>
      <xdr:col>5</xdr:col>
      <xdr:colOff>457200</xdr:colOff>
      <xdr:row>9</xdr:row>
      <xdr:rowOff>9525</xdr:rowOff>
    </xdr:to>
    <xdr:sp macro="" textlink="">
      <xdr:nvSpPr>
        <xdr:cNvPr id="652333" name="Line 24"/>
        <xdr:cNvSpPr>
          <a:spLocks noChangeShapeType="1"/>
        </xdr:cNvSpPr>
      </xdr:nvSpPr>
      <xdr:spPr bwMode="auto">
        <a:xfrm>
          <a:off x="3333750" y="1466850"/>
          <a:ext cx="304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0</xdr:rowOff>
    </xdr:from>
    <xdr:to>
      <xdr:col>5</xdr:col>
      <xdr:colOff>438150</xdr:colOff>
      <xdr:row>9</xdr:row>
      <xdr:rowOff>9525</xdr:rowOff>
    </xdr:to>
    <xdr:sp macro="" textlink="">
      <xdr:nvSpPr>
        <xdr:cNvPr id="652334" name="Line 25"/>
        <xdr:cNvSpPr>
          <a:spLocks noChangeShapeType="1"/>
        </xdr:cNvSpPr>
      </xdr:nvSpPr>
      <xdr:spPr bwMode="auto">
        <a:xfrm flipH="1" flipV="1">
          <a:off x="3333750" y="1457325"/>
          <a:ext cx="2857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9525</xdr:rowOff>
    </xdr:from>
    <xdr:to>
      <xdr:col>4</xdr:col>
      <xdr:colOff>0</xdr:colOff>
      <xdr:row>26</xdr:row>
      <xdr:rowOff>76200</xdr:rowOff>
    </xdr:to>
    <xdr:sp macro="" textlink="">
      <xdr:nvSpPr>
        <xdr:cNvPr id="652335" name="Line 26"/>
        <xdr:cNvSpPr>
          <a:spLocks noChangeShapeType="1"/>
        </xdr:cNvSpPr>
      </xdr:nvSpPr>
      <xdr:spPr bwMode="auto">
        <a:xfrm flipV="1">
          <a:off x="2571750" y="3733800"/>
          <a:ext cx="0" cy="571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2</xdr:row>
      <xdr:rowOff>0</xdr:rowOff>
    </xdr:from>
    <xdr:to>
      <xdr:col>6</xdr:col>
      <xdr:colOff>0</xdr:colOff>
      <xdr:row>2</xdr:row>
      <xdr:rowOff>0</xdr:rowOff>
    </xdr:to>
    <xdr:sp macro="" textlink="">
      <xdr:nvSpPr>
        <xdr:cNvPr id="2" name="Text 163"/>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3" name="Text 815"/>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4" name="Text 163"/>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5" name="Text 815"/>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6" name="Text 163"/>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2</xdr:row>
      <xdr:rowOff>0</xdr:rowOff>
    </xdr:from>
    <xdr:to>
      <xdr:col>6</xdr:col>
      <xdr:colOff>0</xdr:colOff>
      <xdr:row>2</xdr:row>
      <xdr:rowOff>0</xdr:rowOff>
    </xdr:to>
    <xdr:sp macro="" textlink="">
      <xdr:nvSpPr>
        <xdr:cNvPr id="7" name="Text 815"/>
        <xdr:cNvSpPr txBox="1">
          <a:spLocks noChangeArrowheads="1"/>
        </xdr:cNvSpPr>
      </xdr:nvSpPr>
      <xdr:spPr bwMode="auto">
        <a:xfrm>
          <a:off x="6753225" y="7620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590550</xdr:colOff>
      <xdr:row>23</xdr:row>
      <xdr:rowOff>0</xdr:rowOff>
    </xdr:from>
    <xdr:to>
      <xdr:col>6</xdr:col>
      <xdr:colOff>600075</xdr:colOff>
      <xdr:row>23</xdr:row>
      <xdr:rowOff>0</xdr:rowOff>
    </xdr:to>
    <xdr:sp macro="" textlink="">
      <xdr:nvSpPr>
        <xdr:cNvPr id="2" name="Text 2"/>
        <xdr:cNvSpPr txBox="1">
          <a:spLocks noChangeArrowheads="1"/>
        </xdr:cNvSpPr>
      </xdr:nvSpPr>
      <xdr:spPr bwMode="auto">
        <a:xfrm>
          <a:off x="590550" y="3810000"/>
          <a:ext cx="352425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SINCE ACTUAL SHEAR STRESS IS LESS THAN PERMISSIBLE STRESS, THE SECTION IS SAFE.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28</xdr:row>
      <xdr:rowOff>0</xdr:rowOff>
    </xdr:from>
    <xdr:to>
      <xdr:col>2</xdr:col>
      <xdr:colOff>9525</xdr:colOff>
      <xdr:row>31</xdr:row>
      <xdr:rowOff>0</xdr:rowOff>
    </xdr:to>
    <xdr:sp macro="" textlink="">
      <xdr:nvSpPr>
        <xdr:cNvPr id="635131" name="Line 1"/>
        <xdr:cNvSpPr>
          <a:spLocks noChangeShapeType="1"/>
        </xdr:cNvSpPr>
      </xdr:nvSpPr>
      <xdr:spPr bwMode="auto">
        <a:xfrm flipH="1">
          <a:off x="1485900" y="13068300"/>
          <a:ext cx="9525" cy="14001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581025</xdr:colOff>
      <xdr:row>28</xdr:row>
      <xdr:rowOff>0</xdr:rowOff>
    </xdr:from>
    <xdr:to>
      <xdr:col>12</xdr:col>
      <xdr:colOff>9525</xdr:colOff>
      <xdr:row>28</xdr:row>
      <xdr:rowOff>9525</xdr:rowOff>
    </xdr:to>
    <xdr:sp macro="" textlink="">
      <xdr:nvSpPr>
        <xdr:cNvPr id="635132" name="Line 2"/>
        <xdr:cNvSpPr>
          <a:spLocks noChangeShapeType="1"/>
        </xdr:cNvSpPr>
      </xdr:nvSpPr>
      <xdr:spPr bwMode="auto">
        <a:xfrm>
          <a:off x="1457325" y="13068300"/>
          <a:ext cx="63817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9525</xdr:colOff>
      <xdr:row>15</xdr:row>
      <xdr:rowOff>0</xdr:rowOff>
    </xdr:from>
    <xdr:to>
      <xdr:col>12</xdr:col>
      <xdr:colOff>19050</xdr:colOff>
      <xdr:row>28</xdr:row>
      <xdr:rowOff>0</xdr:rowOff>
    </xdr:to>
    <xdr:sp macro="" textlink="">
      <xdr:nvSpPr>
        <xdr:cNvPr id="635133" name="Line 3"/>
        <xdr:cNvSpPr>
          <a:spLocks noChangeShapeType="1"/>
        </xdr:cNvSpPr>
      </xdr:nvSpPr>
      <xdr:spPr bwMode="auto">
        <a:xfrm flipH="1" flipV="1">
          <a:off x="7839075" y="7000875"/>
          <a:ext cx="9525" cy="60674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15</xdr:row>
      <xdr:rowOff>0</xdr:rowOff>
    </xdr:from>
    <xdr:to>
      <xdr:col>13</xdr:col>
      <xdr:colOff>9525</xdr:colOff>
      <xdr:row>15</xdr:row>
      <xdr:rowOff>9525</xdr:rowOff>
    </xdr:to>
    <xdr:sp macro="" textlink="">
      <xdr:nvSpPr>
        <xdr:cNvPr id="635134" name="Line 4"/>
        <xdr:cNvSpPr>
          <a:spLocks noChangeShapeType="1"/>
        </xdr:cNvSpPr>
      </xdr:nvSpPr>
      <xdr:spPr bwMode="auto">
        <a:xfrm flipV="1">
          <a:off x="1485900" y="7000875"/>
          <a:ext cx="6972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0</xdr:rowOff>
    </xdr:from>
    <xdr:to>
      <xdr:col>13</xdr:col>
      <xdr:colOff>200025</xdr:colOff>
      <xdr:row>14</xdr:row>
      <xdr:rowOff>9525</xdr:rowOff>
    </xdr:to>
    <xdr:sp macro="" textlink="">
      <xdr:nvSpPr>
        <xdr:cNvPr id="635135" name="Line 5"/>
        <xdr:cNvSpPr>
          <a:spLocks noChangeShapeType="1"/>
        </xdr:cNvSpPr>
      </xdr:nvSpPr>
      <xdr:spPr bwMode="auto">
        <a:xfrm>
          <a:off x="1495425" y="6534150"/>
          <a:ext cx="71532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14</xdr:row>
      <xdr:rowOff>9525</xdr:rowOff>
    </xdr:from>
    <xdr:to>
      <xdr:col>13</xdr:col>
      <xdr:colOff>9525</xdr:colOff>
      <xdr:row>19</xdr:row>
      <xdr:rowOff>76200</xdr:rowOff>
    </xdr:to>
    <xdr:sp macro="" textlink="">
      <xdr:nvSpPr>
        <xdr:cNvPr id="635136" name="Line 6"/>
        <xdr:cNvSpPr>
          <a:spLocks noChangeShapeType="1"/>
        </xdr:cNvSpPr>
      </xdr:nvSpPr>
      <xdr:spPr bwMode="auto">
        <a:xfrm>
          <a:off x="8448675" y="6543675"/>
          <a:ext cx="9525" cy="2400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14</xdr:row>
      <xdr:rowOff>0</xdr:rowOff>
    </xdr:from>
    <xdr:to>
      <xdr:col>13</xdr:col>
      <xdr:colOff>85725</xdr:colOff>
      <xdr:row>18</xdr:row>
      <xdr:rowOff>457200</xdr:rowOff>
    </xdr:to>
    <xdr:sp macro="" textlink="">
      <xdr:nvSpPr>
        <xdr:cNvPr id="635137" name="Line 7"/>
        <xdr:cNvSpPr>
          <a:spLocks noChangeShapeType="1"/>
        </xdr:cNvSpPr>
      </xdr:nvSpPr>
      <xdr:spPr bwMode="auto">
        <a:xfrm>
          <a:off x="8524875" y="6534150"/>
          <a:ext cx="9525" cy="2324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104775</xdr:colOff>
      <xdr:row>14</xdr:row>
      <xdr:rowOff>0</xdr:rowOff>
    </xdr:from>
    <xdr:to>
      <xdr:col>21</xdr:col>
      <xdr:colOff>9525</xdr:colOff>
      <xdr:row>14</xdr:row>
      <xdr:rowOff>9525</xdr:rowOff>
    </xdr:to>
    <xdr:sp macro="" textlink="">
      <xdr:nvSpPr>
        <xdr:cNvPr id="635138" name="Line 8"/>
        <xdr:cNvSpPr>
          <a:spLocks noChangeShapeType="1"/>
        </xdr:cNvSpPr>
      </xdr:nvSpPr>
      <xdr:spPr bwMode="auto">
        <a:xfrm flipV="1">
          <a:off x="8553450" y="6534150"/>
          <a:ext cx="52578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76200</xdr:colOff>
      <xdr:row>19</xdr:row>
      <xdr:rowOff>0</xdr:rowOff>
    </xdr:from>
    <xdr:to>
      <xdr:col>21</xdr:col>
      <xdr:colOff>9525</xdr:colOff>
      <xdr:row>19</xdr:row>
      <xdr:rowOff>9525</xdr:rowOff>
    </xdr:to>
    <xdr:sp macro="" textlink="">
      <xdr:nvSpPr>
        <xdr:cNvPr id="635139" name="Line 9"/>
        <xdr:cNvSpPr>
          <a:spLocks noChangeShapeType="1"/>
        </xdr:cNvSpPr>
      </xdr:nvSpPr>
      <xdr:spPr bwMode="auto">
        <a:xfrm>
          <a:off x="8524875" y="8867775"/>
          <a:ext cx="5286375"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19</xdr:row>
      <xdr:rowOff>76200</xdr:rowOff>
    </xdr:from>
    <xdr:to>
      <xdr:col>16</xdr:col>
      <xdr:colOff>19050</xdr:colOff>
      <xdr:row>19</xdr:row>
      <xdr:rowOff>76200</xdr:rowOff>
    </xdr:to>
    <xdr:sp macro="" textlink="">
      <xdr:nvSpPr>
        <xdr:cNvPr id="635140" name="Line 10"/>
        <xdr:cNvSpPr>
          <a:spLocks noChangeShapeType="1"/>
        </xdr:cNvSpPr>
      </xdr:nvSpPr>
      <xdr:spPr bwMode="auto">
        <a:xfrm>
          <a:off x="8458200" y="8943975"/>
          <a:ext cx="20764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9525</xdr:colOff>
      <xdr:row>19</xdr:row>
      <xdr:rowOff>0</xdr:rowOff>
    </xdr:from>
    <xdr:to>
      <xdr:col>16</xdr:col>
      <xdr:colOff>28575</xdr:colOff>
      <xdr:row>28</xdr:row>
      <xdr:rowOff>28575</xdr:rowOff>
    </xdr:to>
    <xdr:sp macro="" textlink="">
      <xdr:nvSpPr>
        <xdr:cNvPr id="635141" name="Line 11"/>
        <xdr:cNvSpPr>
          <a:spLocks noChangeShapeType="1"/>
        </xdr:cNvSpPr>
      </xdr:nvSpPr>
      <xdr:spPr bwMode="auto">
        <a:xfrm flipH="1">
          <a:off x="10525125" y="8867775"/>
          <a:ext cx="19050" cy="422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27</xdr:row>
      <xdr:rowOff>457200</xdr:rowOff>
    </xdr:from>
    <xdr:to>
      <xdr:col>20</xdr:col>
      <xdr:colOff>457200</xdr:colOff>
      <xdr:row>28</xdr:row>
      <xdr:rowOff>28575</xdr:rowOff>
    </xdr:to>
    <xdr:sp macro="" textlink="">
      <xdr:nvSpPr>
        <xdr:cNvPr id="635142" name="Line 12"/>
        <xdr:cNvSpPr>
          <a:spLocks noChangeShapeType="1"/>
        </xdr:cNvSpPr>
      </xdr:nvSpPr>
      <xdr:spPr bwMode="auto">
        <a:xfrm flipV="1">
          <a:off x="10515600" y="13058775"/>
          <a:ext cx="31337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447675</xdr:colOff>
      <xdr:row>27</xdr:row>
      <xdr:rowOff>457200</xdr:rowOff>
    </xdr:from>
    <xdr:to>
      <xdr:col>20</xdr:col>
      <xdr:colOff>457200</xdr:colOff>
      <xdr:row>31</xdr:row>
      <xdr:rowOff>28575</xdr:rowOff>
    </xdr:to>
    <xdr:sp macro="" textlink="">
      <xdr:nvSpPr>
        <xdr:cNvPr id="635143" name="Line 13"/>
        <xdr:cNvSpPr>
          <a:spLocks noChangeShapeType="1"/>
        </xdr:cNvSpPr>
      </xdr:nvSpPr>
      <xdr:spPr bwMode="auto">
        <a:xfrm>
          <a:off x="13639800" y="13058775"/>
          <a:ext cx="9525" cy="14382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31</xdr:row>
      <xdr:rowOff>0</xdr:rowOff>
    </xdr:from>
    <xdr:to>
      <xdr:col>20</xdr:col>
      <xdr:colOff>476250</xdr:colOff>
      <xdr:row>31</xdr:row>
      <xdr:rowOff>19050</xdr:rowOff>
    </xdr:to>
    <xdr:sp macro="" textlink="">
      <xdr:nvSpPr>
        <xdr:cNvPr id="635144" name="Line 14"/>
        <xdr:cNvSpPr>
          <a:spLocks noChangeShapeType="1"/>
        </xdr:cNvSpPr>
      </xdr:nvSpPr>
      <xdr:spPr bwMode="auto">
        <a:xfrm flipV="1">
          <a:off x="1485900" y="14468475"/>
          <a:ext cx="12182475" cy="19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13</xdr:row>
      <xdr:rowOff>419100</xdr:rowOff>
    </xdr:from>
    <xdr:to>
      <xdr:col>21</xdr:col>
      <xdr:colOff>9525</xdr:colOff>
      <xdr:row>15</xdr:row>
      <xdr:rowOff>152400</xdr:rowOff>
    </xdr:to>
    <xdr:sp macro="" textlink="">
      <xdr:nvSpPr>
        <xdr:cNvPr id="635145" name="Line 15"/>
        <xdr:cNvSpPr>
          <a:spLocks noChangeShapeType="1"/>
        </xdr:cNvSpPr>
      </xdr:nvSpPr>
      <xdr:spPr bwMode="auto">
        <a:xfrm flipH="1">
          <a:off x="13801725" y="6486525"/>
          <a:ext cx="9525"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16</xdr:row>
      <xdr:rowOff>266700</xdr:rowOff>
    </xdr:from>
    <xdr:to>
      <xdr:col>21</xdr:col>
      <xdr:colOff>9525</xdr:colOff>
      <xdr:row>18</xdr:row>
      <xdr:rowOff>457200</xdr:rowOff>
    </xdr:to>
    <xdr:sp macro="" textlink="">
      <xdr:nvSpPr>
        <xdr:cNvPr id="635146" name="Line 16"/>
        <xdr:cNvSpPr>
          <a:spLocks noChangeShapeType="1"/>
        </xdr:cNvSpPr>
      </xdr:nvSpPr>
      <xdr:spPr bwMode="auto">
        <a:xfrm>
          <a:off x="13811250" y="7734300"/>
          <a:ext cx="0" cy="11239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9525</xdr:colOff>
      <xdr:row>15</xdr:row>
      <xdr:rowOff>152400</xdr:rowOff>
    </xdr:from>
    <xdr:to>
      <xdr:col>21</xdr:col>
      <xdr:colOff>228600</xdr:colOff>
      <xdr:row>15</xdr:row>
      <xdr:rowOff>295275</xdr:rowOff>
    </xdr:to>
    <xdr:sp macro="" textlink="">
      <xdr:nvSpPr>
        <xdr:cNvPr id="635147" name="Line 17"/>
        <xdr:cNvSpPr>
          <a:spLocks noChangeShapeType="1"/>
        </xdr:cNvSpPr>
      </xdr:nvSpPr>
      <xdr:spPr bwMode="auto">
        <a:xfrm>
          <a:off x="13811250" y="7153275"/>
          <a:ext cx="219075"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15</xdr:row>
      <xdr:rowOff>304800</xdr:rowOff>
    </xdr:from>
    <xdr:to>
      <xdr:col>21</xdr:col>
      <xdr:colOff>228600</xdr:colOff>
      <xdr:row>16</xdr:row>
      <xdr:rowOff>76200</xdr:rowOff>
    </xdr:to>
    <xdr:sp macro="" textlink="">
      <xdr:nvSpPr>
        <xdr:cNvPr id="635148" name="Line 18"/>
        <xdr:cNvSpPr>
          <a:spLocks noChangeShapeType="1"/>
        </xdr:cNvSpPr>
      </xdr:nvSpPr>
      <xdr:spPr bwMode="auto">
        <a:xfrm flipH="1">
          <a:off x="13468350" y="7305675"/>
          <a:ext cx="561975"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276225</xdr:colOff>
      <xdr:row>16</xdr:row>
      <xdr:rowOff>76200</xdr:rowOff>
    </xdr:from>
    <xdr:to>
      <xdr:col>21</xdr:col>
      <xdr:colOff>0</xdr:colOff>
      <xdr:row>16</xdr:row>
      <xdr:rowOff>276225</xdr:rowOff>
    </xdr:to>
    <xdr:sp macro="" textlink="">
      <xdr:nvSpPr>
        <xdr:cNvPr id="635149" name="Line 19"/>
        <xdr:cNvSpPr>
          <a:spLocks noChangeShapeType="1"/>
        </xdr:cNvSpPr>
      </xdr:nvSpPr>
      <xdr:spPr bwMode="auto">
        <a:xfrm>
          <a:off x="13468350" y="7543800"/>
          <a:ext cx="333375" cy="2000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13</xdr:row>
      <xdr:rowOff>409575</xdr:rowOff>
    </xdr:from>
    <xdr:to>
      <xdr:col>21</xdr:col>
      <xdr:colOff>0</xdr:colOff>
      <xdr:row>13</xdr:row>
      <xdr:rowOff>419100</xdr:rowOff>
    </xdr:to>
    <xdr:sp macro="" textlink="">
      <xdr:nvSpPr>
        <xdr:cNvPr id="635150" name="Line 20"/>
        <xdr:cNvSpPr>
          <a:spLocks noChangeShapeType="1"/>
        </xdr:cNvSpPr>
      </xdr:nvSpPr>
      <xdr:spPr bwMode="auto">
        <a:xfrm>
          <a:off x="1495425" y="6477000"/>
          <a:ext cx="123063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13</xdr:row>
      <xdr:rowOff>409575</xdr:rowOff>
    </xdr:from>
    <xdr:to>
      <xdr:col>2</xdr:col>
      <xdr:colOff>9525</xdr:colOff>
      <xdr:row>14</xdr:row>
      <xdr:rowOff>190500</xdr:rowOff>
    </xdr:to>
    <xdr:sp macro="" textlink="">
      <xdr:nvSpPr>
        <xdr:cNvPr id="635151" name="Line 21"/>
        <xdr:cNvSpPr>
          <a:spLocks noChangeShapeType="1"/>
        </xdr:cNvSpPr>
      </xdr:nvSpPr>
      <xdr:spPr bwMode="auto">
        <a:xfrm>
          <a:off x="1485900" y="6477000"/>
          <a:ext cx="9525" cy="2476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180975</xdr:rowOff>
    </xdr:from>
    <xdr:to>
      <xdr:col>2</xdr:col>
      <xdr:colOff>209550</xdr:colOff>
      <xdr:row>14</xdr:row>
      <xdr:rowOff>228600</xdr:rowOff>
    </xdr:to>
    <xdr:sp macro="" textlink="">
      <xdr:nvSpPr>
        <xdr:cNvPr id="635152" name="Line 22"/>
        <xdr:cNvSpPr>
          <a:spLocks noChangeShapeType="1"/>
        </xdr:cNvSpPr>
      </xdr:nvSpPr>
      <xdr:spPr bwMode="auto">
        <a:xfrm>
          <a:off x="1495425" y="6715125"/>
          <a:ext cx="200025" cy="47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238125</xdr:rowOff>
    </xdr:from>
    <xdr:to>
      <xdr:col>2</xdr:col>
      <xdr:colOff>200025</xdr:colOff>
      <xdr:row>14</xdr:row>
      <xdr:rowOff>276225</xdr:rowOff>
    </xdr:to>
    <xdr:sp macro="" textlink="">
      <xdr:nvSpPr>
        <xdr:cNvPr id="635153" name="Line 23"/>
        <xdr:cNvSpPr>
          <a:spLocks noChangeShapeType="1"/>
        </xdr:cNvSpPr>
      </xdr:nvSpPr>
      <xdr:spPr bwMode="auto">
        <a:xfrm flipH="1">
          <a:off x="1295400" y="6772275"/>
          <a:ext cx="390525" cy="38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419100</xdr:colOff>
      <xdr:row>14</xdr:row>
      <xdr:rowOff>285750</xdr:rowOff>
    </xdr:from>
    <xdr:to>
      <xdr:col>2</xdr:col>
      <xdr:colOff>9525</xdr:colOff>
      <xdr:row>14</xdr:row>
      <xdr:rowOff>342900</xdr:rowOff>
    </xdr:to>
    <xdr:sp macro="" textlink="">
      <xdr:nvSpPr>
        <xdr:cNvPr id="635154" name="Line 24"/>
        <xdr:cNvSpPr>
          <a:spLocks noChangeShapeType="1"/>
        </xdr:cNvSpPr>
      </xdr:nvSpPr>
      <xdr:spPr bwMode="auto">
        <a:xfrm>
          <a:off x="1295400" y="6819900"/>
          <a:ext cx="200025" cy="57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xdr:row>
      <xdr:rowOff>333375</xdr:rowOff>
    </xdr:from>
    <xdr:to>
      <xdr:col>2</xdr:col>
      <xdr:colOff>9525</xdr:colOff>
      <xdr:row>15</xdr:row>
      <xdr:rowOff>9525</xdr:rowOff>
    </xdr:to>
    <xdr:sp macro="" textlink="">
      <xdr:nvSpPr>
        <xdr:cNvPr id="635155" name="Line 25"/>
        <xdr:cNvSpPr>
          <a:spLocks noChangeShapeType="1"/>
        </xdr:cNvSpPr>
      </xdr:nvSpPr>
      <xdr:spPr bwMode="auto">
        <a:xfrm>
          <a:off x="1495425" y="686752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0</xdr:colOff>
      <xdr:row>28</xdr:row>
      <xdr:rowOff>0</xdr:rowOff>
    </xdr:from>
    <xdr:to>
      <xdr:col>22</xdr:col>
      <xdr:colOff>9525</xdr:colOff>
      <xdr:row>29</xdr:row>
      <xdr:rowOff>0</xdr:rowOff>
    </xdr:to>
    <xdr:sp macro="" textlink="">
      <xdr:nvSpPr>
        <xdr:cNvPr id="635156" name="Line 26"/>
        <xdr:cNvSpPr>
          <a:spLocks noChangeShapeType="1"/>
        </xdr:cNvSpPr>
      </xdr:nvSpPr>
      <xdr:spPr bwMode="auto">
        <a:xfrm flipV="1">
          <a:off x="14411325" y="13068300"/>
          <a:ext cx="9525" cy="4667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9525</xdr:colOff>
      <xdr:row>29</xdr:row>
      <xdr:rowOff>457200</xdr:rowOff>
    </xdr:from>
    <xdr:to>
      <xdr:col>22</xdr:col>
      <xdr:colOff>9525</xdr:colOff>
      <xdr:row>31</xdr:row>
      <xdr:rowOff>38100</xdr:rowOff>
    </xdr:to>
    <xdr:sp macro="" textlink="">
      <xdr:nvSpPr>
        <xdr:cNvPr id="635157" name="Line 27"/>
        <xdr:cNvSpPr>
          <a:spLocks noChangeShapeType="1"/>
        </xdr:cNvSpPr>
      </xdr:nvSpPr>
      <xdr:spPr bwMode="auto">
        <a:xfrm>
          <a:off x="14420850" y="13992225"/>
          <a:ext cx="0" cy="514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0</xdr:colOff>
      <xdr:row>32</xdr:row>
      <xdr:rowOff>0</xdr:rowOff>
    </xdr:from>
    <xdr:to>
      <xdr:col>6</xdr:col>
      <xdr:colOff>76200</xdr:colOff>
      <xdr:row>32</xdr:row>
      <xdr:rowOff>9525</xdr:rowOff>
    </xdr:to>
    <xdr:sp macro="" textlink="">
      <xdr:nvSpPr>
        <xdr:cNvPr id="635158" name="Line 28"/>
        <xdr:cNvSpPr>
          <a:spLocks noChangeShapeType="1"/>
        </xdr:cNvSpPr>
      </xdr:nvSpPr>
      <xdr:spPr bwMode="auto">
        <a:xfrm flipH="1">
          <a:off x="1485900" y="14935200"/>
          <a:ext cx="2514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561975</xdr:colOff>
      <xdr:row>31</xdr:row>
      <xdr:rowOff>457200</xdr:rowOff>
    </xdr:from>
    <xdr:to>
      <xdr:col>12</xdr:col>
      <xdr:colOff>9525</xdr:colOff>
      <xdr:row>32</xdr:row>
      <xdr:rowOff>0</xdr:rowOff>
    </xdr:to>
    <xdr:sp macro="" textlink="">
      <xdr:nvSpPr>
        <xdr:cNvPr id="635159" name="Line 29"/>
        <xdr:cNvSpPr>
          <a:spLocks noChangeShapeType="1"/>
        </xdr:cNvSpPr>
      </xdr:nvSpPr>
      <xdr:spPr bwMode="auto">
        <a:xfrm>
          <a:off x="4486275" y="14925675"/>
          <a:ext cx="33528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31</xdr:row>
      <xdr:rowOff>457200</xdr:rowOff>
    </xdr:from>
    <xdr:to>
      <xdr:col>13</xdr:col>
      <xdr:colOff>561975</xdr:colOff>
      <xdr:row>32</xdr:row>
      <xdr:rowOff>0</xdr:rowOff>
    </xdr:to>
    <xdr:sp macro="" textlink="">
      <xdr:nvSpPr>
        <xdr:cNvPr id="635160" name="Line 30"/>
        <xdr:cNvSpPr>
          <a:spLocks noChangeShapeType="1"/>
        </xdr:cNvSpPr>
      </xdr:nvSpPr>
      <xdr:spPr bwMode="auto">
        <a:xfrm flipH="1">
          <a:off x="7829550" y="14925675"/>
          <a:ext cx="11811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571500</xdr:colOff>
      <xdr:row>32</xdr:row>
      <xdr:rowOff>0</xdr:rowOff>
    </xdr:from>
    <xdr:to>
      <xdr:col>16</xdr:col>
      <xdr:colOff>0</xdr:colOff>
      <xdr:row>32</xdr:row>
      <xdr:rowOff>9525</xdr:rowOff>
    </xdr:to>
    <xdr:sp macro="" textlink="">
      <xdr:nvSpPr>
        <xdr:cNvPr id="635161" name="Line 31"/>
        <xdr:cNvSpPr>
          <a:spLocks noChangeShapeType="1"/>
        </xdr:cNvSpPr>
      </xdr:nvSpPr>
      <xdr:spPr bwMode="auto">
        <a:xfrm flipV="1">
          <a:off x="9629775" y="14935200"/>
          <a:ext cx="885825"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600075</xdr:colOff>
      <xdr:row>31</xdr:row>
      <xdr:rowOff>447675</xdr:rowOff>
    </xdr:from>
    <xdr:to>
      <xdr:col>18</xdr:col>
      <xdr:colOff>180975</xdr:colOff>
      <xdr:row>32</xdr:row>
      <xdr:rowOff>0</xdr:rowOff>
    </xdr:to>
    <xdr:sp macro="" textlink="">
      <xdr:nvSpPr>
        <xdr:cNvPr id="635162" name="Line 32"/>
        <xdr:cNvSpPr>
          <a:spLocks noChangeShapeType="1"/>
        </xdr:cNvSpPr>
      </xdr:nvSpPr>
      <xdr:spPr bwMode="auto">
        <a:xfrm flipH="1">
          <a:off x="10506075" y="14916150"/>
          <a:ext cx="1409700"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533400</xdr:colOff>
      <xdr:row>31</xdr:row>
      <xdr:rowOff>447675</xdr:rowOff>
    </xdr:from>
    <xdr:to>
      <xdr:col>20</xdr:col>
      <xdr:colOff>466725</xdr:colOff>
      <xdr:row>31</xdr:row>
      <xdr:rowOff>457200</xdr:rowOff>
    </xdr:to>
    <xdr:sp macro="" textlink="">
      <xdr:nvSpPr>
        <xdr:cNvPr id="635163" name="Line 33"/>
        <xdr:cNvSpPr>
          <a:spLocks noChangeShapeType="1"/>
        </xdr:cNvSpPr>
      </xdr:nvSpPr>
      <xdr:spPr bwMode="auto">
        <a:xfrm>
          <a:off x="12268200" y="14916150"/>
          <a:ext cx="1390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600075</xdr:colOff>
      <xdr:row>19</xdr:row>
      <xdr:rowOff>457200</xdr:rowOff>
    </xdr:from>
    <xdr:to>
      <xdr:col>16</xdr:col>
      <xdr:colOff>9525</xdr:colOff>
      <xdr:row>19</xdr:row>
      <xdr:rowOff>457200</xdr:rowOff>
    </xdr:to>
    <xdr:sp macro="" textlink="">
      <xdr:nvSpPr>
        <xdr:cNvPr id="635164" name="Line 34"/>
        <xdr:cNvSpPr>
          <a:spLocks noChangeShapeType="1"/>
        </xdr:cNvSpPr>
      </xdr:nvSpPr>
      <xdr:spPr bwMode="auto">
        <a:xfrm>
          <a:off x="7820025" y="9324975"/>
          <a:ext cx="2705100" cy="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sp>
    <xdr:clientData/>
  </xdr:twoCellAnchor>
  <xdr:twoCellAnchor>
    <xdr:from>
      <xdr:col>11</xdr:col>
      <xdr:colOff>28575</xdr:colOff>
      <xdr:row>18</xdr:row>
      <xdr:rowOff>447675</xdr:rowOff>
    </xdr:from>
    <xdr:to>
      <xdr:col>11</xdr:col>
      <xdr:colOff>38100</xdr:colOff>
      <xdr:row>19</xdr:row>
      <xdr:rowOff>438150</xdr:rowOff>
    </xdr:to>
    <xdr:sp macro="" textlink="">
      <xdr:nvSpPr>
        <xdr:cNvPr id="635165" name="Line 35"/>
        <xdr:cNvSpPr>
          <a:spLocks noChangeShapeType="1"/>
        </xdr:cNvSpPr>
      </xdr:nvSpPr>
      <xdr:spPr bwMode="auto">
        <a:xfrm flipH="1" flipV="1">
          <a:off x="7248525" y="8848725"/>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9525</xdr:colOff>
      <xdr:row>19</xdr:row>
      <xdr:rowOff>266700</xdr:rowOff>
    </xdr:from>
    <xdr:to>
      <xdr:col>11</xdr:col>
      <xdr:colOff>28575</xdr:colOff>
      <xdr:row>19</xdr:row>
      <xdr:rowOff>457200</xdr:rowOff>
    </xdr:to>
    <xdr:sp macro="" textlink="">
      <xdr:nvSpPr>
        <xdr:cNvPr id="635166" name="Line 36"/>
        <xdr:cNvSpPr>
          <a:spLocks noChangeShapeType="1"/>
        </xdr:cNvSpPr>
      </xdr:nvSpPr>
      <xdr:spPr bwMode="auto">
        <a:xfrm flipH="1">
          <a:off x="7229475" y="9134475"/>
          <a:ext cx="19050"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15</xdr:row>
      <xdr:rowOff>19050</xdr:rowOff>
    </xdr:from>
    <xdr:to>
      <xdr:col>11</xdr:col>
      <xdr:colOff>28575</xdr:colOff>
      <xdr:row>18</xdr:row>
      <xdr:rowOff>419100</xdr:rowOff>
    </xdr:to>
    <xdr:sp macro="" textlink="">
      <xdr:nvSpPr>
        <xdr:cNvPr id="635167" name="Line 37"/>
        <xdr:cNvSpPr>
          <a:spLocks noChangeShapeType="1"/>
        </xdr:cNvSpPr>
      </xdr:nvSpPr>
      <xdr:spPr bwMode="auto">
        <a:xfrm flipH="1" flipV="1">
          <a:off x="7219950" y="7019925"/>
          <a:ext cx="28575" cy="1800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19050</xdr:colOff>
      <xdr:row>18</xdr:row>
      <xdr:rowOff>304800</xdr:rowOff>
    </xdr:from>
    <xdr:to>
      <xdr:col>11</xdr:col>
      <xdr:colOff>28575</xdr:colOff>
      <xdr:row>18</xdr:row>
      <xdr:rowOff>438150</xdr:rowOff>
    </xdr:to>
    <xdr:sp macro="" textlink="">
      <xdr:nvSpPr>
        <xdr:cNvPr id="635168" name="Line 38"/>
        <xdr:cNvSpPr>
          <a:spLocks noChangeShapeType="1"/>
        </xdr:cNvSpPr>
      </xdr:nvSpPr>
      <xdr:spPr bwMode="auto">
        <a:xfrm flipH="1">
          <a:off x="7239000" y="8705850"/>
          <a:ext cx="9525"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28575</xdr:colOff>
      <xdr:row>13</xdr:row>
      <xdr:rowOff>447675</xdr:rowOff>
    </xdr:from>
    <xdr:to>
      <xdr:col>1</xdr:col>
      <xdr:colOff>38100</xdr:colOff>
      <xdr:row>14</xdr:row>
      <xdr:rowOff>438150</xdr:rowOff>
    </xdr:to>
    <xdr:sp macro="" textlink="">
      <xdr:nvSpPr>
        <xdr:cNvPr id="635169" name="Line 39"/>
        <xdr:cNvSpPr>
          <a:spLocks noChangeShapeType="1"/>
        </xdr:cNvSpPr>
      </xdr:nvSpPr>
      <xdr:spPr bwMode="auto">
        <a:xfrm flipH="1" flipV="1">
          <a:off x="904875" y="6515100"/>
          <a:ext cx="9525" cy="45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104775</xdr:rowOff>
    </xdr:from>
    <xdr:to>
      <xdr:col>1</xdr:col>
      <xdr:colOff>28575</xdr:colOff>
      <xdr:row>14</xdr:row>
      <xdr:rowOff>457200</xdr:rowOff>
    </xdr:to>
    <xdr:sp macro="" textlink="">
      <xdr:nvSpPr>
        <xdr:cNvPr id="635170" name="Line 40"/>
        <xdr:cNvSpPr>
          <a:spLocks noChangeShapeType="1"/>
        </xdr:cNvSpPr>
      </xdr:nvSpPr>
      <xdr:spPr bwMode="auto">
        <a:xfrm>
          <a:off x="895350" y="6638925"/>
          <a:ext cx="9525" cy="352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590550</xdr:colOff>
      <xdr:row>32</xdr:row>
      <xdr:rowOff>457200</xdr:rowOff>
    </xdr:from>
    <xdr:to>
      <xdr:col>12</xdr:col>
      <xdr:colOff>0</xdr:colOff>
      <xdr:row>32</xdr:row>
      <xdr:rowOff>457200</xdr:rowOff>
    </xdr:to>
    <xdr:sp macro="" textlink="">
      <xdr:nvSpPr>
        <xdr:cNvPr id="635171" name="Line 41"/>
        <xdr:cNvSpPr>
          <a:spLocks noChangeShapeType="1"/>
        </xdr:cNvSpPr>
      </xdr:nvSpPr>
      <xdr:spPr bwMode="auto">
        <a:xfrm flipH="1" flipV="1">
          <a:off x="1466850" y="15392400"/>
          <a:ext cx="6362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571500</xdr:colOff>
      <xdr:row>33</xdr:row>
      <xdr:rowOff>0</xdr:rowOff>
    </xdr:from>
    <xdr:to>
      <xdr:col>20</xdr:col>
      <xdr:colOff>476250</xdr:colOff>
      <xdr:row>33</xdr:row>
      <xdr:rowOff>19050</xdr:rowOff>
    </xdr:to>
    <xdr:sp macro="" textlink="">
      <xdr:nvSpPr>
        <xdr:cNvPr id="635172" name="Line 42"/>
        <xdr:cNvSpPr>
          <a:spLocks noChangeShapeType="1"/>
        </xdr:cNvSpPr>
      </xdr:nvSpPr>
      <xdr:spPr bwMode="auto">
        <a:xfrm>
          <a:off x="8401050" y="15401925"/>
          <a:ext cx="526732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19050</xdr:colOff>
      <xdr:row>14</xdr:row>
      <xdr:rowOff>419100</xdr:rowOff>
    </xdr:from>
    <xdr:to>
      <xdr:col>1</xdr:col>
      <xdr:colOff>19050</xdr:colOff>
      <xdr:row>21</xdr:row>
      <xdr:rowOff>95250</xdr:rowOff>
    </xdr:to>
    <xdr:sp macro="" textlink="">
      <xdr:nvSpPr>
        <xdr:cNvPr id="635173" name="Line 43"/>
        <xdr:cNvSpPr>
          <a:spLocks noChangeShapeType="1"/>
        </xdr:cNvSpPr>
      </xdr:nvSpPr>
      <xdr:spPr bwMode="auto">
        <a:xfrm flipV="1">
          <a:off x="895350" y="6953250"/>
          <a:ext cx="0" cy="29432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22</xdr:row>
      <xdr:rowOff>19050</xdr:rowOff>
    </xdr:from>
    <xdr:to>
      <xdr:col>1</xdr:col>
      <xdr:colOff>0</xdr:colOff>
      <xdr:row>31</xdr:row>
      <xdr:rowOff>38100</xdr:rowOff>
    </xdr:to>
    <xdr:sp macro="" textlink="">
      <xdr:nvSpPr>
        <xdr:cNvPr id="635174" name="Line 44"/>
        <xdr:cNvSpPr>
          <a:spLocks noChangeShapeType="1"/>
        </xdr:cNvSpPr>
      </xdr:nvSpPr>
      <xdr:spPr bwMode="auto">
        <a:xfrm>
          <a:off x="876300" y="10287000"/>
          <a:ext cx="0" cy="4219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13</xdr:row>
      <xdr:rowOff>438150</xdr:rowOff>
    </xdr:from>
    <xdr:to>
      <xdr:col>23</xdr:col>
      <xdr:colOff>28575</xdr:colOff>
      <xdr:row>18</xdr:row>
      <xdr:rowOff>419100</xdr:rowOff>
    </xdr:to>
    <xdr:sp macro="" textlink="">
      <xdr:nvSpPr>
        <xdr:cNvPr id="635175" name="Line 47"/>
        <xdr:cNvSpPr>
          <a:spLocks noChangeShapeType="1"/>
        </xdr:cNvSpPr>
      </xdr:nvSpPr>
      <xdr:spPr bwMode="auto">
        <a:xfrm flipH="1" flipV="1">
          <a:off x="15020925" y="6505575"/>
          <a:ext cx="28575" cy="2314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23</xdr:row>
      <xdr:rowOff>276225</xdr:rowOff>
    </xdr:from>
    <xdr:to>
      <xdr:col>11</xdr:col>
      <xdr:colOff>19050</xdr:colOff>
      <xdr:row>28</xdr:row>
      <xdr:rowOff>19050</xdr:rowOff>
    </xdr:to>
    <xdr:sp macro="" textlink="">
      <xdr:nvSpPr>
        <xdr:cNvPr id="635176" name="Line 49"/>
        <xdr:cNvSpPr>
          <a:spLocks noChangeShapeType="1"/>
        </xdr:cNvSpPr>
      </xdr:nvSpPr>
      <xdr:spPr bwMode="auto">
        <a:xfrm flipH="1">
          <a:off x="7219950" y="11010900"/>
          <a:ext cx="19050" cy="2076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19</xdr:row>
      <xdr:rowOff>409575</xdr:rowOff>
    </xdr:from>
    <xdr:to>
      <xdr:col>11</xdr:col>
      <xdr:colOff>0</xdr:colOff>
      <xdr:row>22</xdr:row>
      <xdr:rowOff>419100</xdr:rowOff>
    </xdr:to>
    <xdr:sp macro="" textlink="">
      <xdr:nvSpPr>
        <xdr:cNvPr id="635177" name="Line 51"/>
        <xdr:cNvSpPr>
          <a:spLocks noChangeShapeType="1"/>
        </xdr:cNvSpPr>
      </xdr:nvSpPr>
      <xdr:spPr bwMode="auto">
        <a:xfrm flipV="1">
          <a:off x="7219950" y="9277350"/>
          <a:ext cx="0" cy="1409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13</xdr:col>
      <xdr:colOff>9525</xdr:colOff>
      <xdr:row>13</xdr:row>
      <xdr:rowOff>9525</xdr:rowOff>
    </xdr:to>
    <xdr:sp macro="" textlink="">
      <xdr:nvSpPr>
        <xdr:cNvPr id="635178" name="Line 52"/>
        <xdr:cNvSpPr>
          <a:spLocks noChangeShapeType="1"/>
        </xdr:cNvSpPr>
      </xdr:nvSpPr>
      <xdr:spPr bwMode="auto">
        <a:xfrm>
          <a:off x="7829550" y="6067425"/>
          <a:ext cx="6286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13</xdr:row>
      <xdr:rowOff>0</xdr:rowOff>
    </xdr:from>
    <xdr:to>
      <xdr:col>12</xdr:col>
      <xdr:colOff>590550</xdr:colOff>
      <xdr:row>13</xdr:row>
      <xdr:rowOff>0</xdr:rowOff>
    </xdr:to>
    <xdr:sp macro="" textlink="">
      <xdr:nvSpPr>
        <xdr:cNvPr id="635179" name="Line 53"/>
        <xdr:cNvSpPr>
          <a:spLocks noChangeShapeType="1"/>
        </xdr:cNvSpPr>
      </xdr:nvSpPr>
      <xdr:spPr bwMode="auto">
        <a:xfrm flipH="1">
          <a:off x="7829550" y="6067425"/>
          <a:ext cx="5905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18</xdr:row>
      <xdr:rowOff>276225</xdr:rowOff>
    </xdr:from>
    <xdr:to>
      <xdr:col>23</xdr:col>
      <xdr:colOff>28575</xdr:colOff>
      <xdr:row>19</xdr:row>
      <xdr:rowOff>0</xdr:rowOff>
    </xdr:to>
    <xdr:sp macro="" textlink="">
      <xdr:nvSpPr>
        <xdr:cNvPr id="635180" name="Line 56"/>
        <xdr:cNvSpPr>
          <a:spLocks noChangeShapeType="1"/>
        </xdr:cNvSpPr>
      </xdr:nvSpPr>
      <xdr:spPr bwMode="auto">
        <a:xfrm>
          <a:off x="15020925" y="8677275"/>
          <a:ext cx="28575" cy="190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xdr:from>
      <xdr:col>5</xdr:col>
      <xdr:colOff>0</xdr:colOff>
      <xdr:row>48</xdr:row>
      <xdr:rowOff>0</xdr:rowOff>
    </xdr:from>
    <xdr:to>
      <xdr:col>5</xdr:col>
      <xdr:colOff>0</xdr:colOff>
      <xdr:row>48</xdr:row>
      <xdr:rowOff>0</xdr:rowOff>
    </xdr:to>
    <xdr:sp macro="" textlink="">
      <xdr:nvSpPr>
        <xdr:cNvPr id="2" name="Text 163"/>
        <xdr:cNvSpPr txBox="1">
          <a:spLocks noChangeArrowheads="1"/>
        </xdr:cNvSpPr>
      </xdr:nvSpPr>
      <xdr:spPr bwMode="auto">
        <a:xfrm>
          <a:off x="5076825" y="9363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48</xdr:row>
      <xdr:rowOff>0</xdr:rowOff>
    </xdr:from>
    <xdr:to>
      <xdr:col>5</xdr:col>
      <xdr:colOff>0</xdr:colOff>
      <xdr:row>48</xdr:row>
      <xdr:rowOff>0</xdr:rowOff>
    </xdr:to>
    <xdr:sp macro="" textlink="">
      <xdr:nvSpPr>
        <xdr:cNvPr id="3" name="Text 815"/>
        <xdr:cNvSpPr txBox="1">
          <a:spLocks noChangeArrowheads="1"/>
        </xdr:cNvSpPr>
      </xdr:nvSpPr>
      <xdr:spPr bwMode="auto">
        <a:xfrm>
          <a:off x="5076825" y="9363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69</xdr:row>
      <xdr:rowOff>0</xdr:rowOff>
    </xdr:from>
    <xdr:to>
      <xdr:col>4</xdr:col>
      <xdr:colOff>38100</xdr:colOff>
      <xdr:row>69</xdr:row>
      <xdr:rowOff>0</xdr:rowOff>
    </xdr:to>
    <xdr:sp macro="" textlink="">
      <xdr:nvSpPr>
        <xdr:cNvPr id="635932" name="Line 4"/>
        <xdr:cNvSpPr>
          <a:spLocks noChangeShapeType="1"/>
        </xdr:cNvSpPr>
      </xdr:nvSpPr>
      <xdr:spPr bwMode="auto">
        <a:xfrm>
          <a:off x="4467225" y="1351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69</xdr:row>
      <xdr:rowOff>0</xdr:rowOff>
    </xdr:from>
    <xdr:to>
      <xdr:col>5</xdr:col>
      <xdr:colOff>9525</xdr:colOff>
      <xdr:row>69</xdr:row>
      <xdr:rowOff>0</xdr:rowOff>
    </xdr:to>
    <xdr:sp macro="" textlink="">
      <xdr:nvSpPr>
        <xdr:cNvPr id="635933" name="Line 5"/>
        <xdr:cNvSpPr>
          <a:spLocks noChangeShapeType="1"/>
        </xdr:cNvSpPr>
      </xdr:nvSpPr>
      <xdr:spPr bwMode="auto">
        <a:xfrm>
          <a:off x="5086350" y="13515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69</xdr:row>
      <xdr:rowOff>0</xdr:rowOff>
    </xdr:from>
    <xdr:to>
      <xdr:col>6</xdr:col>
      <xdr:colOff>438150</xdr:colOff>
      <xdr:row>69</xdr:row>
      <xdr:rowOff>0</xdr:rowOff>
    </xdr:to>
    <xdr:sp macro="" textlink="">
      <xdr:nvSpPr>
        <xdr:cNvPr id="635934" name="Line 6"/>
        <xdr:cNvSpPr>
          <a:spLocks noChangeShapeType="1"/>
        </xdr:cNvSpPr>
      </xdr:nvSpPr>
      <xdr:spPr bwMode="auto">
        <a:xfrm flipH="1">
          <a:off x="6057900" y="1351597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552450</xdr:colOff>
      <xdr:row>3</xdr:row>
      <xdr:rowOff>76200</xdr:rowOff>
    </xdr:from>
    <xdr:to>
      <xdr:col>3</xdr:col>
      <xdr:colOff>38100</xdr:colOff>
      <xdr:row>10</xdr:row>
      <xdr:rowOff>123825</xdr:rowOff>
    </xdr:to>
    <xdr:sp macro="" textlink="">
      <xdr:nvSpPr>
        <xdr:cNvPr id="637034" name="Line 1"/>
        <xdr:cNvSpPr>
          <a:spLocks noChangeShapeType="1"/>
        </xdr:cNvSpPr>
      </xdr:nvSpPr>
      <xdr:spPr bwMode="auto">
        <a:xfrm flipH="1">
          <a:off x="1343025" y="561975"/>
          <a:ext cx="657225" cy="1181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142875</xdr:colOff>
      <xdr:row>3</xdr:row>
      <xdr:rowOff>85725</xdr:rowOff>
    </xdr:from>
    <xdr:to>
      <xdr:col>5</xdr:col>
      <xdr:colOff>142875</xdr:colOff>
      <xdr:row>10</xdr:row>
      <xdr:rowOff>142875</xdr:rowOff>
    </xdr:to>
    <xdr:sp macro="" textlink="">
      <xdr:nvSpPr>
        <xdr:cNvPr id="637035" name="Line 2"/>
        <xdr:cNvSpPr>
          <a:spLocks noChangeShapeType="1"/>
        </xdr:cNvSpPr>
      </xdr:nvSpPr>
      <xdr:spPr bwMode="auto">
        <a:xfrm>
          <a:off x="3324225" y="571500"/>
          <a:ext cx="0" cy="1190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10</xdr:row>
      <xdr:rowOff>104775</xdr:rowOff>
    </xdr:from>
    <xdr:to>
      <xdr:col>5</xdr:col>
      <xdr:colOff>438150</xdr:colOff>
      <xdr:row>16</xdr:row>
      <xdr:rowOff>47625</xdr:rowOff>
    </xdr:to>
    <xdr:sp macro="" textlink="">
      <xdr:nvSpPr>
        <xdr:cNvPr id="637036" name="Rectangle 3"/>
        <xdr:cNvSpPr>
          <a:spLocks noChangeArrowheads="1"/>
        </xdr:cNvSpPr>
      </xdr:nvSpPr>
      <xdr:spPr bwMode="auto">
        <a:xfrm>
          <a:off x="1009650" y="1724025"/>
          <a:ext cx="2609850" cy="914400"/>
        </a:xfrm>
        <a:prstGeom prst="rect">
          <a:avLst/>
        </a:prstGeom>
        <a:solidFill>
          <a:srgbClr val="FFFFFF"/>
        </a:solidFill>
        <a:ln w="9525">
          <a:solidFill>
            <a:srgbClr val="000000"/>
          </a:solidFill>
          <a:miter lim="800000"/>
          <a:headEnd/>
          <a:tailEnd/>
        </a:ln>
      </xdr:spPr>
    </xdr:sp>
    <xdr:clientData/>
  </xdr:twoCellAnchor>
  <xdr:twoCellAnchor>
    <xdr:from>
      <xdr:col>3</xdr:col>
      <xdr:colOff>38100</xdr:colOff>
      <xdr:row>3</xdr:row>
      <xdr:rowOff>95250</xdr:rowOff>
    </xdr:from>
    <xdr:to>
      <xdr:col>3</xdr:col>
      <xdr:colOff>228600</xdr:colOff>
      <xdr:row>3</xdr:row>
      <xdr:rowOff>95250</xdr:rowOff>
    </xdr:to>
    <xdr:sp macro="" textlink="">
      <xdr:nvSpPr>
        <xdr:cNvPr id="637037" name="Line 4"/>
        <xdr:cNvSpPr>
          <a:spLocks noChangeShapeType="1"/>
        </xdr:cNvSpPr>
      </xdr:nvSpPr>
      <xdr:spPr bwMode="auto">
        <a:xfrm flipV="1">
          <a:off x="2000250" y="581025"/>
          <a:ext cx="1905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485775</xdr:colOff>
      <xdr:row>3</xdr:row>
      <xdr:rowOff>104775</xdr:rowOff>
    </xdr:from>
    <xdr:to>
      <xdr:col>5</xdr:col>
      <xdr:colOff>133350</xdr:colOff>
      <xdr:row>3</xdr:row>
      <xdr:rowOff>104775</xdr:rowOff>
    </xdr:to>
    <xdr:sp macro="" textlink="">
      <xdr:nvSpPr>
        <xdr:cNvPr id="637038" name="Line 5"/>
        <xdr:cNvSpPr>
          <a:spLocks noChangeShapeType="1"/>
        </xdr:cNvSpPr>
      </xdr:nvSpPr>
      <xdr:spPr bwMode="auto">
        <a:xfrm>
          <a:off x="2447925" y="590550"/>
          <a:ext cx="866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238125</xdr:colOff>
      <xdr:row>2</xdr:row>
      <xdr:rowOff>85725</xdr:rowOff>
    </xdr:from>
    <xdr:to>
      <xdr:col>3</xdr:col>
      <xdr:colOff>304800</xdr:colOff>
      <xdr:row>3</xdr:row>
      <xdr:rowOff>85725</xdr:rowOff>
    </xdr:to>
    <xdr:sp macro="" textlink="">
      <xdr:nvSpPr>
        <xdr:cNvPr id="637039" name="Line 6"/>
        <xdr:cNvSpPr>
          <a:spLocks noChangeShapeType="1"/>
        </xdr:cNvSpPr>
      </xdr:nvSpPr>
      <xdr:spPr bwMode="auto">
        <a:xfrm flipV="1">
          <a:off x="2200275" y="409575"/>
          <a:ext cx="66675" cy="1619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323850</xdr:colOff>
      <xdr:row>2</xdr:row>
      <xdr:rowOff>85725</xdr:rowOff>
    </xdr:from>
    <xdr:to>
      <xdr:col>3</xdr:col>
      <xdr:colOff>381000</xdr:colOff>
      <xdr:row>4</xdr:row>
      <xdr:rowOff>85725</xdr:rowOff>
    </xdr:to>
    <xdr:sp macro="" textlink="">
      <xdr:nvSpPr>
        <xdr:cNvPr id="637040" name="Line 7"/>
        <xdr:cNvSpPr>
          <a:spLocks noChangeShapeType="1"/>
        </xdr:cNvSpPr>
      </xdr:nvSpPr>
      <xdr:spPr bwMode="auto">
        <a:xfrm>
          <a:off x="2286000" y="409575"/>
          <a:ext cx="57150" cy="3238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390525</xdr:colOff>
      <xdr:row>3</xdr:row>
      <xdr:rowOff>95250</xdr:rowOff>
    </xdr:from>
    <xdr:to>
      <xdr:col>3</xdr:col>
      <xdr:colOff>514350</xdr:colOff>
      <xdr:row>4</xdr:row>
      <xdr:rowOff>85725</xdr:rowOff>
    </xdr:to>
    <xdr:sp macro="" textlink="">
      <xdr:nvSpPr>
        <xdr:cNvPr id="637041" name="Line 8"/>
        <xdr:cNvSpPr>
          <a:spLocks noChangeShapeType="1"/>
        </xdr:cNvSpPr>
      </xdr:nvSpPr>
      <xdr:spPr bwMode="auto">
        <a:xfrm flipH="1">
          <a:off x="2352675" y="581025"/>
          <a:ext cx="123825"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457200</xdr:colOff>
      <xdr:row>18</xdr:row>
      <xdr:rowOff>47625</xdr:rowOff>
    </xdr:to>
    <xdr:sp macro="" textlink="">
      <xdr:nvSpPr>
        <xdr:cNvPr id="637042" name="Line 9"/>
        <xdr:cNvSpPr>
          <a:spLocks noChangeShapeType="1"/>
        </xdr:cNvSpPr>
      </xdr:nvSpPr>
      <xdr:spPr bwMode="auto">
        <a:xfrm>
          <a:off x="1028700" y="2962275"/>
          <a:ext cx="26098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238125</xdr:colOff>
      <xdr:row>18</xdr:row>
      <xdr:rowOff>47625</xdr:rowOff>
    </xdr:from>
    <xdr:to>
      <xdr:col>5</xdr:col>
      <xdr:colOff>438150</xdr:colOff>
      <xdr:row>18</xdr:row>
      <xdr:rowOff>47625</xdr:rowOff>
    </xdr:to>
    <xdr:sp macro="" textlink="">
      <xdr:nvSpPr>
        <xdr:cNvPr id="637043" name="Line 10"/>
        <xdr:cNvSpPr>
          <a:spLocks noChangeShapeType="1"/>
        </xdr:cNvSpPr>
      </xdr:nvSpPr>
      <xdr:spPr bwMode="auto">
        <a:xfrm flipH="1" flipV="1">
          <a:off x="1028700" y="2962275"/>
          <a:ext cx="2590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28575</xdr:colOff>
      <xdr:row>1</xdr:row>
      <xdr:rowOff>152400</xdr:rowOff>
    </xdr:from>
    <xdr:to>
      <xdr:col>5</xdr:col>
      <xdr:colOff>180975</xdr:colOff>
      <xdr:row>2</xdr:row>
      <xdr:rowOff>0</xdr:rowOff>
    </xdr:to>
    <xdr:sp macro="" textlink="">
      <xdr:nvSpPr>
        <xdr:cNvPr id="637044" name="Line 11"/>
        <xdr:cNvSpPr>
          <a:spLocks noChangeShapeType="1"/>
        </xdr:cNvSpPr>
      </xdr:nvSpPr>
      <xdr:spPr bwMode="auto">
        <a:xfrm>
          <a:off x="1990725" y="314325"/>
          <a:ext cx="13716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0</xdr:rowOff>
    </xdr:from>
    <xdr:to>
      <xdr:col>5</xdr:col>
      <xdr:colOff>466725</xdr:colOff>
      <xdr:row>23</xdr:row>
      <xdr:rowOff>9525</xdr:rowOff>
    </xdr:to>
    <xdr:sp macro="" textlink="">
      <xdr:nvSpPr>
        <xdr:cNvPr id="637045" name="Line 15"/>
        <xdr:cNvSpPr>
          <a:spLocks noChangeShapeType="1"/>
        </xdr:cNvSpPr>
      </xdr:nvSpPr>
      <xdr:spPr bwMode="auto">
        <a:xfrm flipV="1">
          <a:off x="942975" y="3724275"/>
          <a:ext cx="27051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457200</xdr:colOff>
      <xdr:row>23</xdr:row>
      <xdr:rowOff>9525</xdr:rowOff>
    </xdr:from>
    <xdr:to>
      <xdr:col>5</xdr:col>
      <xdr:colOff>466725</xdr:colOff>
      <xdr:row>29</xdr:row>
      <xdr:rowOff>9525</xdr:rowOff>
    </xdr:to>
    <xdr:sp macro="" textlink="">
      <xdr:nvSpPr>
        <xdr:cNvPr id="637046" name="Line 16"/>
        <xdr:cNvSpPr>
          <a:spLocks noChangeShapeType="1"/>
        </xdr:cNvSpPr>
      </xdr:nvSpPr>
      <xdr:spPr bwMode="auto">
        <a:xfrm flipH="1">
          <a:off x="3638550" y="3733800"/>
          <a:ext cx="9525" cy="990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23</xdr:row>
      <xdr:rowOff>9525</xdr:rowOff>
    </xdr:from>
    <xdr:to>
      <xdr:col>5</xdr:col>
      <xdr:colOff>466725</xdr:colOff>
      <xdr:row>29</xdr:row>
      <xdr:rowOff>19050</xdr:rowOff>
    </xdr:to>
    <xdr:sp macro="" textlink="">
      <xdr:nvSpPr>
        <xdr:cNvPr id="637047" name="Line 17"/>
        <xdr:cNvSpPr>
          <a:spLocks noChangeShapeType="1"/>
        </xdr:cNvSpPr>
      </xdr:nvSpPr>
      <xdr:spPr bwMode="auto">
        <a:xfrm>
          <a:off x="942975" y="3733800"/>
          <a:ext cx="2705100" cy="1000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57150</xdr:colOff>
      <xdr:row>21</xdr:row>
      <xdr:rowOff>47625</xdr:rowOff>
    </xdr:to>
    <xdr:sp macro="" textlink="">
      <xdr:nvSpPr>
        <xdr:cNvPr id="637048" name="Line 18"/>
        <xdr:cNvSpPr>
          <a:spLocks noChangeShapeType="1"/>
        </xdr:cNvSpPr>
      </xdr:nvSpPr>
      <xdr:spPr bwMode="auto">
        <a:xfrm flipH="1" flipV="1">
          <a:off x="933450" y="3448050"/>
          <a:ext cx="476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142875</xdr:colOff>
      <xdr:row>21</xdr:row>
      <xdr:rowOff>47625</xdr:rowOff>
    </xdr:from>
    <xdr:to>
      <xdr:col>2</xdr:col>
      <xdr:colOff>180975</xdr:colOff>
      <xdr:row>21</xdr:row>
      <xdr:rowOff>47625</xdr:rowOff>
    </xdr:to>
    <xdr:sp macro="" textlink="">
      <xdr:nvSpPr>
        <xdr:cNvPr id="637049" name="Line 19"/>
        <xdr:cNvSpPr>
          <a:spLocks noChangeShapeType="1"/>
        </xdr:cNvSpPr>
      </xdr:nvSpPr>
      <xdr:spPr bwMode="auto">
        <a:xfrm>
          <a:off x="933450" y="3448050"/>
          <a:ext cx="600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0</xdr:rowOff>
    </xdr:from>
    <xdr:to>
      <xdr:col>4</xdr:col>
      <xdr:colOff>0</xdr:colOff>
      <xdr:row>26</xdr:row>
      <xdr:rowOff>123825</xdr:rowOff>
    </xdr:to>
    <xdr:sp macro="" textlink="">
      <xdr:nvSpPr>
        <xdr:cNvPr id="637050" name="Line 20"/>
        <xdr:cNvSpPr>
          <a:spLocks noChangeShapeType="1"/>
        </xdr:cNvSpPr>
      </xdr:nvSpPr>
      <xdr:spPr bwMode="auto">
        <a:xfrm flipH="1">
          <a:off x="2571750" y="3724275"/>
          <a:ext cx="0" cy="6286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xdr:row>
      <xdr:rowOff>152400</xdr:rowOff>
    </xdr:from>
    <xdr:to>
      <xdr:col>5</xdr:col>
      <xdr:colOff>190500</xdr:colOff>
      <xdr:row>2</xdr:row>
      <xdr:rowOff>9525</xdr:rowOff>
    </xdr:to>
    <xdr:sp macro="" textlink="">
      <xdr:nvSpPr>
        <xdr:cNvPr id="637051" name="Line 23"/>
        <xdr:cNvSpPr>
          <a:spLocks noChangeShapeType="1"/>
        </xdr:cNvSpPr>
      </xdr:nvSpPr>
      <xdr:spPr bwMode="auto">
        <a:xfrm flipH="1" flipV="1">
          <a:off x="1971675" y="314325"/>
          <a:ext cx="1400175"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9525</xdr:rowOff>
    </xdr:from>
    <xdr:to>
      <xdr:col>5</xdr:col>
      <xdr:colOff>457200</xdr:colOff>
      <xdr:row>9</xdr:row>
      <xdr:rowOff>9525</xdr:rowOff>
    </xdr:to>
    <xdr:sp macro="" textlink="">
      <xdr:nvSpPr>
        <xdr:cNvPr id="637052" name="Line 24"/>
        <xdr:cNvSpPr>
          <a:spLocks noChangeShapeType="1"/>
        </xdr:cNvSpPr>
      </xdr:nvSpPr>
      <xdr:spPr bwMode="auto">
        <a:xfrm>
          <a:off x="3333750" y="1466850"/>
          <a:ext cx="304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152400</xdr:colOff>
      <xdr:row>9</xdr:row>
      <xdr:rowOff>0</xdr:rowOff>
    </xdr:from>
    <xdr:to>
      <xdr:col>5</xdr:col>
      <xdr:colOff>438150</xdr:colOff>
      <xdr:row>9</xdr:row>
      <xdr:rowOff>9525</xdr:rowOff>
    </xdr:to>
    <xdr:sp macro="" textlink="">
      <xdr:nvSpPr>
        <xdr:cNvPr id="637053" name="Line 25"/>
        <xdr:cNvSpPr>
          <a:spLocks noChangeShapeType="1"/>
        </xdr:cNvSpPr>
      </xdr:nvSpPr>
      <xdr:spPr bwMode="auto">
        <a:xfrm flipH="1" flipV="1">
          <a:off x="3333750" y="1457325"/>
          <a:ext cx="2857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23</xdr:row>
      <xdr:rowOff>9525</xdr:rowOff>
    </xdr:from>
    <xdr:to>
      <xdr:col>4</xdr:col>
      <xdr:colOff>0</xdr:colOff>
      <xdr:row>26</xdr:row>
      <xdr:rowOff>76200</xdr:rowOff>
    </xdr:to>
    <xdr:sp macro="" textlink="">
      <xdr:nvSpPr>
        <xdr:cNvPr id="637054" name="Line 26"/>
        <xdr:cNvSpPr>
          <a:spLocks noChangeShapeType="1"/>
        </xdr:cNvSpPr>
      </xdr:nvSpPr>
      <xdr:spPr bwMode="auto">
        <a:xfrm flipV="1">
          <a:off x="2571750" y="3733800"/>
          <a:ext cx="0" cy="571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50</xdr:row>
      <xdr:rowOff>0</xdr:rowOff>
    </xdr:from>
    <xdr:to>
      <xdr:col>5</xdr:col>
      <xdr:colOff>0</xdr:colOff>
      <xdr:row>50</xdr:row>
      <xdr:rowOff>0</xdr:rowOff>
    </xdr:to>
    <xdr:sp macro="" textlink="">
      <xdr:nvSpPr>
        <xdr:cNvPr id="2" name="Text 163"/>
        <xdr:cNvSpPr txBox="1">
          <a:spLocks noChangeArrowheads="1"/>
        </xdr:cNvSpPr>
      </xdr:nvSpPr>
      <xdr:spPr bwMode="auto">
        <a:xfrm>
          <a:off x="5076825" y="7839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5</xdr:col>
      <xdr:colOff>0</xdr:colOff>
      <xdr:row>50</xdr:row>
      <xdr:rowOff>0</xdr:rowOff>
    </xdr:from>
    <xdr:to>
      <xdr:col>5</xdr:col>
      <xdr:colOff>0</xdr:colOff>
      <xdr:row>50</xdr:row>
      <xdr:rowOff>0</xdr:rowOff>
    </xdr:to>
    <xdr:sp macro="" textlink="">
      <xdr:nvSpPr>
        <xdr:cNvPr id="3" name="Text 815"/>
        <xdr:cNvSpPr txBox="1">
          <a:spLocks noChangeArrowheads="1"/>
        </xdr:cNvSpPr>
      </xdr:nvSpPr>
      <xdr:spPr bwMode="auto">
        <a:xfrm>
          <a:off x="5076825" y="78390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4</xdr:col>
      <xdr:colOff>38100</xdr:colOff>
      <xdr:row>71</xdr:row>
      <xdr:rowOff>0</xdr:rowOff>
    </xdr:from>
    <xdr:to>
      <xdr:col>4</xdr:col>
      <xdr:colOff>38100</xdr:colOff>
      <xdr:row>71</xdr:row>
      <xdr:rowOff>0</xdr:rowOff>
    </xdr:to>
    <xdr:sp macro="" textlink="">
      <xdr:nvSpPr>
        <xdr:cNvPr id="637980" name="Line 4"/>
        <xdr:cNvSpPr>
          <a:spLocks noChangeShapeType="1"/>
        </xdr:cNvSpPr>
      </xdr:nvSpPr>
      <xdr:spPr bwMode="auto">
        <a:xfrm>
          <a:off x="4467225" y="11991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71</xdr:row>
      <xdr:rowOff>0</xdr:rowOff>
    </xdr:from>
    <xdr:to>
      <xdr:col>5</xdr:col>
      <xdr:colOff>9525</xdr:colOff>
      <xdr:row>71</xdr:row>
      <xdr:rowOff>0</xdr:rowOff>
    </xdr:to>
    <xdr:sp macro="" textlink="">
      <xdr:nvSpPr>
        <xdr:cNvPr id="637981" name="Line 5"/>
        <xdr:cNvSpPr>
          <a:spLocks noChangeShapeType="1"/>
        </xdr:cNvSpPr>
      </xdr:nvSpPr>
      <xdr:spPr bwMode="auto">
        <a:xfrm>
          <a:off x="5086350" y="11991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428625</xdr:colOff>
      <xdr:row>71</xdr:row>
      <xdr:rowOff>0</xdr:rowOff>
    </xdr:from>
    <xdr:to>
      <xdr:col>6</xdr:col>
      <xdr:colOff>438150</xdr:colOff>
      <xdr:row>71</xdr:row>
      <xdr:rowOff>0</xdr:rowOff>
    </xdr:to>
    <xdr:sp macro="" textlink="">
      <xdr:nvSpPr>
        <xdr:cNvPr id="637982" name="Line 6"/>
        <xdr:cNvSpPr>
          <a:spLocks noChangeShapeType="1"/>
        </xdr:cNvSpPr>
      </xdr:nvSpPr>
      <xdr:spPr bwMode="auto">
        <a:xfrm flipH="1">
          <a:off x="6057900" y="11991975"/>
          <a:ext cx="95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69</xdr:row>
      <xdr:rowOff>0</xdr:rowOff>
    </xdr:from>
    <xdr:to>
      <xdr:col>6</xdr:col>
      <xdr:colOff>0</xdr:colOff>
      <xdr:row>69</xdr:row>
      <xdr:rowOff>0</xdr:rowOff>
    </xdr:to>
    <xdr:sp macro="" textlink="">
      <xdr:nvSpPr>
        <xdr:cNvPr id="2" name="Text 163"/>
        <xdr:cNvSpPr txBox="1">
          <a:spLocks noChangeArrowheads="1"/>
        </xdr:cNvSpPr>
      </xdr:nvSpPr>
      <xdr:spPr bwMode="auto">
        <a:xfrm>
          <a:off x="5962650" y="12830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69</xdr:row>
      <xdr:rowOff>0</xdr:rowOff>
    </xdr:from>
    <xdr:to>
      <xdr:col>6</xdr:col>
      <xdr:colOff>0</xdr:colOff>
      <xdr:row>69</xdr:row>
      <xdr:rowOff>0</xdr:rowOff>
    </xdr:to>
    <xdr:sp macro="" textlink="">
      <xdr:nvSpPr>
        <xdr:cNvPr id="3" name="Text 815"/>
        <xdr:cNvSpPr txBox="1">
          <a:spLocks noChangeArrowheads="1"/>
        </xdr:cNvSpPr>
      </xdr:nvSpPr>
      <xdr:spPr bwMode="auto">
        <a:xfrm>
          <a:off x="5962650" y="12830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4" name="Text 163"/>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5" name="Text 815"/>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6" name="Text 163"/>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92</xdr:row>
      <xdr:rowOff>0</xdr:rowOff>
    </xdr:from>
    <xdr:to>
      <xdr:col>6</xdr:col>
      <xdr:colOff>0</xdr:colOff>
      <xdr:row>92</xdr:row>
      <xdr:rowOff>0</xdr:rowOff>
    </xdr:to>
    <xdr:sp macro="" textlink="">
      <xdr:nvSpPr>
        <xdr:cNvPr id="7" name="Text 815"/>
        <xdr:cNvSpPr txBox="1">
          <a:spLocks noChangeArrowheads="1"/>
        </xdr:cNvSpPr>
      </xdr:nvSpPr>
      <xdr:spPr bwMode="auto">
        <a:xfrm>
          <a:off x="5962650" y="1672590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66</xdr:row>
      <xdr:rowOff>0</xdr:rowOff>
    </xdr:from>
    <xdr:to>
      <xdr:col>6</xdr:col>
      <xdr:colOff>0</xdr:colOff>
      <xdr:row>66</xdr:row>
      <xdr:rowOff>0</xdr:rowOff>
    </xdr:to>
    <xdr:sp macro="" textlink="">
      <xdr:nvSpPr>
        <xdr:cNvPr id="2" name="Text 163"/>
        <xdr:cNvSpPr txBox="1">
          <a:spLocks noChangeArrowheads="1"/>
        </xdr:cNvSpPr>
      </xdr:nvSpPr>
      <xdr:spPr bwMode="auto">
        <a:xfrm>
          <a:off x="5962650" y="119824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66</xdr:row>
      <xdr:rowOff>0</xdr:rowOff>
    </xdr:from>
    <xdr:to>
      <xdr:col>6</xdr:col>
      <xdr:colOff>0</xdr:colOff>
      <xdr:row>66</xdr:row>
      <xdr:rowOff>0</xdr:rowOff>
    </xdr:to>
    <xdr:sp macro="" textlink="">
      <xdr:nvSpPr>
        <xdr:cNvPr id="3" name="Text 815"/>
        <xdr:cNvSpPr txBox="1">
          <a:spLocks noChangeArrowheads="1"/>
        </xdr:cNvSpPr>
      </xdr:nvSpPr>
      <xdr:spPr bwMode="auto">
        <a:xfrm>
          <a:off x="5962650" y="11982450"/>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4" name="Text 163"/>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5" name="Text 815"/>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6" name="Text 163"/>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twoCellAnchor>
    <xdr:from>
      <xdr:col>6</xdr:col>
      <xdr:colOff>0</xdr:colOff>
      <xdr:row>89</xdr:row>
      <xdr:rowOff>0</xdr:rowOff>
    </xdr:from>
    <xdr:to>
      <xdr:col>6</xdr:col>
      <xdr:colOff>0</xdr:colOff>
      <xdr:row>89</xdr:row>
      <xdr:rowOff>0</xdr:rowOff>
    </xdr:to>
    <xdr:sp macro="" textlink="">
      <xdr:nvSpPr>
        <xdr:cNvPr id="7" name="Text 815"/>
        <xdr:cNvSpPr txBox="1">
          <a:spLocks noChangeArrowheads="1"/>
        </xdr:cNvSpPr>
      </xdr:nvSpPr>
      <xdr:spPr bwMode="auto">
        <a:xfrm>
          <a:off x="5962650" y="15878175"/>
          <a:ext cx="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REFER EXPLANANATERY H.B. TABLE E-10 AND FOOT NOTE ON PAGE 156. THE VALUE OF Mu/Bw.Fck.d2 IS VERY LESS THAN THE FIRST VALUE CORRESPONDING TO THE CASE WHEN NEUTRAL AXIS IS AT THE BOTTOM OF THE FLANGE. HENCE THE SECTION SHALL BE DESIGNED AS RECTANGULAR SECTION OF WIDTH Bf AND DEPTH d.</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590550</xdr:colOff>
      <xdr:row>23</xdr:row>
      <xdr:rowOff>0</xdr:rowOff>
    </xdr:from>
    <xdr:to>
      <xdr:col>6</xdr:col>
      <xdr:colOff>600075</xdr:colOff>
      <xdr:row>23</xdr:row>
      <xdr:rowOff>0</xdr:rowOff>
    </xdr:to>
    <xdr:sp macro="" textlink="">
      <xdr:nvSpPr>
        <xdr:cNvPr id="2" name="Text 2"/>
        <xdr:cNvSpPr txBox="1">
          <a:spLocks noChangeArrowheads="1"/>
        </xdr:cNvSpPr>
      </xdr:nvSpPr>
      <xdr:spPr bwMode="auto">
        <a:xfrm>
          <a:off x="590550" y="3810000"/>
          <a:ext cx="3524250" cy="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SINCE ACTUAL SHEAR STRESS IS LESS THAN PERMISSIBLE STRESS, THE SECTION IS SAFE.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ESIGN%20JOBS\BRIDGE%20DESIGN\MAHI%20CANAL%20AQUEDUCTS\SOM%20AQUEDUCT%20KMB\AQUEDUCT%20ACROSS%20SOM%20RIVER%201812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BRIDGE%20DESIGN\UIT%20BRIDGES\SISARAMA%20BRIDGE\Sisarama%20january%202009\design%20of%20Pier%20Footing%20ayad%20bridg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s-pc-172\c\Sachin\NH-8%20SURAT%20MANOR\Baleshwar\Mindhola\Mindholac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Sachin\internet\sachin\aur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hp\Desktop\0%20%20KUSHALGARH%20BRIDGE\Construction%20of%20Submersible%20Bridge%20on%20Muwal%20to%20Mahuda%20Phala%20Padla%20Road,%20Block-%20Kushalgarh,%20Banswara\LLCALpier1%20Submersible%20Bridge%20on%20Muwal%20Mahudi%20Pha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hp\Desktop\0%20%20KUSHALGARH%20BRIDGE\Construction%20of%20Submersible%20Bridge%20on%20AR%20Potaliya,%20Block-%20Kushalgarh,%20Banswara\Stability%20Analysis%20SUBMERSIBLE%20BRIDGE%20on%20AR%20Potaliya%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BRIDGE%20DESIGN\KHERWARA%20BRIDGE\design%20of%20Pier%20Footing%20ayad%20bridg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ROAD%20BSR-Jan.%202008\BSR%20Road%20Works,%20Jaipur%20Distt.%20(January-2008)\BSR\Rate%20Analysis%20Jaipur%202008%20Fin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BRIDGE%20DESIGN\Bundan%20River%20Bridge%20TAD\Detailed%20Submerssible%20Bridge%20Katumbi%20Chandrod%20(201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s1\C\C%20Drive%20Sanjay%202009-10\C%20Drive%202007%20(SANJAY)\My%20Documents\AMBALAL%20G%20&amp;%20Charpota%20Ji\SH-10%20Inter%20State%20%20Roads%20(New%20BSR%202007)\SH-10%20Inter%20State%20%20Pipalkhunt%20(2007-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eel1\e\LUTHRAJI\My%20Document\Data%20of%20GS\SDM\New%20Folder\Rural%20BSR%20Dausa%2011.10.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ROAD%20BSR-Jan.%202008\BSR%20Road%20Works,%20Jaipur%20Distt.%20(January-2008)\BSR\Rate%20Analysis%20Jaipur%202008%20Fi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eel1\d\download\Dausa%20Circle%20BSR%202011\Dausa%20Rad%20BSR-2011%20(PMGS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s1\D\DATA\CHC%20Ganoda%20(2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ismic forces"/>
      <sheetName val="PIER"/>
      <sheetName val="STEEL IN PIER SERVICE AND EARTH"/>
      <sheetName val="STEEL IN FLARED  PIER BASE "/>
      <sheetName val="TROUGH"/>
      <sheetName val="ABUTMENT"/>
      <sheetName val="HYDRAULICS"/>
      <sheetName val="DRAWING NOTES"/>
      <sheetName val="ROUGH FOR ACAD"/>
    </sheetNames>
    <sheetDataSet>
      <sheetData sheetId="0" refreshError="1"/>
      <sheetData sheetId="1" refreshError="1"/>
      <sheetData sheetId="2" refreshError="1"/>
      <sheetData sheetId="3" refreshError="1"/>
      <sheetData sheetId="4" refreshError="1">
        <row r="21">
          <cell r="A21" t="str">
            <v>CONCRETE MIX</v>
          </cell>
        </row>
        <row r="22">
          <cell r="A22" t="str">
            <v>CHARACTERISTIC STRENGTH OF REINFORCEMENT</v>
          </cell>
          <cell r="F22">
            <v>415</v>
          </cell>
          <cell r="G22" t="str">
            <v>N/mm2</v>
          </cell>
        </row>
        <row r="23">
          <cell r="A23" t="str">
            <v>PERMISSIBLE STRESSES</v>
          </cell>
        </row>
        <row r="24">
          <cell r="B24" t="str">
            <v>IN STEEL</v>
          </cell>
        </row>
        <row r="31">
          <cell r="B31" t="str">
            <v>IN CONCRETE</v>
          </cell>
        </row>
        <row r="32">
          <cell r="B32" t="str">
            <v>Permissible Compressive Stress in Bending</v>
          </cell>
          <cell r="C32" t="str">
            <v>σcbc</v>
          </cell>
          <cell r="D32" t="str">
            <v>=</v>
          </cell>
          <cell r="F32" t="str">
            <v>N/mm2</v>
          </cell>
        </row>
        <row r="33">
          <cell r="B33" t="str">
            <v>Permissible Compressive Stress in Direct Compression</v>
          </cell>
          <cell r="C33" t="str">
            <v>σcc</v>
          </cell>
          <cell r="D33" t="str">
            <v>=</v>
          </cell>
          <cell r="E33">
            <v>8</v>
          </cell>
          <cell r="F33" t="str">
            <v>N/mm2</v>
          </cell>
        </row>
        <row r="34">
          <cell r="C34" t="str">
            <v>σct</v>
          </cell>
          <cell r="D34" t="str">
            <v>=</v>
          </cell>
          <cell r="E34">
            <v>3.6</v>
          </cell>
          <cell r="F34" t="str">
            <v>N/mm2</v>
          </cell>
        </row>
      </sheetData>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OTING DESIGN"/>
      <sheetName val="STRESS DIAGRAM"/>
    </sheetNames>
    <sheetDataSet>
      <sheetData sheetId="0"/>
      <sheetData sheetId="1">
        <row r="18">
          <cell r="D18">
            <v>3.6</v>
          </cell>
        </row>
        <row r="21">
          <cell r="B21">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tbeam"/>
      <sheetName val="SALIENT"/>
      <sheetName val="Sheet2"/>
      <sheetName val="shaft"/>
      <sheetName val="horforces"/>
      <sheetName val="loadsumm"/>
      <sheetName val="LLOAD"/>
      <sheetName val="WATERF"/>
      <sheetName val="welcap"/>
      <sheetName val="curbstein"/>
      <sheetName val="reinf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l_tbeam"/>
      <sheetName val="dl_tbeam (2)"/>
      <sheetName val="INTRO"/>
      <sheetName val="CONTENT"/>
      <sheetName val="dlvoid"/>
      <sheetName val="dlvoid (2)"/>
      <sheetName val="dlsolid"/>
      <sheetName val="dlsolid (2)"/>
      <sheetName val="LLOAD"/>
      <sheetName val="loadsumm "/>
      <sheetName val="SALIENT"/>
      <sheetName val="LLOAD-reject"/>
      <sheetName val="WIND"/>
      <sheetName val="SUBSTR"/>
      <sheetName val="footing"/>
      <sheetName val="SLENDER"/>
      <sheetName val="PIERCAP"/>
      <sheetName val="REINF PIER"/>
      <sheetName val="xxinp"/>
      <sheetName val="AUR8RES"/>
      <sheetName val="KHARxx"/>
    </sheetNames>
    <sheetDataSet>
      <sheetData sheetId="0"/>
      <sheetData sheetId="1"/>
      <sheetData sheetId="2"/>
      <sheetData sheetId="3"/>
      <sheetData sheetId="4">
        <row r="25">
          <cell r="H25">
            <v>1.5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LOAD"/>
      <sheetName val="loadsumm "/>
      <sheetName val="LL-ABSTRACT"/>
    </sheetNames>
    <sheetDataSet>
      <sheetData sheetId="0"/>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flux calculation"/>
      <sheetName val="HYDRAULICS"/>
      <sheetName val="Deck Anchorage"/>
      <sheetName val="CROSS SECTION"/>
      <sheetName val="Bed Slope"/>
      <sheetName val="STABILITY CHECK FOR PIER"/>
      <sheetName val="abstract of stresses"/>
      <sheetName val="STEEL IN FLARED  PIER BASE "/>
      <sheetName val="STEEL IN PIER"/>
      <sheetName val="FOOTING DESIGN"/>
      <sheetName val="Footing STRESS DIAGRAM"/>
      <sheetName val="Pier Cap LL tracked vehicle"/>
      <sheetName val="Pier Cap"/>
      <sheetName val="LLOAD"/>
      <sheetName val="loadsumm "/>
      <sheetName val="LL-ABSTRACT"/>
      <sheetName val="AbutMENT Drawing"/>
      <sheetName val="STABILITY CHECK ABUTMENT"/>
      <sheetName val="ABUTMENT FOOTING DESIGN"/>
      <sheetName val="Abut Footing STRESS DIAGRAM"/>
      <sheetName val="STEEL IN ABUTMENT"/>
      <sheetName val="Abutment Cap"/>
      <sheetName val="DIRT WALL REINFORCEMENT"/>
      <sheetName val="DIRT DirectLoad_BM"/>
      <sheetName val="DIRT LL_BM"/>
    </sheetNames>
    <sheetDataSet>
      <sheetData sheetId="0" refreshError="1"/>
      <sheetData sheetId="1" refreshError="1"/>
      <sheetData sheetId="2" refreshError="1"/>
      <sheetData sheetId="3" refreshError="1"/>
      <sheetData sheetId="4" refreshError="1"/>
      <sheetData sheetId="5">
        <row r="27">
          <cell r="H27">
            <v>0.75</v>
          </cell>
        </row>
        <row r="28">
          <cell r="H28">
            <v>7.4999999999999997E-2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
          <cell r="F4">
            <v>8.4</v>
          </cell>
        </row>
      </sheetData>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OTING DESIGN"/>
      <sheetName val="STRESS DIAGRAM"/>
    </sheetNames>
    <sheetDataSet>
      <sheetData sheetId="0" refreshError="1"/>
      <sheetData sheetId="1" refreshError="1">
        <row r="18">
          <cell r="D18">
            <v>3.6</v>
          </cell>
        </row>
        <row r="21">
          <cell r="B21">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3)"/>
      <sheetName val="Ch-1"/>
      <sheetName val="Ch-2"/>
      <sheetName val="Ch-3"/>
      <sheetName val="Ch-4"/>
      <sheetName val="Ch-5"/>
      <sheetName val="Ch-6"/>
      <sheetName val="Ch-7"/>
      <sheetName val="Ch-8"/>
      <sheetName val="Ch-9"/>
      <sheetName val="Ch-10"/>
      <sheetName val="Ch-11"/>
      <sheetName val="Ch-12"/>
      <sheetName val="Ch-13"/>
      <sheetName val="Ch-14"/>
      <sheetName val="Ch-15"/>
      <sheetName val="Ch -16"/>
      <sheetName val="Ch -16-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Cover"/>
      <sheetName val="adm Sanction Letter"/>
      <sheetName val="Technical Note"/>
      <sheetName val="Index Map"/>
      <sheetName val="General Abs. "/>
      <sheetName val="Abstract"/>
      <sheetName val="Bridge Detail"/>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heet1"/>
      <sheetName val="Index"/>
      <sheetName val="Check List "/>
      <sheetName val="Second Page "/>
      <sheetName val="Techanical Report"/>
      <sheetName val="Non "/>
      <sheetName val="Sample Estimate"/>
      <sheetName val="GENERAL ABSTRACT"/>
      <sheetName val="Annexure-I"/>
      <sheetName val="Annexure-II"/>
      <sheetName val="&quot;G&quot; Schedule"/>
      <sheetName val="Abstract"/>
      <sheetName val="WAKHATPURA"/>
      <sheetName val="Annexure -II"/>
      <sheetName val="CERTIFICATE"/>
      <sheetName val="Certificate 01"/>
      <sheetName val="SH-10"/>
      <sheetName val="LIn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Index"/>
      <sheetName val="Abbreviations"/>
      <sheetName val="Sheet2"/>
      <sheetName val="BSR 2011"/>
      <sheetName val="master_sheet"/>
      <sheetName val="DRG. Slab Culvert-SH-54 -79(2)"/>
      <sheetName val="Rural BSR Dausa 11.10.06"/>
      <sheetName val="Plant_&amp;__Machinery"/>
      <sheetName val="Summary_of_Rates"/>
      <sheetName val="Basic_Approach"/>
      <sheetName val="BSR_2011"/>
      <sheetName val="DRG__Slab_Culvert-SH-54_-79(2)"/>
      <sheetName val="Rural_BSR_Dausa_11_10_06"/>
      <sheetName val="Plant_&amp;__Machinery1"/>
      <sheetName val="Summary_of_Rates1"/>
      <sheetName val="Basic_Approach1"/>
      <sheetName val="BSR_20111"/>
      <sheetName val="DRG__Slab_Culvert-SH-54_-79(2)1"/>
      <sheetName val="Rural_BSR_Dausa_11_10_061"/>
      <sheetName val="Plant_&amp;__Machinery2"/>
      <sheetName val="Summary_of_Rates2"/>
      <sheetName val="Basic_Approach2"/>
      <sheetName val="BSR_20112"/>
      <sheetName val="DRG__Slab_Culvert-SH-54_-79(2)2"/>
      <sheetName val="Rural_BSR_Dausa_11_10_062"/>
      <sheetName val="ADT"/>
      <sheetName val="EW"/>
      <sheetName val="WBM"/>
      <sheetName val="Master data Entry"/>
      <sheetName val="Preamble-1\"/>
      <sheetName val="Preamble-1_"/>
      <sheetName val="[Rural BSR Dausa 11.10.06.xls]P"/>
      <sheetName val="Dtl-RCC"/>
      <sheetName val="horizontal"/>
      <sheetName val="_Rural BSR Dausa 11.10.06.xls_P"/>
      <sheetName val="Plant_&amp;__Machinery4"/>
      <sheetName val="Summary_of_Rates4"/>
      <sheetName val="Basic_Approach4"/>
      <sheetName val="BSR_20114"/>
      <sheetName val="DRG__Slab_Culvert-SH-54_-79(2)4"/>
      <sheetName val="Rural_BSR_Dausa_11_10_064"/>
      <sheetName val="Master_data_Entry1"/>
      <sheetName val="Plant_&amp;__Machinery3"/>
      <sheetName val="Summary_of_Rates3"/>
      <sheetName val="Basic_Approach3"/>
      <sheetName val="BSR_20113"/>
      <sheetName val="DRG__Slab_Culvert-SH-54_-79(2)3"/>
      <sheetName val="Rural_BSR_Dausa_11_10_063"/>
      <sheetName val="Master_data_Entry"/>
      <sheetName val="Pro_PMGSY Dec-07"/>
      <sheetName val="5"/>
      <sheetName val="PH-V (20-07-06) (77)"/>
      <sheetName val="Annexure-III"/>
      <sheetName val="P"/>
      <sheetName val="gen_EST"/>
      <sheetName val="Vented-L-Sec."/>
      <sheetName val="Vented -X-Sec"/>
      <sheetName val="XL4Test5"/>
      <sheetName val="BQ"/>
      <sheetName val="Letter"/>
      <sheetName val="Sheet1 (2)"/>
      <sheetName val="Sheet1 (3)"/>
      <sheetName val="Sheet3"/>
      <sheetName val="MAIN"/>
      <sheetName val="Assumptions"/>
      <sheetName val="_Rural_BSR_Dausa_11_10_06_xls_2"/>
      <sheetName val="_Rural_BSR_Dausa_11_10_06_xls_3"/>
      <sheetName val="_Rural_BSR_Dausa_11_10_06_xls_4"/>
      <sheetName val="_Rural_BSR_Dausa_11_10_06_xls_5"/>
      <sheetName val="02"/>
      <sheetName val="03"/>
      <sheetName val="04"/>
      <sheetName val="05"/>
      <sheetName val="BABULAL"/>
      <sheetName val="MDR-105"/>
      <sheetName val="MDR-105 (2)"/>
      <sheetName val="_Rural_BSR_Dausa_11_10_06_xls_6"/>
      <sheetName val="_Rural_BSR_Dausa_11_10_06_xls_8"/>
      <sheetName val="_Rural_BSR_Dausa_11_10_06_xls_7"/>
      <sheetName val="DESIGN PAVEMENT"/>
    </sheetNames>
    <sheetDataSet>
      <sheetData sheetId="0" refreshError="1"/>
      <sheetData sheetId="1" refreshError="1"/>
      <sheetData sheetId="2" refreshError="1">
        <row r="4">
          <cell r="G4">
            <v>130</v>
          </cell>
        </row>
        <row r="5">
          <cell r="G5">
            <v>6500</v>
          </cell>
        </row>
        <row r="6">
          <cell r="G6">
            <v>6000</v>
          </cell>
        </row>
        <row r="8">
          <cell r="G8">
            <v>60</v>
          </cell>
        </row>
        <row r="9">
          <cell r="G9">
            <v>80</v>
          </cell>
        </row>
        <row r="10">
          <cell r="G10">
            <v>180</v>
          </cell>
        </row>
        <row r="11">
          <cell r="G11">
            <v>50</v>
          </cell>
        </row>
        <row r="12">
          <cell r="G12">
            <v>300</v>
          </cell>
        </row>
        <row r="13">
          <cell r="G13">
            <v>450</v>
          </cell>
        </row>
        <row r="15">
          <cell r="G15">
            <v>800</v>
          </cell>
        </row>
        <row r="17">
          <cell r="G17">
            <v>400</v>
          </cell>
        </row>
        <row r="19">
          <cell r="G19">
            <v>110</v>
          </cell>
        </row>
        <row r="20">
          <cell r="G20">
            <v>400</v>
          </cell>
        </row>
        <row r="21">
          <cell r="G21">
            <v>400</v>
          </cell>
        </row>
        <row r="22">
          <cell r="G22">
            <v>120</v>
          </cell>
        </row>
        <row r="23">
          <cell r="G23">
            <v>25</v>
          </cell>
        </row>
        <row r="24">
          <cell r="G24">
            <v>150</v>
          </cell>
        </row>
        <row r="25">
          <cell r="G25">
            <v>1500</v>
          </cell>
        </row>
        <row r="27">
          <cell r="G27">
            <v>40</v>
          </cell>
        </row>
        <row r="28">
          <cell r="G28">
            <v>450</v>
          </cell>
        </row>
        <row r="29">
          <cell r="G29">
            <v>40</v>
          </cell>
        </row>
        <row r="30">
          <cell r="G30">
            <v>40</v>
          </cell>
        </row>
        <row r="31">
          <cell r="G31">
            <v>60</v>
          </cell>
        </row>
        <row r="33">
          <cell r="G33">
            <v>7000</v>
          </cell>
        </row>
        <row r="34">
          <cell r="G34">
            <v>110</v>
          </cell>
        </row>
        <row r="45">
          <cell r="G45">
            <v>300</v>
          </cell>
        </row>
        <row r="46">
          <cell r="G46">
            <v>110</v>
          </cell>
        </row>
        <row r="47">
          <cell r="G47">
            <v>105</v>
          </cell>
        </row>
        <row r="48">
          <cell r="G48">
            <v>110</v>
          </cell>
        </row>
        <row r="49">
          <cell r="G49">
            <v>100</v>
          </cell>
        </row>
        <row r="50">
          <cell r="G50">
            <v>100</v>
          </cell>
        </row>
        <row r="51">
          <cell r="G51">
            <v>300</v>
          </cell>
        </row>
        <row r="53">
          <cell r="G53">
            <v>200</v>
          </cell>
        </row>
        <row r="54">
          <cell r="G54">
            <v>2600</v>
          </cell>
        </row>
      </sheetData>
      <sheetData sheetId="3" refreshError="1">
        <row r="3">
          <cell r="D3">
            <v>73</v>
          </cell>
        </row>
        <row r="4">
          <cell r="D4">
            <v>90</v>
          </cell>
        </row>
        <row r="5">
          <cell r="D5">
            <v>130</v>
          </cell>
        </row>
        <row r="6">
          <cell r="D6">
            <v>130</v>
          </cell>
        </row>
        <row r="7">
          <cell r="D7">
            <v>180</v>
          </cell>
        </row>
        <row r="8">
          <cell r="D8">
            <v>85</v>
          </cell>
        </row>
        <row r="9">
          <cell r="D9">
            <v>90</v>
          </cell>
        </row>
        <row r="10">
          <cell r="D10">
            <v>90</v>
          </cell>
        </row>
        <row r="11">
          <cell r="D11">
            <v>130</v>
          </cell>
        </row>
        <row r="12">
          <cell r="D12">
            <v>150</v>
          </cell>
        </row>
        <row r="13">
          <cell r="D13">
            <v>150</v>
          </cell>
        </row>
        <row r="14">
          <cell r="D14">
            <v>160</v>
          </cell>
        </row>
        <row r="15">
          <cell r="D15">
            <v>150</v>
          </cell>
        </row>
        <row r="16">
          <cell r="D16">
            <v>90</v>
          </cell>
        </row>
        <row r="17">
          <cell r="D17">
            <v>73</v>
          </cell>
        </row>
        <row r="18">
          <cell r="D18">
            <v>75</v>
          </cell>
        </row>
        <row r="19">
          <cell r="D19">
            <v>80</v>
          </cell>
        </row>
        <row r="20">
          <cell r="D20">
            <v>120</v>
          </cell>
        </row>
        <row r="21">
          <cell r="D21">
            <v>150</v>
          </cell>
        </row>
        <row r="22">
          <cell r="D22">
            <v>150</v>
          </cell>
        </row>
        <row r="23">
          <cell r="D23">
            <v>90</v>
          </cell>
        </row>
      </sheetData>
      <sheetData sheetId="4" refreshError="1">
        <row r="3">
          <cell r="D3">
            <v>20</v>
          </cell>
        </row>
        <row r="4">
          <cell r="D4">
            <v>300</v>
          </cell>
        </row>
        <row r="5">
          <cell r="D5">
            <v>280</v>
          </cell>
        </row>
        <row r="6">
          <cell r="D6">
            <v>280</v>
          </cell>
        </row>
        <row r="7">
          <cell r="D7">
            <v>300</v>
          </cell>
        </row>
        <row r="8">
          <cell r="D8">
            <v>280</v>
          </cell>
        </row>
        <row r="9">
          <cell r="D9">
            <v>240</v>
          </cell>
        </row>
        <row r="10">
          <cell r="D10">
            <v>280</v>
          </cell>
        </row>
        <row r="11">
          <cell r="D11">
            <v>280</v>
          </cell>
        </row>
        <row r="12">
          <cell r="D12">
            <v>280</v>
          </cell>
        </row>
        <row r="13">
          <cell r="D13">
            <v>294</v>
          </cell>
        </row>
        <row r="14">
          <cell r="D14">
            <v>294</v>
          </cell>
        </row>
        <row r="15">
          <cell r="D15">
            <v>294</v>
          </cell>
        </row>
        <row r="16">
          <cell r="D16">
            <v>294</v>
          </cell>
        </row>
        <row r="17">
          <cell r="D17">
            <v>260</v>
          </cell>
        </row>
        <row r="18">
          <cell r="D18">
            <v>280</v>
          </cell>
        </row>
        <row r="19">
          <cell r="D19">
            <v>260</v>
          </cell>
        </row>
        <row r="20">
          <cell r="D20">
            <v>100</v>
          </cell>
        </row>
        <row r="21">
          <cell r="D21">
            <v>100</v>
          </cell>
        </row>
        <row r="22">
          <cell r="D22">
            <v>100</v>
          </cell>
        </row>
        <row r="23">
          <cell r="D23">
            <v>125</v>
          </cell>
        </row>
        <row r="24">
          <cell r="D24">
            <v>200</v>
          </cell>
        </row>
        <row r="25">
          <cell r="D25">
            <v>300</v>
          </cell>
        </row>
        <row r="26">
          <cell r="D26">
            <v>315</v>
          </cell>
        </row>
        <row r="27">
          <cell r="D27">
            <v>380</v>
          </cell>
        </row>
        <row r="28">
          <cell r="D28">
            <v>5000</v>
          </cell>
        </row>
        <row r="29">
          <cell r="D29">
            <v>50</v>
          </cell>
        </row>
        <row r="30">
          <cell r="D30">
            <v>50</v>
          </cell>
        </row>
        <row r="31">
          <cell r="D31">
            <v>60</v>
          </cell>
        </row>
        <row r="32">
          <cell r="D32">
            <v>70</v>
          </cell>
        </row>
        <row r="33">
          <cell r="D33">
            <v>80</v>
          </cell>
        </row>
        <row r="34">
          <cell r="D34">
            <v>50</v>
          </cell>
        </row>
        <row r="35">
          <cell r="D35">
            <v>60</v>
          </cell>
        </row>
        <row r="36">
          <cell r="D36">
            <v>35</v>
          </cell>
        </row>
        <row r="37">
          <cell r="D37">
            <v>125</v>
          </cell>
        </row>
        <row r="38">
          <cell r="D38">
            <v>35</v>
          </cell>
        </row>
        <row r="39">
          <cell r="D39">
            <v>27500</v>
          </cell>
        </row>
        <row r="40">
          <cell r="D40" t="str">
            <v>Input Rate</v>
          </cell>
        </row>
        <row r="41">
          <cell r="D41">
            <v>30000</v>
          </cell>
        </row>
        <row r="42">
          <cell r="D42">
            <v>24000</v>
          </cell>
        </row>
        <row r="43">
          <cell r="D43">
            <v>23000</v>
          </cell>
        </row>
        <row r="44">
          <cell r="D44">
            <v>22000</v>
          </cell>
        </row>
        <row r="45">
          <cell r="D45">
            <v>22000</v>
          </cell>
        </row>
        <row r="46">
          <cell r="D46">
            <v>60</v>
          </cell>
        </row>
        <row r="47">
          <cell r="D47">
            <v>250</v>
          </cell>
        </row>
        <row r="48">
          <cell r="D48">
            <v>15</v>
          </cell>
        </row>
        <row r="49">
          <cell r="D49">
            <v>15</v>
          </cell>
        </row>
        <row r="50">
          <cell r="D50">
            <v>1.4</v>
          </cell>
        </row>
        <row r="51">
          <cell r="D51">
            <v>3700</v>
          </cell>
        </row>
        <row r="52">
          <cell r="D52">
            <v>15</v>
          </cell>
        </row>
        <row r="53">
          <cell r="D53">
            <v>40</v>
          </cell>
        </row>
        <row r="54">
          <cell r="D54">
            <v>4</v>
          </cell>
        </row>
        <row r="55">
          <cell r="D55">
            <v>600</v>
          </cell>
        </row>
        <row r="56">
          <cell r="D56">
            <v>300</v>
          </cell>
        </row>
        <row r="57">
          <cell r="D57">
            <v>50</v>
          </cell>
        </row>
        <row r="58">
          <cell r="D58">
            <v>35</v>
          </cell>
        </row>
        <row r="59">
          <cell r="D59">
            <v>60</v>
          </cell>
        </row>
        <row r="60">
          <cell r="D60">
            <v>4</v>
          </cell>
        </row>
        <row r="61">
          <cell r="D61">
            <v>225</v>
          </cell>
        </row>
        <row r="62">
          <cell r="D62">
            <v>225</v>
          </cell>
        </row>
        <row r="63">
          <cell r="D63">
            <v>340</v>
          </cell>
        </row>
        <row r="64">
          <cell r="D64">
            <v>280</v>
          </cell>
        </row>
        <row r="65">
          <cell r="D65">
            <v>280</v>
          </cell>
        </row>
        <row r="66">
          <cell r="D66">
            <v>280</v>
          </cell>
        </row>
        <row r="67">
          <cell r="D67">
            <v>260</v>
          </cell>
        </row>
        <row r="68">
          <cell r="D68">
            <v>260</v>
          </cell>
        </row>
        <row r="69">
          <cell r="D69">
            <v>40</v>
          </cell>
        </row>
        <row r="70">
          <cell r="D70">
            <v>100</v>
          </cell>
        </row>
        <row r="71">
          <cell r="D71">
            <v>30</v>
          </cell>
        </row>
        <row r="72">
          <cell r="D72">
            <v>65</v>
          </cell>
        </row>
        <row r="73">
          <cell r="D73">
            <v>8500</v>
          </cell>
        </row>
        <row r="74">
          <cell r="D74">
            <v>15</v>
          </cell>
        </row>
        <row r="75">
          <cell r="D75">
            <v>330</v>
          </cell>
        </row>
        <row r="77">
          <cell r="D77">
            <v>300</v>
          </cell>
        </row>
        <row r="78">
          <cell r="D78">
            <v>75</v>
          </cell>
        </row>
        <row r="79">
          <cell r="D79">
            <v>175</v>
          </cell>
        </row>
        <row r="80">
          <cell r="D80">
            <v>225</v>
          </cell>
        </row>
        <row r="81">
          <cell r="D81">
            <v>35</v>
          </cell>
        </row>
        <row r="83">
          <cell r="D83">
            <v>100</v>
          </cell>
        </row>
        <row r="84">
          <cell r="D84">
            <v>250</v>
          </cell>
        </row>
        <row r="85">
          <cell r="D85">
            <v>200</v>
          </cell>
        </row>
        <row r="86">
          <cell r="D86">
            <v>50</v>
          </cell>
        </row>
        <row r="87">
          <cell r="D87">
            <v>250</v>
          </cell>
        </row>
        <row r="88">
          <cell r="D88">
            <v>95</v>
          </cell>
        </row>
        <row r="89">
          <cell r="D89">
            <v>200</v>
          </cell>
        </row>
        <row r="90">
          <cell r="D90">
            <v>120</v>
          </cell>
        </row>
        <row r="91">
          <cell r="D91">
            <v>200</v>
          </cell>
        </row>
        <row r="92">
          <cell r="D92">
            <v>250</v>
          </cell>
        </row>
        <row r="93">
          <cell r="D93">
            <v>610</v>
          </cell>
        </row>
        <row r="94">
          <cell r="D94">
            <v>200</v>
          </cell>
        </row>
        <row r="95">
          <cell r="D95">
            <v>7</v>
          </cell>
        </row>
        <row r="96">
          <cell r="D96">
            <v>340</v>
          </cell>
        </row>
        <row r="97">
          <cell r="D97">
            <v>2200</v>
          </cell>
        </row>
        <row r="99">
          <cell r="D99">
            <v>150</v>
          </cell>
        </row>
        <row r="100">
          <cell r="D100">
            <v>1200</v>
          </cell>
        </row>
        <row r="101">
          <cell r="D101">
            <v>200</v>
          </cell>
        </row>
        <row r="102">
          <cell r="D102">
            <v>4</v>
          </cell>
        </row>
        <row r="103">
          <cell r="D103">
            <v>30000</v>
          </cell>
        </row>
        <row r="104">
          <cell r="D104">
            <v>40</v>
          </cell>
        </row>
        <row r="105">
          <cell r="D105">
            <v>300</v>
          </cell>
        </row>
        <row r="106">
          <cell r="D106">
            <v>400</v>
          </cell>
        </row>
        <row r="107">
          <cell r="D107">
            <v>45000</v>
          </cell>
        </row>
        <row r="108">
          <cell r="D108">
            <v>110</v>
          </cell>
        </row>
        <row r="109">
          <cell r="D109">
            <v>90</v>
          </cell>
        </row>
        <row r="110">
          <cell r="D110">
            <v>60</v>
          </cell>
        </row>
        <row r="111">
          <cell r="D111">
            <v>60</v>
          </cell>
        </row>
        <row r="112">
          <cell r="D112">
            <v>120</v>
          </cell>
        </row>
        <row r="113">
          <cell r="D113">
            <v>3200</v>
          </cell>
        </row>
        <row r="114">
          <cell r="D114">
            <v>2200</v>
          </cell>
        </row>
        <row r="115">
          <cell r="D115">
            <v>1600</v>
          </cell>
        </row>
        <row r="117">
          <cell r="D117">
            <v>750</v>
          </cell>
        </row>
        <row r="118">
          <cell r="D118">
            <v>3840</v>
          </cell>
        </row>
        <row r="119">
          <cell r="D119">
            <v>2620</v>
          </cell>
        </row>
        <row r="120">
          <cell r="D120">
            <v>1600</v>
          </cell>
        </row>
        <row r="122">
          <cell r="D122">
            <v>1300</v>
          </cell>
        </row>
        <row r="123">
          <cell r="D123">
            <v>80</v>
          </cell>
        </row>
        <row r="124">
          <cell r="D124">
            <v>120</v>
          </cell>
        </row>
        <row r="125">
          <cell r="D125">
            <v>250</v>
          </cell>
        </row>
        <row r="126">
          <cell r="D126">
            <v>250</v>
          </cell>
        </row>
        <row r="127">
          <cell r="D127">
            <v>3000</v>
          </cell>
        </row>
        <row r="128">
          <cell r="D128">
            <v>135</v>
          </cell>
        </row>
        <row r="129">
          <cell r="D129">
            <v>32000</v>
          </cell>
        </row>
        <row r="130">
          <cell r="D130">
            <v>30000</v>
          </cell>
        </row>
        <row r="131">
          <cell r="D131">
            <v>33000</v>
          </cell>
        </row>
        <row r="132">
          <cell r="D132">
            <v>140</v>
          </cell>
        </row>
        <row r="133">
          <cell r="D133">
            <v>300</v>
          </cell>
        </row>
        <row r="135">
          <cell r="D135">
            <v>280</v>
          </cell>
        </row>
        <row r="136">
          <cell r="D136">
            <v>375</v>
          </cell>
        </row>
        <row r="137">
          <cell r="D137">
            <v>325</v>
          </cell>
        </row>
        <row r="138">
          <cell r="D138">
            <v>150</v>
          </cell>
        </row>
        <row r="139">
          <cell r="D139">
            <v>5</v>
          </cell>
        </row>
        <row r="140">
          <cell r="D140">
            <v>300</v>
          </cell>
        </row>
        <row r="142">
          <cell r="D142">
            <v>280</v>
          </cell>
        </row>
        <row r="143">
          <cell r="D143">
            <v>280</v>
          </cell>
        </row>
        <row r="144">
          <cell r="D144">
            <v>250</v>
          </cell>
        </row>
        <row r="145">
          <cell r="D145">
            <v>275</v>
          </cell>
        </row>
        <row r="146">
          <cell r="D146">
            <v>50</v>
          </cell>
        </row>
        <row r="147">
          <cell r="D147">
            <v>100</v>
          </cell>
        </row>
        <row r="148">
          <cell r="D148">
            <v>140</v>
          </cell>
        </row>
        <row r="149">
          <cell r="D149">
            <v>150</v>
          </cell>
        </row>
        <row r="150">
          <cell r="D150">
            <v>100</v>
          </cell>
        </row>
        <row r="151">
          <cell r="D151">
            <v>140</v>
          </cell>
        </row>
        <row r="152">
          <cell r="D152">
            <v>100</v>
          </cell>
        </row>
        <row r="153">
          <cell r="D153">
            <v>120</v>
          </cell>
        </row>
        <row r="154">
          <cell r="D154">
            <v>100</v>
          </cell>
        </row>
        <row r="155">
          <cell r="D155">
            <v>140</v>
          </cell>
        </row>
        <row r="156">
          <cell r="D156">
            <v>120</v>
          </cell>
        </row>
        <row r="157">
          <cell r="D157">
            <v>100</v>
          </cell>
        </row>
        <row r="158">
          <cell r="D158">
            <v>140</v>
          </cell>
        </row>
        <row r="159">
          <cell r="D159">
            <v>120</v>
          </cell>
        </row>
        <row r="160">
          <cell r="D160">
            <v>100</v>
          </cell>
        </row>
        <row r="161">
          <cell r="D161">
            <v>100</v>
          </cell>
        </row>
        <row r="162">
          <cell r="D162">
            <v>115</v>
          </cell>
        </row>
        <row r="163">
          <cell r="D163">
            <v>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3)"/>
      <sheetName val="Ch-1"/>
      <sheetName val="Ch-2"/>
      <sheetName val="Ch-3"/>
      <sheetName val="Ch-4"/>
      <sheetName val="Ch-5"/>
      <sheetName val="Ch-6"/>
      <sheetName val="Ch-7"/>
      <sheetName val="Ch-8"/>
      <sheetName val="Ch-9"/>
      <sheetName val="Ch-10"/>
      <sheetName val="Ch-11"/>
      <sheetName val="Ch-12"/>
      <sheetName val="Ch-13"/>
      <sheetName val="Ch-14"/>
      <sheetName val="Ch-15"/>
      <sheetName val="Ch -16"/>
      <sheetName val="Ch -16-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dex"/>
      <sheetName val="Labour"/>
      <sheetName val="Plant &amp;  Machinery"/>
      <sheetName val="Material"/>
      <sheetName val="Preface"/>
      <sheetName val="Rate Differece"/>
      <sheetName val="BSR-2011"/>
      <sheetName val="Plant_&amp;__Machinery"/>
      <sheetName val="Rate_Differece"/>
      <sheetName val="Plant_&amp;__Machinery1"/>
      <sheetName val="Rate_Differece1"/>
      <sheetName val="Chapter-4"/>
      <sheetName val="e your progress? _x000b_Comfy Cakes_x0000__x0000_"/>
      <sheetName val="Plant_&amp;__Machinery2"/>
      <sheetName val="Rate_Differece2"/>
      <sheetName val="e your progress_ _x000b_Comfy Cakes"/>
      <sheetName val="Missing link "/>
      <sheetName val="M "/>
      <sheetName val="gen_EST"/>
      <sheetName val="e your progress? _x000b_Comfy Cakes??"/>
      <sheetName val="chittor-03"/>
      <sheetName val="Pro_PMGSY Dec-07"/>
      <sheetName val="e your progress_ _x000b_Comfy Cakes__"/>
      <sheetName val="Dausa Rad BSR-2011 (PMGSY)"/>
      <sheetName val="(1) RIDF-XVIII VC "/>
      <sheetName val="e your progress_ _x005f_x000b_Comfy C"/>
      <sheetName val="Chapter-11"/>
      <sheetName val="PRICE BID"/>
      <sheetName val="DATA-2"/>
      <sheetName val="e your progress? _x000b_Comfy Cakes"/>
      <sheetName val="Abs Tonk"/>
      <sheetName val="Estimate"/>
      <sheetName val="HT-INTROD"/>
      <sheetName val="Madaria-a"/>
      <sheetName val="Sheet3"/>
      <sheetName val="horizontal"/>
      <sheetName val="rising 15"/>
      <sheetName val="Cover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sheetData sheetId="16"/>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Schedule"/>
      <sheetName val="Front DPR"/>
      <sheetName val="TR "/>
      <sheetName val="General Abs."/>
      <sheetName val="Abstract"/>
      <sheetName val="Estimate (2)"/>
      <sheetName val="analysis (2)"/>
      <sheetName val="Wrong G.sch."/>
      <sheetName val="G.Sch. Garhi"/>
      <sheetName val="Estimate"/>
      <sheetName val=" Abs. Sani."/>
      <sheetName val="Estimade Sanitary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5">
          <cell r="C5">
            <v>0.30480000000000002</v>
          </cell>
        </row>
      </sheetData>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4:C27"/>
  <sheetViews>
    <sheetView workbookViewId="0">
      <selection activeCell="D27" sqref="D27"/>
    </sheetView>
  </sheetViews>
  <sheetFormatPr defaultRowHeight="18"/>
  <cols>
    <col min="1" max="1" width="5.7109375" style="473" customWidth="1"/>
    <col min="2" max="2" width="67.42578125" style="473" customWidth="1"/>
    <col min="3" max="3" width="7.7109375" style="473" customWidth="1"/>
    <col min="4" max="16384" width="9.140625" style="473"/>
  </cols>
  <sheetData>
    <row r="4" spans="1:3">
      <c r="A4" s="699" t="s">
        <v>1187</v>
      </c>
      <c r="B4" s="699"/>
      <c r="C4" s="699"/>
    </row>
    <row r="5" spans="1:3">
      <c r="A5" s="473" t="s">
        <v>265</v>
      </c>
    </row>
    <row r="6" spans="1:3">
      <c r="A6" s="700" t="s">
        <v>1188</v>
      </c>
      <c r="B6" s="700"/>
      <c r="C6" s="700"/>
    </row>
    <row r="8" spans="1:3">
      <c r="A8" s="520" t="s">
        <v>1189</v>
      </c>
      <c r="B8" s="521" t="s">
        <v>1190</v>
      </c>
      <c r="C8" s="521" t="s">
        <v>1191</v>
      </c>
    </row>
    <row r="9" spans="1:3">
      <c r="A9" s="521">
        <v>1</v>
      </c>
      <c r="B9" s="521" t="s">
        <v>1192</v>
      </c>
      <c r="C9" s="521"/>
    </row>
    <row r="10" spans="1:3">
      <c r="A10" s="521">
        <v>2</v>
      </c>
      <c r="B10" s="521" t="s">
        <v>1193</v>
      </c>
      <c r="C10" s="521"/>
    </row>
    <row r="11" spans="1:3">
      <c r="A11" s="521">
        <v>3</v>
      </c>
      <c r="B11" s="521" t="s">
        <v>1194</v>
      </c>
      <c r="C11" s="521"/>
    </row>
    <row r="12" spans="1:3">
      <c r="A12" s="521">
        <v>4</v>
      </c>
      <c r="B12" s="521" t="s">
        <v>1195</v>
      </c>
      <c r="C12" s="521"/>
    </row>
    <row r="13" spans="1:3">
      <c r="A13" s="521">
        <v>5</v>
      </c>
      <c r="B13" s="521" t="s">
        <v>1196</v>
      </c>
      <c r="C13" s="521"/>
    </row>
    <row r="14" spans="1:3">
      <c r="A14" s="521">
        <v>6</v>
      </c>
      <c r="B14" s="521" t="s">
        <v>1197</v>
      </c>
      <c r="C14" s="521"/>
    </row>
    <row r="15" spans="1:3">
      <c r="A15" s="521">
        <v>7</v>
      </c>
      <c r="B15" s="521" t="s">
        <v>1198</v>
      </c>
      <c r="C15" s="521"/>
    </row>
    <row r="16" spans="1:3">
      <c r="A16" s="521">
        <v>8</v>
      </c>
      <c r="B16" s="521" t="s">
        <v>1199</v>
      </c>
      <c r="C16" s="521"/>
    </row>
    <row r="17" spans="1:3">
      <c r="A17" s="521">
        <v>9</v>
      </c>
      <c r="B17" s="521" t="s">
        <v>1200</v>
      </c>
      <c r="C17" s="521"/>
    </row>
    <row r="18" spans="1:3">
      <c r="A18" s="521">
        <v>10</v>
      </c>
      <c r="B18" s="521" t="s">
        <v>1201</v>
      </c>
      <c r="C18" s="521"/>
    </row>
    <row r="19" spans="1:3">
      <c r="A19" s="521">
        <v>11</v>
      </c>
      <c r="B19" s="521" t="s">
        <v>1202</v>
      </c>
      <c r="C19" s="521"/>
    </row>
    <row r="20" spans="1:3">
      <c r="A20" s="521">
        <v>12</v>
      </c>
      <c r="B20" s="521" t="s">
        <v>1203</v>
      </c>
      <c r="C20" s="521"/>
    </row>
    <row r="21" spans="1:3">
      <c r="A21" s="521">
        <v>13</v>
      </c>
      <c r="B21" s="521" t="s">
        <v>1204</v>
      </c>
      <c r="C21" s="521"/>
    </row>
    <row r="22" spans="1:3">
      <c r="A22" s="521">
        <v>14</v>
      </c>
      <c r="B22" s="521" t="s">
        <v>1205</v>
      </c>
      <c r="C22" s="521"/>
    </row>
    <row r="23" spans="1:3">
      <c r="A23" s="521">
        <v>15</v>
      </c>
      <c r="B23" s="521" t="s">
        <v>1206</v>
      </c>
      <c r="C23" s="521"/>
    </row>
    <row r="24" spans="1:3">
      <c r="A24" s="521">
        <v>16</v>
      </c>
      <c r="B24" s="521" t="s">
        <v>1207</v>
      </c>
      <c r="C24" s="521"/>
    </row>
    <row r="25" spans="1:3">
      <c r="A25" s="521">
        <v>17</v>
      </c>
      <c r="B25" s="521" t="s">
        <v>1208</v>
      </c>
      <c r="C25" s="521"/>
    </row>
    <row r="26" spans="1:3">
      <c r="A26" s="521">
        <v>18</v>
      </c>
      <c r="B26" s="521" t="s">
        <v>1209</v>
      </c>
      <c r="C26" s="521"/>
    </row>
    <row r="27" spans="1:3">
      <c r="A27" s="521">
        <v>19</v>
      </c>
      <c r="B27" s="521" t="s">
        <v>1210</v>
      </c>
      <c r="C27" s="521"/>
    </row>
  </sheetData>
  <mergeCells count="2">
    <mergeCell ref="A4:C4"/>
    <mergeCell ref="A6:C6"/>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8"/>
  <sheetViews>
    <sheetView topLeftCell="A29" zoomScaleNormal="100" zoomScaleSheetLayoutView="100" workbookViewId="0">
      <selection activeCell="S39" sqref="S39"/>
    </sheetView>
  </sheetViews>
  <sheetFormatPr defaultRowHeight="12.75"/>
  <cols>
    <col min="1" max="1" width="40.85546875" customWidth="1"/>
    <col min="2" max="2" width="15.140625" bestFit="1" customWidth="1"/>
    <col min="3" max="3" width="12.42578125" customWidth="1"/>
    <col min="4" max="4" width="9.85546875" bestFit="1" customWidth="1"/>
    <col min="7" max="7" width="7.5703125" customWidth="1"/>
    <col min="8" max="8" width="40.5703125" customWidth="1"/>
  </cols>
  <sheetData>
    <row r="1" spans="1:10" ht="36" customHeight="1">
      <c r="A1" s="703" t="s">
        <v>486</v>
      </c>
      <c r="B1" s="703"/>
      <c r="C1" s="703"/>
      <c r="D1" s="703"/>
      <c r="E1" s="703"/>
      <c r="F1" s="703"/>
      <c r="G1" s="703"/>
      <c r="H1" s="703"/>
      <c r="I1" s="233"/>
      <c r="J1" s="233"/>
    </row>
    <row r="2" spans="1:10" ht="42.75" customHeight="1">
      <c r="A2" s="704" t="s">
        <v>1172</v>
      </c>
      <c r="B2" s="704"/>
      <c r="C2" s="704"/>
      <c r="D2" s="704"/>
      <c r="E2" s="704"/>
      <c r="F2" s="704"/>
      <c r="G2" s="704"/>
      <c r="H2" s="704"/>
      <c r="I2" s="233"/>
      <c r="J2" s="233"/>
    </row>
    <row r="3" spans="1:10" ht="23.25">
      <c r="A3" s="170" t="s">
        <v>263</v>
      </c>
    </row>
    <row r="4" spans="1:10" ht="21.75">
      <c r="A4" s="171" t="s">
        <v>264</v>
      </c>
      <c r="C4" s="172">
        <v>1</v>
      </c>
      <c r="D4" s="172" t="s">
        <v>428</v>
      </c>
    </row>
    <row r="5" spans="1:10" ht="15">
      <c r="A5" s="173" t="s">
        <v>49</v>
      </c>
      <c r="B5" s="172" t="s">
        <v>2</v>
      </c>
      <c r="C5" s="172" t="s">
        <v>266</v>
      </c>
      <c r="F5" s="172" t="s">
        <v>267</v>
      </c>
    </row>
    <row r="6" spans="1:10" ht="18">
      <c r="A6" s="173" t="s">
        <v>42</v>
      </c>
      <c r="B6" s="172" t="s">
        <v>2</v>
      </c>
      <c r="C6" s="174">
        <f>HYDRAULICS!$C$29</f>
        <v>490.30000000000109</v>
      </c>
      <c r="D6" t="s">
        <v>268</v>
      </c>
      <c r="G6" s="172" t="s">
        <v>269</v>
      </c>
      <c r="H6" s="172" t="s">
        <v>343</v>
      </c>
    </row>
    <row r="7" spans="1:10" ht="15">
      <c r="A7" s="173" t="s">
        <v>44</v>
      </c>
      <c r="B7" s="172" t="s">
        <v>2</v>
      </c>
      <c r="C7" s="174">
        <f>HYDRAULICS!$C$30</f>
        <v>190.70731489786334</v>
      </c>
      <c r="D7" s="6" t="s">
        <v>270</v>
      </c>
      <c r="G7" s="172" t="s">
        <v>271</v>
      </c>
      <c r="H7" s="172" t="s">
        <v>272</v>
      </c>
    </row>
    <row r="8" spans="1:10" ht="15">
      <c r="A8" s="173" t="s">
        <v>223</v>
      </c>
      <c r="B8" s="172" t="s">
        <v>2</v>
      </c>
      <c r="C8" s="172">
        <v>1</v>
      </c>
      <c r="D8" t="s">
        <v>32</v>
      </c>
      <c r="E8">
        <f>HYDRAULICS!$C$33</f>
        <v>960</v>
      </c>
      <c r="G8" s="172" t="s">
        <v>273</v>
      </c>
      <c r="H8" s="172" t="s">
        <v>274</v>
      </c>
    </row>
    <row r="9" spans="1:10" ht="15">
      <c r="A9" s="7"/>
      <c r="H9" s="172" t="s">
        <v>275</v>
      </c>
    </row>
    <row r="10" spans="1:10" ht="15">
      <c r="A10" s="173" t="s">
        <v>276</v>
      </c>
      <c r="B10" s="172" t="s">
        <v>2</v>
      </c>
      <c r="C10" s="172">
        <f>HYDRAULICS!$C$32</f>
        <v>3.3000000000000002E-2</v>
      </c>
      <c r="G10" s="172" t="s">
        <v>277</v>
      </c>
      <c r="H10" s="172" t="s">
        <v>278</v>
      </c>
    </row>
    <row r="11" spans="1:10" ht="15">
      <c r="A11" s="7"/>
      <c r="H11" s="172" t="s">
        <v>279</v>
      </c>
    </row>
    <row r="12" spans="1:10" ht="15">
      <c r="A12" s="173" t="s">
        <v>47</v>
      </c>
      <c r="B12" s="172" t="s">
        <v>2</v>
      </c>
      <c r="C12" s="172" t="s">
        <v>344</v>
      </c>
      <c r="G12" s="172" t="s">
        <v>280</v>
      </c>
      <c r="H12" s="172" t="s">
        <v>281</v>
      </c>
    </row>
    <row r="13" spans="1:10" ht="18">
      <c r="A13" s="175" t="s">
        <v>282</v>
      </c>
      <c r="B13" s="172" t="s">
        <v>2</v>
      </c>
      <c r="C13" s="172">
        <f>ROUNDUP(1/C10*((C6/C7)^(2/3)*(1/E8)^0.5),2)</f>
        <v>1.84</v>
      </c>
      <c r="D13" t="s">
        <v>283</v>
      </c>
    </row>
    <row r="14" spans="1:10" ht="15">
      <c r="A14" s="173" t="s">
        <v>49</v>
      </c>
      <c r="B14" s="172" t="s">
        <v>2</v>
      </c>
      <c r="C14" s="174">
        <f>ROUND(C6*C13,2)</f>
        <v>902.15</v>
      </c>
      <c r="D14" t="s">
        <v>284</v>
      </c>
    </row>
    <row r="15" spans="1:10" ht="21.75">
      <c r="A15" s="171" t="s">
        <v>285</v>
      </c>
    </row>
    <row r="16" spans="1:10" ht="15">
      <c r="A16" s="172" t="s">
        <v>286</v>
      </c>
      <c r="C16" s="7" t="s">
        <v>287</v>
      </c>
      <c r="D16" s="162" t="s">
        <v>288</v>
      </c>
      <c r="E16" t="s">
        <v>289</v>
      </c>
    </row>
    <row r="17" spans="1:7" ht="15">
      <c r="A17" s="172"/>
      <c r="B17" s="135" t="s">
        <v>2</v>
      </c>
      <c r="C17">
        <f>ROUNDUP(4.8*(C14)^0.5,2)</f>
        <v>144.17999999999998</v>
      </c>
      <c r="D17" t="s">
        <v>0</v>
      </c>
    </row>
    <row r="18" spans="1:7" ht="15">
      <c r="A18" s="172" t="s">
        <v>290</v>
      </c>
      <c r="C18" s="163">
        <v>12</v>
      </c>
      <c r="D18" t="s">
        <v>291</v>
      </c>
      <c r="F18" s="163">
        <v>8</v>
      </c>
      <c r="G18" t="s">
        <v>292</v>
      </c>
    </row>
    <row r="19" spans="1:7" ht="15">
      <c r="A19" s="172" t="s">
        <v>293</v>
      </c>
    </row>
    <row r="20" spans="1:7" ht="15">
      <c r="A20" s="172" t="s">
        <v>294</v>
      </c>
      <c r="B20">
        <f>C18</f>
        <v>12</v>
      </c>
      <c r="C20" s="19" t="s">
        <v>3</v>
      </c>
      <c r="D20">
        <f>F18</f>
        <v>8</v>
      </c>
      <c r="E20" s="19" t="s">
        <v>2</v>
      </c>
      <c r="F20">
        <f>B20*D20</f>
        <v>96</v>
      </c>
      <c r="G20" t="s">
        <v>29</v>
      </c>
    </row>
    <row r="21" spans="1:7" ht="15">
      <c r="A21" s="172"/>
      <c r="C21" s="19"/>
      <c r="E21" t="s">
        <v>4</v>
      </c>
      <c r="F21">
        <f>SUM(F20:F20)</f>
        <v>96</v>
      </c>
      <c r="G21" t="s">
        <v>29</v>
      </c>
    </row>
    <row r="22" spans="1:7" ht="21.75">
      <c r="A22" s="171" t="s">
        <v>295</v>
      </c>
    </row>
    <row r="23" spans="1:7" ht="15">
      <c r="A23" s="172" t="s">
        <v>296</v>
      </c>
    </row>
    <row r="24" spans="1:7" ht="18">
      <c r="A24" s="173" t="s">
        <v>297</v>
      </c>
      <c r="B24" s="172" t="s">
        <v>345</v>
      </c>
      <c r="F24" s="172" t="s">
        <v>267</v>
      </c>
    </row>
    <row r="25" spans="1:7" ht="15">
      <c r="A25" s="7"/>
      <c r="E25" s="172" t="s">
        <v>298</v>
      </c>
      <c r="F25" s="172" t="s">
        <v>2</v>
      </c>
      <c r="G25" s="172" t="s">
        <v>299</v>
      </c>
    </row>
    <row r="26" spans="1:7" ht="15">
      <c r="A26" s="7"/>
      <c r="E26" s="172" t="s">
        <v>300</v>
      </c>
      <c r="F26" s="172" t="s">
        <v>2</v>
      </c>
      <c r="G26" s="172" t="s">
        <v>301</v>
      </c>
    </row>
    <row r="27" spans="1:7" ht="15">
      <c r="A27" s="7"/>
      <c r="C27" s="172"/>
      <c r="E27" s="172" t="s">
        <v>265</v>
      </c>
      <c r="F27" s="164" t="s">
        <v>2</v>
      </c>
      <c r="G27" s="163">
        <v>1.5</v>
      </c>
    </row>
    <row r="28" spans="1:7" ht="15">
      <c r="A28" s="173" t="s">
        <v>302</v>
      </c>
      <c r="B28" s="172" t="s">
        <v>2</v>
      </c>
      <c r="C28" s="172" t="s">
        <v>303</v>
      </c>
    </row>
    <row r="29" spans="1:7" ht="15">
      <c r="A29" s="173" t="s">
        <v>2</v>
      </c>
      <c r="B29" s="165">
        <f>C18*F18-1.2</f>
        <v>94.8</v>
      </c>
      <c r="C29" s="19" t="s">
        <v>304</v>
      </c>
      <c r="D29" s="172">
        <f>B20-1</f>
        <v>11</v>
      </c>
      <c r="E29" s="19" t="s">
        <v>3</v>
      </c>
      <c r="F29" s="163">
        <v>1.2</v>
      </c>
      <c r="G29" s="19" t="s">
        <v>15</v>
      </c>
    </row>
    <row r="30" spans="1:7" ht="15">
      <c r="A30" s="173" t="s">
        <v>2</v>
      </c>
      <c r="B30" s="174">
        <f>B29-(D29*F29)</f>
        <v>81.599999999999994</v>
      </c>
      <c r="C30" t="s">
        <v>0</v>
      </c>
    </row>
    <row r="31" spans="1:7" ht="15">
      <c r="A31" s="173" t="s">
        <v>298</v>
      </c>
      <c r="B31" s="164" t="s">
        <v>305</v>
      </c>
      <c r="C31" s="2">
        <f>ROUND(C14,2)</f>
        <v>902.15</v>
      </c>
      <c r="D31" s="19" t="s">
        <v>8</v>
      </c>
      <c r="E31" s="2">
        <f>B30</f>
        <v>81.599999999999994</v>
      </c>
    </row>
    <row r="32" spans="1:7" ht="15">
      <c r="A32" s="7"/>
      <c r="B32" s="172" t="s">
        <v>2</v>
      </c>
      <c r="C32" s="172">
        <f>ROUNDUP(C31/E31,2)</f>
        <v>11.06</v>
      </c>
      <c r="D32" t="s">
        <v>306</v>
      </c>
    </row>
    <row r="33" spans="1:8" ht="15">
      <c r="A33" s="173" t="s">
        <v>297</v>
      </c>
      <c r="B33" s="174">
        <f>ROUNDUP(1.34* (C32^2 /G27)^(1/3),2)</f>
        <v>5.8199999999999994</v>
      </c>
      <c r="C33" t="s">
        <v>0</v>
      </c>
    </row>
    <row r="34" spans="1:8" ht="47.25" customHeight="1">
      <c r="A34" s="702" t="s">
        <v>482</v>
      </c>
      <c r="B34" s="702"/>
      <c r="C34" s="702"/>
      <c r="D34" s="702"/>
      <c r="E34" s="702"/>
      <c r="F34" s="702"/>
      <c r="G34" s="702"/>
      <c r="H34" s="702"/>
    </row>
    <row r="35" spans="1:8" ht="21.75">
      <c r="A35" s="171" t="s">
        <v>307</v>
      </c>
    </row>
    <row r="36" spans="1:8" ht="15">
      <c r="A36" s="172" t="s">
        <v>308</v>
      </c>
    </row>
    <row r="37" spans="1:8" ht="15">
      <c r="A37" s="172" t="s">
        <v>309</v>
      </c>
    </row>
    <row r="38" spans="1:8" ht="15">
      <c r="A38" s="173" t="s">
        <v>310</v>
      </c>
      <c r="B38" t="s">
        <v>346</v>
      </c>
    </row>
    <row r="39" spans="1:8" ht="15">
      <c r="A39" s="173" t="s">
        <v>311</v>
      </c>
    </row>
    <row r="40" spans="1:8" ht="15">
      <c r="A40" s="173" t="s">
        <v>224</v>
      </c>
      <c r="B40" s="172" t="s">
        <v>2</v>
      </c>
      <c r="C40" s="172" t="s">
        <v>312</v>
      </c>
    </row>
    <row r="41" spans="1:8" ht="15">
      <c r="A41" s="173" t="s">
        <v>313</v>
      </c>
      <c r="B41" s="172" t="s">
        <v>2</v>
      </c>
      <c r="C41" s="172" t="s">
        <v>314</v>
      </c>
    </row>
    <row r="42" spans="1:8" ht="18">
      <c r="A42" s="173" t="s">
        <v>42</v>
      </c>
      <c r="B42" s="172" t="s">
        <v>2</v>
      </c>
      <c r="C42" s="172" t="s">
        <v>347</v>
      </c>
    </row>
    <row r="43" spans="1:8" ht="18">
      <c r="A43" s="173" t="s">
        <v>315</v>
      </c>
      <c r="B43" s="172" t="s">
        <v>2</v>
      </c>
      <c r="C43" s="172" t="s">
        <v>348</v>
      </c>
    </row>
    <row r="44" spans="1:8" ht="15">
      <c r="A44" s="173" t="s">
        <v>316</v>
      </c>
    </row>
    <row r="45" spans="1:8" ht="15">
      <c r="A45" s="172" t="s">
        <v>463</v>
      </c>
      <c r="C45" s="243">
        <f>B52</f>
        <v>94.8</v>
      </c>
      <c r="D45" s="19" t="s">
        <v>3</v>
      </c>
      <c r="E45" s="2">
        <f>B50-B59</f>
        <v>5</v>
      </c>
      <c r="F45" s="19" t="s">
        <v>2</v>
      </c>
      <c r="G45">
        <f>C45*E45</f>
        <v>474</v>
      </c>
      <c r="H45" t="s">
        <v>453</v>
      </c>
    </row>
    <row r="46" spans="1:8" ht="15">
      <c r="A46" s="173" t="s">
        <v>42</v>
      </c>
      <c r="B46" s="172" t="s">
        <v>2</v>
      </c>
      <c r="C46" s="174">
        <f>'CROSS SECTION'!F27</f>
        <v>490.30000000000109</v>
      </c>
      <c r="D46" t="s">
        <v>349</v>
      </c>
    </row>
    <row r="47" spans="1:8" ht="15">
      <c r="A47" s="173" t="s">
        <v>47</v>
      </c>
      <c r="B47" s="172" t="s">
        <v>2</v>
      </c>
      <c r="C47" s="172">
        <f>C13</f>
        <v>1.84</v>
      </c>
      <c r="D47" t="s">
        <v>283</v>
      </c>
    </row>
    <row r="48" spans="1:8" ht="15.75">
      <c r="A48" s="701" t="s">
        <v>317</v>
      </c>
      <c r="B48" s="701"/>
      <c r="C48" s="701"/>
      <c r="D48" s="701"/>
      <c r="E48" s="701"/>
      <c r="F48" s="701"/>
      <c r="G48" s="701"/>
    </row>
    <row r="49" spans="1:8" ht="15">
      <c r="A49" s="173" t="s">
        <v>318</v>
      </c>
      <c r="B49" s="167">
        <f>HYDRAULICS!$F$4</f>
        <v>100.6</v>
      </c>
      <c r="C49" t="s">
        <v>0</v>
      </c>
    </row>
    <row r="50" spans="1:8" ht="15">
      <c r="A50" s="173" t="s">
        <v>319</v>
      </c>
      <c r="B50" s="167">
        <f>HYDRAULICS!E40</f>
        <v>101.6</v>
      </c>
      <c r="C50" t="s">
        <v>0</v>
      </c>
    </row>
    <row r="51" spans="1:8" ht="15">
      <c r="A51" s="173" t="s">
        <v>320</v>
      </c>
      <c r="B51" s="167">
        <v>0.83</v>
      </c>
      <c r="C51" t="s">
        <v>0</v>
      </c>
    </row>
    <row r="52" spans="1:8" ht="15">
      <c r="A52" s="173" t="s">
        <v>321</v>
      </c>
      <c r="B52" s="167">
        <f>B29</f>
        <v>94.8</v>
      </c>
      <c r="C52" t="s">
        <v>0</v>
      </c>
    </row>
    <row r="53" spans="1:8" ht="15">
      <c r="A53" s="173" t="s">
        <v>322</v>
      </c>
      <c r="B53" s="243">
        <f>B51</f>
        <v>0.83</v>
      </c>
      <c r="C53" t="s">
        <v>0</v>
      </c>
      <c r="D53" s="8"/>
      <c r="E53" s="19"/>
      <c r="F53" s="8"/>
    </row>
    <row r="54" spans="1:8" ht="15">
      <c r="A54" s="173" t="s">
        <v>323</v>
      </c>
      <c r="B54" s="243">
        <f>B52</f>
        <v>94.8</v>
      </c>
      <c r="C54" s="164" t="s">
        <v>3</v>
      </c>
      <c r="D54" s="2">
        <f>B53</f>
        <v>0.83</v>
      </c>
    </row>
    <row r="55" spans="1:8" ht="15">
      <c r="A55" s="7"/>
      <c r="B55" s="19" t="s">
        <v>2</v>
      </c>
      <c r="C55" s="2">
        <f>B54*D54</f>
        <v>78.683999999999997</v>
      </c>
      <c r="D55" t="s">
        <v>349</v>
      </c>
      <c r="H55" s="172"/>
    </row>
    <row r="56" spans="1:8" ht="15.75">
      <c r="A56" s="701" t="s">
        <v>324</v>
      </c>
      <c r="B56" s="701"/>
      <c r="C56" s="701"/>
      <c r="D56" s="701"/>
      <c r="E56" s="701"/>
      <c r="F56" s="701"/>
      <c r="G56" s="701"/>
    </row>
    <row r="57" spans="1:8" ht="15">
      <c r="A57" s="173" t="s">
        <v>318</v>
      </c>
      <c r="B57" s="167">
        <f>HYDRAULICS!$F$4</f>
        <v>100.6</v>
      </c>
      <c r="C57" t="s">
        <v>0</v>
      </c>
    </row>
    <row r="58" spans="1:8" ht="15">
      <c r="A58" s="173" t="s">
        <v>325</v>
      </c>
      <c r="B58" s="176">
        <f>B50-B51</f>
        <v>100.77</v>
      </c>
      <c r="C58" t="s">
        <v>0</v>
      </c>
    </row>
    <row r="59" spans="1:8" ht="15">
      <c r="A59" s="173" t="s">
        <v>326</v>
      </c>
      <c r="B59" s="176">
        <f>HYDRAULICS!E41</f>
        <v>96.6</v>
      </c>
      <c r="C59" t="s">
        <v>0</v>
      </c>
    </row>
    <row r="60" spans="1:8" ht="15">
      <c r="A60" s="173" t="s">
        <v>327</v>
      </c>
      <c r="B60" s="172" t="s">
        <v>2</v>
      </c>
      <c r="C60" s="172">
        <f>D29</f>
        <v>11</v>
      </c>
    </row>
    <row r="61" spans="1:8" ht="15">
      <c r="A61" s="173" t="s">
        <v>322</v>
      </c>
      <c r="B61" s="8">
        <f>B57</f>
        <v>100.6</v>
      </c>
      <c r="C61" s="177" t="s">
        <v>16</v>
      </c>
      <c r="D61" s="8">
        <f>B59</f>
        <v>96.6</v>
      </c>
      <c r="E61" s="19" t="s">
        <v>2</v>
      </c>
      <c r="F61" s="8">
        <f>B61-D61</f>
        <v>4</v>
      </c>
      <c r="G61" t="s">
        <v>0</v>
      </c>
    </row>
    <row r="62" spans="1:8" ht="15">
      <c r="A62" s="173" t="s">
        <v>328</v>
      </c>
      <c r="B62">
        <f>F29</f>
        <v>1.2</v>
      </c>
      <c r="C62" s="164" t="s">
        <v>3</v>
      </c>
      <c r="D62" s="2">
        <f>F61</f>
        <v>4</v>
      </c>
    </row>
    <row r="63" spans="1:8" ht="15">
      <c r="A63" s="7"/>
      <c r="B63" s="19" t="s">
        <v>2</v>
      </c>
      <c r="C63">
        <f>B62*D62</f>
        <v>4.8</v>
      </c>
      <c r="D63" t="s">
        <v>349</v>
      </c>
      <c r="H63" s="172"/>
    </row>
    <row r="64" spans="1:8" ht="15">
      <c r="A64" s="7" t="str">
        <f>CONCATENATE("For ",C60," Nos. of piers = ")</f>
        <v xml:space="preserve">For 11 Nos. of piers = </v>
      </c>
      <c r="B64" s="164">
        <f>C60</f>
        <v>11</v>
      </c>
      <c r="C64" s="19" t="s">
        <v>3</v>
      </c>
      <c r="D64">
        <f>C63</f>
        <v>4.8</v>
      </c>
    </row>
    <row r="65" spans="1:8" ht="15">
      <c r="A65" s="173" t="s">
        <v>329</v>
      </c>
      <c r="B65" s="19" t="s">
        <v>2</v>
      </c>
      <c r="C65" s="2">
        <f>B64*D64</f>
        <v>52.8</v>
      </c>
      <c r="D65" t="s">
        <v>349</v>
      </c>
    </row>
    <row r="66" spans="1:8" ht="15.75">
      <c r="A66" s="701" t="s">
        <v>330</v>
      </c>
      <c r="B66" s="701"/>
      <c r="C66" s="701"/>
      <c r="D66" s="701"/>
      <c r="E66" s="701"/>
      <c r="F66" s="701"/>
      <c r="G66" s="701"/>
    </row>
    <row r="67" spans="1:8" ht="15">
      <c r="A67" s="172" t="s">
        <v>331</v>
      </c>
      <c r="B67" s="176">
        <f>B59</f>
        <v>96.6</v>
      </c>
      <c r="C67" t="s">
        <v>0</v>
      </c>
    </row>
    <row r="68" spans="1:8" ht="15">
      <c r="A68" s="172" t="s">
        <v>322</v>
      </c>
      <c r="B68" s="8">
        <f>B57</f>
        <v>100.6</v>
      </c>
      <c r="C68" s="19" t="s">
        <v>2</v>
      </c>
      <c r="D68" s="8">
        <f>B67</f>
        <v>96.6</v>
      </c>
      <c r="E68" s="19" t="s">
        <v>2</v>
      </c>
      <c r="F68" s="8">
        <f>B68-D68</f>
        <v>4</v>
      </c>
      <c r="G68" t="s">
        <v>0</v>
      </c>
    </row>
    <row r="69" spans="1:8" ht="15">
      <c r="A69" s="172" t="s">
        <v>332</v>
      </c>
      <c r="B69" s="19" t="s">
        <v>333</v>
      </c>
      <c r="C69" s="164" t="s">
        <v>3</v>
      </c>
      <c r="D69" s="2">
        <f>F68</f>
        <v>4</v>
      </c>
    </row>
    <row r="70" spans="1:8" ht="15">
      <c r="B70" s="19" t="s">
        <v>2</v>
      </c>
      <c r="C70" s="2">
        <f>(0.4+0.75)/2*D69</f>
        <v>2.2999999999999998</v>
      </c>
      <c r="D70" t="s">
        <v>453</v>
      </c>
      <c r="H70" s="172"/>
    </row>
    <row r="71" spans="1:8" ht="15">
      <c r="A71" t="s">
        <v>334</v>
      </c>
      <c r="B71" s="164">
        <v>2</v>
      </c>
      <c r="C71" s="19" t="s">
        <v>3</v>
      </c>
      <c r="D71" s="2">
        <f>C70</f>
        <v>2.2999999999999998</v>
      </c>
    </row>
    <row r="72" spans="1:8" ht="15">
      <c r="A72" s="172"/>
      <c r="B72" s="19" t="s">
        <v>2</v>
      </c>
      <c r="C72" s="2">
        <f>B71*D71</f>
        <v>4.5999999999999996</v>
      </c>
      <c r="D72" t="s">
        <v>453</v>
      </c>
    </row>
    <row r="73" spans="1:8" ht="30">
      <c r="A73" s="166" t="s">
        <v>454</v>
      </c>
      <c r="B73" s="172" t="s">
        <v>335</v>
      </c>
      <c r="C73" s="172" t="s">
        <v>336</v>
      </c>
    </row>
    <row r="74" spans="1:8" ht="15">
      <c r="B74" s="172" t="s">
        <v>2</v>
      </c>
      <c r="C74" s="174">
        <f>C55</f>
        <v>78.683999999999997</v>
      </c>
      <c r="D74" s="19" t="s">
        <v>7</v>
      </c>
      <c r="E74" s="174">
        <f>C65</f>
        <v>52.8</v>
      </c>
      <c r="F74" s="19" t="s">
        <v>7</v>
      </c>
      <c r="G74" s="2">
        <f>C72</f>
        <v>4.5999999999999996</v>
      </c>
    </row>
    <row r="75" spans="1:8" ht="15">
      <c r="B75" s="172" t="s">
        <v>2</v>
      </c>
      <c r="C75" s="174">
        <f>C74+E74+G74</f>
        <v>136.08399999999997</v>
      </c>
      <c r="D75" t="s">
        <v>453</v>
      </c>
    </row>
    <row r="76" spans="1:8" ht="15">
      <c r="A76" s="172" t="s">
        <v>337</v>
      </c>
      <c r="B76" s="8">
        <f>G45</f>
        <v>474</v>
      </c>
      <c r="C76" s="19" t="s">
        <v>16</v>
      </c>
      <c r="D76" s="2">
        <f>C75</f>
        <v>136.08399999999997</v>
      </c>
    </row>
    <row r="77" spans="1:8" ht="15">
      <c r="B77" s="172" t="s">
        <v>2</v>
      </c>
      <c r="C77" s="174">
        <f>B76-D76</f>
        <v>337.91600000000005</v>
      </c>
      <c r="D77" t="s">
        <v>453</v>
      </c>
    </row>
    <row r="78" spans="1:8" ht="15">
      <c r="A78" s="172" t="s">
        <v>310</v>
      </c>
      <c r="B78">
        <f>ROUNDUP(((C13^2/17.85)+0.0152)*((C46/C77)^2-1),2)</f>
        <v>0.23</v>
      </c>
      <c r="C78" t="s">
        <v>0</v>
      </c>
      <c r="D78" s="213"/>
      <c r="E78" s="213"/>
      <c r="F78" s="214"/>
      <c r="G78" s="213"/>
    </row>
    <row r="79" spans="1:8" ht="15">
      <c r="A79" s="178" t="s">
        <v>338</v>
      </c>
      <c r="B79" s="167">
        <f>B57</f>
        <v>100.6</v>
      </c>
      <c r="C79" s="219" t="s">
        <v>7</v>
      </c>
      <c r="D79" s="213">
        <f>B78</f>
        <v>0.23</v>
      </c>
      <c r="E79" s="219" t="s">
        <v>2</v>
      </c>
      <c r="F79" s="220">
        <f>B79+D79</f>
        <v>100.83</v>
      </c>
      <c r="G79" s="213" t="s">
        <v>0</v>
      </c>
    </row>
    <row r="80" spans="1:8" ht="15">
      <c r="A80" s="172" t="s">
        <v>339</v>
      </c>
      <c r="B80" s="172" t="s">
        <v>47</v>
      </c>
      <c r="C80" s="172" t="s">
        <v>2</v>
      </c>
      <c r="D80" s="172" t="s">
        <v>340</v>
      </c>
      <c r="E80" s="2" t="str">
        <f>C76</f>
        <v>-</v>
      </c>
    </row>
    <row r="81" spans="1:7" ht="15">
      <c r="A81" s="172" t="s">
        <v>339</v>
      </c>
      <c r="B81" s="19" t="s">
        <v>2</v>
      </c>
      <c r="C81" s="172">
        <f>C14</f>
        <v>902.15</v>
      </c>
      <c r="D81" s="19" t="s">
        <v>8</v>
      </c>
      <c r="E81" s="2">
        <f>C77</f>
        <v>337.91600000000005</v>
      </c>
    </row>
    <row r="82" spans="1:7" ht="15">
      <c r="A82" s="172"/>
      <c r="B82" s="19" t="s">
        <v>2</v>
      </c>
      <c r="C82">
        <f>ROUNDUP(C81/E81,2)</f>
        <v>2.67</v>
      </c>
      <c r="D82" t="s">
        <v>50</v>
      </c>
    </row>
    <row r="83" spans="1:7" ht="15">
      <c r="A83" s="178" t="s">
        <v>350</v>
      </c>
      <c r="B83" s="180">
        <f>C82</f>
        <v>2.67</v>
      </c>
      <c r="C83" t="s">
        <v>351</v>
      </c>
    </row>
    <row r="84" spans="1:7" ht="18">
      <c r="A84" s="172" t="s">
        <v>341</v>
      </c>
      <c r="B84" s="164" t="s">
        <v>2</v>
      </c>
      <c r="C84" s="244">
        <f>F79</f>
        <v>100.83</v>
      </c>
      <c r="D84" s="245" t="s">
        <v>29</v>
      </c>
    </row>
    <row r="85" spans="1:7" ht="18">
      <c r="A85" s="172" t="s">
        <v>464</v>
      </c>
      <c r="B85" s="164" t="s">
        <v>2</v>
      </c>
      <c r="C85" s="244">
        <f>B50</f>
        <v>101.6</v>
      </c>
      <c r="D85" s="245" t="s">
        <v>29</v>
      </c>
      <c r="F85" s="8"/>
      <c r="G85" s="8"/>
    </row>
    <row r="86" spans="1:7" ht="15">
      <c r="A86" s="227" t="s">
        <v>452</v>
      </c>
    </row>
    <row r="87" spans="1:7" ht="15">
      <c r="A87" s="162" t="s">
        <v>465</v>
      </c>
      <c r="C87" s="172"/>
    </row>
    <row r="88" spans="1:7" ht="15">
      <c r="A88" s="179" t="s">
        <v>342</v>
      </c>
    </row>
  </sheetData>
  <mergeCells count="6">
    <mergeCell ref="A66:G66"/>
    <mergeCell ref="A34:H34"/>
    <mergeCell ref="A1:H1"/>
    <mergeCell ref="A56:G56"/>
    <mergeCell ref="A48:G48"/>
    <mergeCell ref="A2:H2"/>
  </mergeCells>
  <phoneticPr fontId="16" type="noConversion"/>
  <pageMargins left="0.75" right="0.75" top="1" bottom="1" header="0.5" footer="0.5"/>
  <pageSetup paperSize="9" scale="91" fitToHeight="28" orientation="landscape" verticalDpi="1200" r:id="rId1"/>
  <headerFooter>
    <oddFooter>&amp;L&amp;P/{&amp;N}&amp;C&amp;F&amp;R&amp;A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topLeftCell="A19" workbookViewId="0">
      <selection activeCell="K23" sqref="K23"/>
    </sheetView>
  </sheetViews>
  <sheetFormatPr defaultColWidth="8" defaultRowHeight="12.75"/>
  <cols>
    <col min="1" max="1" width="8.5703125" style="23" customWidth="1"/>
    <col min="2" max="2" width="8" style="24" customWidth="1"/>
    <col min="3" max="5" width="8" style="23" customWidth="1"/>
    <col min="6" max="6" width="11.5703125" style="23" bestFit="1" customWidth="1"/>
    <col min="7" max="7" width="11.28515625" style="23" customWidth="1"/>
    <col min="8" max="16384" width="8" style="23"/>
  </cols>
  <sheetData>
    <row r="1" spans="1:11" ht="36.75" customHeight="1">
      <c r="A1" s="705" t="s">
        <v>483</v>
      </c>
      <c r="B1" s="706"/>
      <c r="C1" s="706"/>
      <c r="D1" s="706"/>
      <c r="E1" s="706"/>
      <c r="F1" s="706"/>
      <c r="G1" s="706"/>
    </row>
    <row r="2" spans="1:11" ht="51" customHeight="1">
      <c r="A2" s="705" t="str">
        <f>'afflux calculation'!A2:H2</f>
        <v>Name Of Work :- Construction of Submersible Bridge on ON KHERWARA - JAWAS - SUVERI ROAD IN KM 9/000, ACROSS RIVER SOM</v>
      </c>
      <c r="B2" s="705"/>
      <c r="C2" s="705"/>
      <c r="D2" s="705"/>
      <c r="E2" s="705"/>
      <c r="F2" s="705"/>
      <c r="G2" s="705"/>
    </row>
    <row r="3" spans="1:11" ht="15.75">
      <c r="A3" s="705" t="s">
        <v>487</v>
      </c>
      <c r="B3" s="705"/>
      <c r="C3" s="705"/>
      <c r="D3" s="705"/>
      <c r="E3" s="705"/>
      <c r="F3" s="705"/>
      <c r="G3" s="705"/>
    </row>
    <row r="4" spans="1:11">
      <c r="A4" s="25" t="s">
        <v>189</v>
      </c>
      <c r="B4" s="26"/>
      <c r="C4" s="27"/>
      <c r="D4" s="27"/>
      <c r="E4" s="27"/>
      <c r="F4" s="154">
        <v>100.6</v>
      </c>
      <c r="G4" s="28" t="s">
        <v>29</v>
      </c>
    </row>
    <row r="5" spans="1:11" ht="45">
      <c r="A5" s="29" t="s">
        <v>34</v>
      </c>
      <c r="B5" s="34" t="s">
        <v>35</v>
      </c>
      <c r="C5" s="35" t="s">
        <v>36</v>
      </c>
      <c r="D5" s="35" t="s">
        <v>37</v>
      </c>
      <c r="E5" s="29" t="s">
        <v>38</v>
      </c>
      <c r="F5" s="29" t="s">
        <v>39</v>
      </c>
      <c r="G5" s="29" t="s">
        <v>40</v>
      </c>
    </row>
    <row r="6" spans="1:11">
      <c r="A6" s="225">
        <v>0</v>
      </c>
      <c r="B6" s="236">
        <v>102</v>
      </c>
      <c r="C6" s="153">
        <f>IF(B6&gt;$F$4,0,$F$4-B6)</f>
        <v>0</v>
      </c>
      <c r="D6" s="153">
        <v>0</v>
      </c>
      <c r="E6" s="153">
        <v>0</v>
      </c>
      <c r="F6" s="153">
        <v>0</v>
      </c>
      <c r="G6" s="153">
        <v>0</v>
      </c>
      <c r="K6" s="234"/>
    </row>
    <row r="7" spans="1:11">
      <c r="A7" s="225">
        <v>10</v>
      </c>
      <c r="B7" s="236">
        <v>100.95</v>
      </c>
      <c r="C7" s="153">
        <f>IF(B7&gt;$F$4,0,$F$4-B7)</f>
        <v>0</v>
      </c>
      <c r="D7" s="153">
        <f>(A7-A6)</f>
        <v>10</v>
      </c>
      <c r="E7" s="153">
        <f>(C7+C6)/2</f>
        <v>0</v>
      </c>
      <c r="F7" s="153">
        <f>D7*E7</f>
        <v>0</v>
      </c>
      <c r="G7" s="153">
        <f>(D7^2+(C6-C7)^2)^0.5</f>
        <v>10</v>
      </c>
      <c r="K7" s="234"/>
    </row>
    <row r="8" spans="1:11">
      <c r="A8" s="225">
        <v>20</v>
      </c>
      <c r="B8" s="236">
        <v>98.19</v>
      </c>
      <c r="C8" s="153">
        <f t="shared" ref="C8:C25" si="0">IF(B8&gt;$F$4,0,$F$4-B8)</f>
        <v>2.4099999999999966</v>
      </c>
      <c r="D8" s="153">
        <f t="shared" ref="D8:D25" si="1">(A8-A7)</f>
        <v>10</v>
      </c>
      <c r="E8" s="153">
        <f t="shared" ref="E8:E25" si="2">(C8+C7)/2</f>
        <v>1.2049999999999983</v>
      </c>
      <c r="F8" s="153">
        <f t="shared" ref="F8:F25" si="3">D8*E8</f>
        <v>12.049999999999983</v>
      </c>
      <c r="G8" s="153">
        <f t="shared" ref="G8:G25" si="4">(D8^2+(C7-C8)^2)^0.5</f>
        <v>10.286306431367869</v>
      </c>
      <c r="I8" s="234"/>
      <c r="K8" s="234"/>
    </row>
    <row r="9" spans="1:11">
      <c r="A9" s="225">
        <v>30</v>
      </c>
      <c r="B9" s="236">
        <v>97.589999999999989</v>
      </c>
      <c r="C9" s="153">
        <f t="shared" si="0"/>
        <v>3.0100000000000051</v>
      </c>
      <c r="D9" s="153">
        <f t="shared" si="1"/>
        <v>10</v>
      </c>
      <c r="E9" s="153">
        <f t="shared" si="2"/>
        <v>2.7100000000000009</v>
      </c>
      <c r="F9" s="153">
        <f t="shared" si="3"/>
        <v>27.100000000000009</v>
      </c>
      <c r="G9" s="153">
        <f t="shared" si="4"/>
        <v>10.017983829094556</v>
      </c>
      <c r="I9" s="234"/>
      <c r="K9" s="234"/>
    </row>
    <row r="10" spans="1:11">
      <c r="A10" s="225">
        <v>40</v>
      </c>
      <c r="B10" s="236">
        <v>97.21</v>
      </c>
      <c r="C10" s="153">
        <f t="shared" si="0"/>
        <v>3.3900000000000006</v>
      </c>
      <c r="D10" s="153">
        <f t="shared" si="1"/>
        <v>10</v>
      </c>
      <c r="E10" s="153">
        <f t="shared" si="2"/>
        <v>3.2000000000000028</v>
      </c>
      <c r="F10" s="153">
        <f t="shared" si="3"/>
        <v>32.000000000000028</v>
      </c>
      <c r="G10" s="153">
        <f t="shared" si="4"/>
        <v>10.007217395460138</v>
      </c>
      <c r="I10" s="234"/>
      <c r="K10" s="234"/>
    </row>
    <row r="11" spans="1:11">
      <c r="A11" s="225">
        <v>50</v>
      </c>
      <c r="B11" s="236">
        <v>96.86999999999999</v>
      </c>
      <c r="C11" s="153">
        <f t="shared" si="0"/>
        <v>3.730000000000004</v>
      </c>
      <c r="D11" s="153">
        <f t="shared" si="1"/>
        <v>10</v>
      </c>
      <c r="E11" s="153">
        <f t="shared" si="2"/>
        <v>3.5600000000000023</v>
      </c>
      <c r="F11" s="153">
        <f t="shared" si="3"/>
        <v>35.600000000000023</v>
      </c>
      <c r="G11" s="153">
        <f t="shared" si="4"/>
        <v>10.005778330544805</v>
      </c>
      <c r="I11" s="234"/>
      <c r="K11" s="234"/>
    </row>
    <row r="12" spans="1:11">
      <c r="A12" s="225">
        <v>60</v>
      </c>
      <c r="B12" s="236">
        <v>97.95999999999998</v>
      </c>
      <c r="C12" s="153">
        <f t="shared" si="0"/>
        <v>2.6400000000000148</v>
      </c>
      <c r="D12" s="153">
        <f t="shared" si="1"/>
        <v>10</v>
      </c>
      <c r="E12" s="153">
        <f t="shared" si="2"/>
        <v>3.1850000000000094</v>
      </c>
      <c r="F12" s="153">
        <f t="shared" si="3"/>
        <v>31.850000000000094</v>
      </c>
      <c r="G12" s="153">
        <f t="shared" si="4"/>
        <v>10.059229592767032</v>
      </c>
      <c r="I12" s="504"/>
      <c r="J12" s="505"/>
      <c r="K12" s="234"/>
    </row>
    <row r="13" spans="1:11">
      <c r="A13" s="225">
        <v>70</v>
      </c>
      <c r="B13" s="236">
        <v>97.11999999999999</v>
      </c>
      <c r="C13" s="153">
        <f t="shared" si="0"/>
        <v>3.480000000000004</v>
      </c>
      <c r="D13" s="153">
        <f t="shared" si="1"/>
        <v>10</v>
      </c>
      <c r="E13" s="153">
        <f t="shared" si="2"/>
        <v>3.0600000000000094</v>
      </c>
      <c r="F13" s="153">
        <f t="shared" si="3"/>
        <v>30.600000000000094</v>
      </c>
      <c r="G13" s="153">
        <f t="shared" si="4"/>
        <v>10.035217984677761</v>
      </c>
      <c r="I13" s="504"/>
      <c r="J13" s="505"/>
      <c r="K13" s="234"/>
    </row>
    <row r="14" spans="1:11">
      <c r="A14" s="225">
        <v>80</v>
      </c>
      <c r="B14" s="236">
        <v>96.799999999999983</v>
      </c>
      <c r="C14" s="153">
        <f t="shared" si="0"/>
        <v>3.8000000000000114</v>
      </c>
      <c r="D14" s="153">
        <f t="shared" si="1"/>
        <v>10</v>
      </c>
      <c r="E14" s="153">
        <f t="shared" si="2"/>
        <v>3.6400000000000077</v>
      </c>
      <c r="F14" s="153">
        <f t="shared" si="3"/>
        <v>36.400000000000077</v>
      </c>
      <c r="G14" s="153">
        <f t="shared" si="4"/>
        <v>10.00511868995066</v>
      </c>
      <c r="I14" s="504"/>
      <c r="J14" s="505"/>
      <c r="K14" s="234"/>
    </row>
    <row r="15" spans="1:11">
      <c r="A15" s="225">
        <v>90</v>
      </c>
      <c r="B15" s="236">
        <v>96.469999999999985</v>
      </c>
      <c r="C15" s="153">
        <f t="shared" si="0"/>
        <v>4.1300000000000097</v>
      </c>
      <c r="D15" s="153">
        <f t="shared" si="1"/>
        <v>10</v>
      </c>
      <c r="E15" s="153">
        <f t="shared" si="2"/>
        <v>3.9650000000000105</v>
      </c>
      <c r="F15" s="153">
        <f t="shared" si="3"/>
        <v>39.650000000000105</v>
      </c>
      <c r="G15" s="153">
        <f t="shared" si="4"/>
        <v>10.005443518405368</v>
      </c>
      <c r="I15" s="504"/>
      <c r="J15" s="505"/>
      <c r="K15" s="234"/>
    </row>
    <row r="16" spans="1:11">
      <c r="A16" s="225">
        <v>100</v>
      </c>
      <c r="B16" s="236">
        <v>96.49</v>
      </c>
      <c r="C16" s="153">
        <f t="shared" si="0"/>
        <v>4.1099999999999994</v>
      </c>
      <c r="D16" s="153">
        <f t="shared" si="1"/>
        <v>10</v>
      </c>
      <c r="E16" s="153">
        <f t="shared" si="2"/>
        <v>4.1200000000000045</v>
      </c>
      <c r="F16" s="153">
        <f t="shared" si="3"/>
        <v>41.200000000000045</v>
      </c>
      <c r="G16" s="153">
        <f t="shared" si="4"/>
        <v>10.000019999979999</v>
      </c>
      <c r="I16" s="504"/>
      <c r="J16" s="505"/>
      <c r="K16" s="234"/>
    </row>
    <row r="17" spans="1:11">
      <c r="A17" s="225">
        <v>110</v>
      </c>
      <c r="B17" s="236">
        <v>97.039999999999978</v>
      </c>
      <c r="C17" s="153">
        <f t="shared" si="0"/>
        <v>3.5600000000000165</v>
      </c>
      <c r="D17" s="153">
        <f t="shared" si="1"/>
        <v>10</v>
      </c>
      <c r="E17" s="153">
        <f t="shared" si="2"/>
        <v>3.835000000000008</v>
      </c>
      <c r="F17" s="153">
        <f t="shared" si="3"/>
        <v>38.35000000000008</v>
      </c>
      <c r="G17" s="153">
        <f t="shared" si="4"/>
        <v>10.01511357898651</v>
      </c>
      <c r="I17" s="504"/>
      <c r="J17" s="505"/>
      <c r="K17" s="234"/>
    </row>
    <row r="18" spans="1:11">
      <c r="A18" s="225">
        <v>120</v>
      </c>
      <c r="B18" s="236">
        <v>97.289999999999978</v>
      </c>
      <c r="C18" s="153">
        <f t="shared" si="0"/>
        <v>3.3100000000000165</v>
      </c>
      <c r="D18" s="153">
        <f t="shared" si="1"/>
        <v>10</v>
      </c>
      <c r="E18" s="153">
        <f t="shared" si="2"/>
        <v>3.4350000000000165</v>
      </c>
      <c r="F18" s="153">
        <f t="shared" si="3"/>
        <v>34.350000000000165</v>
      </c>
      <c r="G18" s="153">
        <f t="shared" si="4"/>
        <v>10.003124511871277</v>
      </c>
      <c r="I18" s="234"/>
      <c r="K18" s="234"/>
    </row>
    <row r="19" spans="1:11">
      <c r="A19" s="225">
        <v>130</v>
      </c>
      <c r="B19" s="236">
        <v>97.739999999999981</v>
      </c>
      <c r="C19" s="153">
        <f t="shared" si="0"/>
        <v>2.8600000000000136</v>
      </c>
      <c r="D19" s="153">
        <f t="shared" si="1"/>
        <v>10</v>
      </c>
      <c r="E19" s="153">
        <f t="shared" si="2"/>
        <v>3.0850000000000151</v>
      </c>
      <c r="F19" s="153">
        <f t="shared" si="3"/>
        <v>30.850000000000151</v>
      </c>
      <c r="G19" s="153">
        <f t="shared" si="4"/>
        <v>10.010119879402044</v>
      </c>
      <c r="I19" s="234"/>
      <c r="K19" s="234"/>
    </row>
    <row r="20" spans="1:11">
      <c r="A20" s="225">
        <v>140</v>
      </c>
      <c r="B20" s="236">
        <v>98.129999999999981</v>
      </c>
      <c r="C20" s="153">
        <f t="shared" si="0"/>
        <v>2.4700000000000131</v>
      </c>
      <c r="D20" s="153">
        <f t="shared" si="1"/>
        <v>10</v>
      </c>
      <c r="E20" s="153">
        <f t="shared" si="2"/>
        <v>2.6650000000000134</v>
      </c>
      <c r="F20" s="153">
        <f t="shared" si="3"/>
        <v>26.650000000000134</v>
      </c>
      <c r="G20" s="153">
        <f t="shared" si="4"/>
        <v>10.007602110395876</v>
      </c>
      <c r="I20" s="234"/>
      <c r="K20" s="234"/>
    </row>
    <row r="21" spans="1:11">
      <c r="A21" s="225">
        <v>150</v>
      </c>
      <c r="B21" s="236">
        <v>98.84999999999998</v>
      </c>
      <c r="C21" s="153">
        <f t="shared" si="0"/>
        <v>1.7500000000000142</v>
      </c>
      <c r="D21" s="153">
        <f t="shared" si="1"/>
        <v>10</v>
      </c>
      <c r="E21" s="153">
        <f t="shared" si="2"/>
        <v>2.1100000000000136</v>
      </c>
      <c r="F21" s="153">
        <f t="shared" si="3"/>
        <v>21.100000000000136</v>
      </c>
      <c r="G21" s="153">
        <f t="shared" si="4"/>
        <v>10.025886494470202</v>
      </c>
      <c r="I21" s="234"/>
      <c r="K21" s="234"/>
    </row>
    <row r="22" spans="1:11">
      <c r="A22" s="225">
        <v>160</v>
      </c>
      <c r="B22" s="236">
        <v>98.07</v>
      </c>
      <c r="C22" s="153">
        <f t="shared" si="0"/>
        <v>2.5300000000000011</v>
      </c>
      <c r="D22" s="153">
        <f t="shared" si="1"/>
        <v>10</v>
      </c>
      <c r="E22" s="153">
        <f t="shared" si="2"/>
        <v>2.1400000000000077</v>
      </c>
      <c r="F22" s="153">
        <f t="shared" si="3"/>
        <v>21.400000000000077</v>
      </c>
      <c r="G22" s="153">
        <f t="shared" si="4"/>
        <v>10.030373871396817</v>
      </c>
      <c r="K22" s="234"/>
    </row>
    <row r="23" spans="1:11">
      <c r="A23" s="225">
        <v>170</v>
      </c>
      <c r="B23" s="236">
        <v>98.75</v>
      </c>
      <c r="C23" s="153">
        <f t="shared" si="0"/>
        <v>1.8499999999999943</v>
      </c>
      <c r="D23" s="153">
        <f t="shared" si="1"/>
        <v>10</v>
      </c>
      <c r="E23" s="153">
        <f t="shared" si="2"/>
        <v>2.1899999999999977</v>
      </c>
      <c r="F23" s="153">
        <f t="shared" si="3"/>
        <v>21.899999999999977</v>
      </c>
      <c r="G23" s="153">
        <f t="shared" si="4"/>
        <v>10.023093334894174</v>
      </c>
      <c r="K23" s="234"/>
    </row>
    <row r="24" spans="1:11">
      <c r="A24" s="225">
        <v>180</v>
      </c>
      <c r="B24" s="236">
        <v>101.85</v>
      </c>
      <c r="C24" s="153">
        <f t="shared" si="0"/>
        <v>0</v>
      </c>
      <c r="D24" s="153">
        <f t="shared" si="1"/>
        <v>10</v>
      </c>
      <c r="E24" s="153">
        <f t="shared" si="2"/>
        <v>0.92499999999999716</v>
      </c>
      <c r="F24" s="153">
        <f t="shared" si="3"/>
        <v>9.2499999999999716</v>
      </c>
      <c r="G24" s="153">
        <f t="shared" si="4"/>
        <v>10.169685344198216</v>
      </c>
      <c r="K24" s="234"/>
    </row>
    <row r="25" spans="1:11">
      <c r="A25" s="225">
        <v>190</v>
      </c>
      <c r="B25" s="236">
        <v>102</v>
      </c>
      <c r="C25" s="153">
        <f t="shared" si="0"/>
        <v>0</v>
      </c>
      <c r="D25" s="153">
        <f t="shared" si="1"/>
        <v>10</v>
      </c>
      <c r="E25" s="153">
        <f t="shared" si="2"/>
        <v>0</v>
      </c>
      <c r="F25" s="153">
        <f t="shared" si="3"/>
        <v>0</v>
      </c>
      <c r="G25" s="153">
        <f t="shared" si="4"/>
        <v>10</v>
      </c>
      <c r="K25" s="234"/>
    </row>
    <row r="26" spans="1:11">
      <c r="A26" s="225"/>
      <c r="B26" s="235"/>
      <c r="C26" s="153"/>
      <c r="D26" s="153"/>
      <c r="E26" s="153"/>
      <c r="F26" s="153"/>
      <c r="G26" s="153"/>
      <c r="K26" s="234"/>
    </row>
    <row r="27" spans="1:11">
      <c r="A27" s="36"/>
      <c r="B27" s="36"/>
      <c r="C27" s="37" t="s">
        <v>41</v>
      </c>
      <c r="D27" s="36">
        <f>SUM(D6:D26)</f>
        <v>190</v>
      </c>
      <c r="E27" s="36"/>
      <c r="F27" s="36">
        <f>SUM(F6:F26)</f>
        <v>490.30000000000109</v>
      </c>
      <c r="G27" s="36">
        <f>SUM(G6:G26)</f>
        <v>190.70731489786334</v>
      </c>
    </row>
    <row r="28" spans="1:11">
      <c r="A28" s="102"/>
      <c r="B28" s="102"/>
      <c r="C28" s="238"/>
      <c r="D28" s="102"/>
      <c r="E28" s="102"/>
      <c r="F28" s="102"/>
      <c r="G28" s="102"/>
    </row>
    <row r="29" spans="1:11">
      <c r="A29" s="30"/>
      <c r="B29" s="24" t="s">
        <v>42</v>
      </c>
      <c r="C29" s="30">
        <f>F27</f>
        <v>490.30000000000109</v>
      </c>
      <c r="D29" s="30" t="s">
        <v>43</v>
      </c>
      <c r="E29" s="31"/>
    </row>
    <row r="30" spans="1:11">
      <c r="A30" s="30"/>
      <c r="B30" s="24" t="s">
        <v>44</v>
      </c>
      <c r="C30" s="30">
        <f>G27</f>
        <v>190.70731489786334</v>
      </c>
      <c r="D30" s="30" t="s">
        <v>29</v>
      </c>
      <c r="E30" s="31"/>
    </row>
    <row r="31" spans="1:11">
      <c r="B31" s="24" t="s">
        <v>18</v>
      </c>
      <c r="C31" s="30">
        <f>C29/C30</f>
        <v>2.5709553944618739</v>
      </c>
      <c r="D31" s="32" t="s">
        <v>29</v>
      </c>
    </row>
    <row r="32" spans="1:11">
      <c r="B32" s="24" t="s">
        <v>45</v>
      </c>
      <c r="C32" s="32">
        <v>3.3000000000000002E-2</v>
      </c>
      <c r="D32" s="32"/>
    </row>
    <row r="33" spans="1:10">
      <c r="B33" s="24" t="s">
        <v>46</v>
      </c>
      <c r="C33" s="32">
        <f>'Bed Slope'!J24</f>
        <v>960</v>
      </c>
      <c r="D33" s="32"/>
      <c r="J33" s="31"/>
    </row>
    <row r="34" spans="1:10">
      <c r="B34" s="24" t="s">
        <v>47</v>
      </c>
      <c r="C34" s="30">
        <f>(1/C32*(C31^(2/3))*((1/C33)^0.5))</f>
        <v>1.8354679471127884</v>
      </c>
      <c r="D34" s="32" t="s">
        <v>48</v>
      </c>
    </row>
    <row r="35" spans="1:10">
      <c r="B35" s="24" t="s">
        <v>49</v>
      </c>
      <c r="C35" s="30">
        <f>C29*C34</f>
        <v>899.92993446940216</v>
      </c>
      <c r="D35" s="32" t="s">
        <v>33</v>
      </c>
      <c r="E35" s="30"/>
      <c r="F35" s="33"/>
    </row>
    <row r="36" spans="1:10" ht="90.75" customHeight="1">
      <c r="B36" s="707" t="s">
        <v>255</v>
      </c>
      <c r="C36" s="707"/>
      <c r="D36" s="707"/>
      <c r="E36" s="707"/>
      <c r="F36" s="707"/>
      <c r="G36" s="707"/>
    </row>
    <row r="37" spans="1:10">
      <c r="B37" s="207" t="s">
        <v>469</v>
      </c>
      <c r="C37" s="104"/>
      <c r="D37" s="104"/>
      <c r="E37" s="208">
        <f>C35</f>
        <v>899.92993446940216</v>
      </c>
      <c r="F37" s="104" t="str">
        <f>D35</f>
        <v>CUMECS</v>
      </c>
      <c r="G37" s="104"/>
    </row>
    <row r="39" spans="1:10" ht="19.5">
      <c r="A39" s="708" t="s">
        <v>481</v>
      </c>
      <c r="B39" s="708"/>
      <c r="C39" s="708"/>
      <c r="D39" s="708"/>
      <c r="E39" s="708"/>
      <c r="F39" s="708"/>
      <c r="G39" s="708"/>
    </row>
    <row r="40" spans="1:10" ht="15">
      <c r="A40" s="709" t="s">
        <v>475</v>
      </c>
      <c r="B40" s="709"/>
      <c r="C40" s="709"/>
      <c r="D40" s="709"/>
      <c r="E40" s="710">
        <f>ROUND(MAX(E41+E42,F3-'afflux calculation'!B51/2),2)</f>
        <v>101.6</v>
      </c>
      <c r="F40" s="710"/>
      <c r="G40" s="239" t="s">
        <v>29</v>
      </c>
      <c r="H40" s="388"/>
      <c r="I40" s="389"/>
      <c r="J40" s="389"/>
    </row>
    <row r="41" spans="1:10" ht="15">
      <c r="A41" s="709" t="s">
        <v>476</v>
      </c>
      <c r="B41" s="709"/>
      <c r="C41" s="709"/>
      <c r="D41" s="709"/>
      <c r="E41" s="711">
        <v>96.6</v>
      </c>
      <c r="F41" s="711"/>
      <c r="G41" s="239" t="s">
        <v>29</v>
      </c>
      <c r="H41" s="388"/>
      <c r="I41" s="388"/>
      <c r="J41" s="388"/>
    </row>
    <row r="42" spans="1:10" ht="15">
      <c r="A42" s="709" t="s">
        <v>606</v>
      </c>
      <c r="B42" s="709"/>
      <c r="C42" s="709"/>
      <c r="D42" s="709"/>
      <c r="E42" s="711">
        <v>5</v>
      </c>
      <c r="F42" s="711"/>
      <c r="G42" s="239" t="s">
        <v>29</v>
      </c>
      <c r="H42" s="388"/>
      <c r="I42" s="388"/>
      <c r="J42" s="388"/>
    </row>
    <row r="43" spans="1:10" ht="15">
      <c r="A43" s="709" t="s">
        <v>610</v>
      </c>
      <c r="B43" s="709"/>
      <c r="C43" s="709"/>
      <c r="D43" s="709"/>
      <c r="E43" s="710">
        <f>MIN('CROSS SECTION'!B6:B25)</f>
        <v>96.469999999999985</v>
      </c>
      <c r="F43" s="710"/>
      <c r="G43" s="239" t="s">
        <v>29</v>
      </c>
      <c r="H43" s="388"/>
      <c r="I43" s="388"/>
      <c r="J43" s="388"/>
    </row>
    <row r="44" spans="1:10" ht="15">
      <c r="A44" s="709" t="s">
        <v>477</v>
      </c>
      <c r="B44" s="709"/>
      <c r="C44" s="709"/>
      <c r="D44" s="709"/>
      <c r="E44" s="710">
        <f>E41+1</f>
        <v>97.6</v>
      </c>
      <c r="F44" s="710"/>
      <c r="G44" s="239" t="s">
        <v>29</v>
      </c>
      <c r="H44" s="388"/>
      <c r="I44" s="388"/>
      <c r="J44" s="388"/>
    </row>
    <row r="45" spans="1:10" ht="15">
      <c r="A45" s="709" t="s">
        <v>478</v>
      </c>
      <c r="B45" s="709"/>
      <c r="C45" s="709"/>
      <c r="D45" s="709"/>
      <c r="E45" s="710">
        <f>E43-3</f>
        <v>93.469999999999985</v>
      </c>
      <c r="F45" s="710"/>
      <c r="G45" s="239" t="s">
        <v>29</v>
      </c>
      <c r="H45" s="388"/>
      <c r="I45" s="388"/>
      <c r="J45" s="388"/>
    </row>
    <row r="46" spans="1:10" ht="15">
      <c r="A46" s="709" t="s">
        <v>479</v>
      </c>
      <c r="B46" s="709"/>
      <c r="C46" s="709"/>
      <c r="D46" s="709"/>
      <c r="E46" s="710">
        <f>E40-E43</f>
        <v>5.1300000000000097</v>
      </c>
      <c r="F46" s="710"/>
      <c r="G46" s="239" t="s">
        <v>29</v>
      </c>
      <c r="H46" s="388"/>
      <c r="I46" s="388"/>
      <c r="J46" s="388"/>
    </row>
    <row r="47" spans="1:10" ht="15">
      <c r="A47" s="709" t="s">
        <v>480</v>
      </c>
      <c r="B47" s="709"/>
      <c r="C47" s="709"/>
      <c r="D47" s="709"/>
      <c r="E47" s="710">
        <f>E40-E45</f>
        <v>8.1300000000000097</v>
      </c>
      <c r="F47" s="710"/>
      <c r="G47" s="239" t="s">
        <v>29</v>
      </c>
      <c r="H47" s="388"/>
      <c r="I47" s="388"/>
      <c r="J47" s="388"/>
    </row>
    <row r="48" spans="1:10">
      <c r="A48" s="390" t="s">
        <v>607</v>
      </c>
    </row>
    <row r="49" spans="1:1">
      <c r="A49" s="390" t="s">
        <v>608</v>
      </c>
    </row>
  </sheetData>
  <mergeCells count="21">
    <mergeCell ref="A47:D47"/>
    <mergeCell ref="E47:F47"/>
    <mergeCell ref="A43:D43"/>
    <mergeCell ref="E43:F43"/>
    <mergeCell ref="A44:D44"/>
    <mergeCell ref="E44:F44"/>
    <mergeCell ref="A45:D45"/>
    <mergeCell ref="E45:F45"/>
    <mergeCell ref="A41:D41"/>
    <mergeCell ref="E41:F41"/>
    <mergeCell ref="A42:D42"/>
    <mergeCell ref="E42:F42"/>
    <mergeCell ref="A46:D46"/>
    <mergeCell ref="E46:F46"/>
    <mergeCell ref="A1:G1"/>
    <mergeCell ref="B36:G36"/>
    <mergeCell ref="A3:G3"/>
    <mergeCell ref="A2:G2"/>
    <mergeCell ref="A39:G39"/>
    <mergeCell ref="A40:D40"/>
    <mergeCell ref="E40:F40"/>
  </mergeCells>
  <phoneticPr fontId="7" type="noConversion"/>
  <pageMargins left="0.75" right="0.75" top="1" bottom="1" header="0.5" footer="0.5"/>
  <pageSetup firstPageNumber="7" fitToHeight="28" orientation="landscape" r:id="rId1"/>
  <headerFooter>
    <oddFooter>&amp;L&amp;P/{&amp;N}&amp;C&amp;F&amp;R&amp;A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37"/>
  <sheetViews>
    <sheetView zoomScaleNormal="100" zoomScaleSheetLayoutView="100" workbookViewId="0">
      <selection activeCell="G16" sqref="G16"/>
    </sheetView>
  </sheetViews>
  <sheetFormatPr defaultRowHeight="12.75"/>
  <cols>
    <col min="2" max="2" width="33.42578125" style="17" customWidth="1"/>
    <col min="3" max="3" width="11.7109375" customWidth="1"/>
    <col min="4" max="4" width="9.28515625" bestFit="1" customWidth="1"/>
    <col min="6" max="6" width="9.28515625" bestFit="1" customWidth="1"/>
    <col min="8" max="8" width="11.85546875" bestFit="1" customWidth="1"/>
    <col min="10" max="10" width="9.28515625" bestFit="1" customWidth="1"/>
    <col min="12" max="12" width="10.85546875" bestFit="1" customWidth="1"/>
  </cols>
  <sheetData>
    <row r="1" spans="1:36" ht="18">
      <c r="A1" s="712" t="s">
        <v>430</v>
      </c>
      <c r="B1" s="712"/>
      <c r="C1" s="712"/>
      <c r="D1" s="712"/>
      <c r="E1" s="712"/>
      <c r="F1" s="712"/>
      <c r="G1" s="712"/>
    </row>
    <row r="2" spans="1:36" ht="18">
      <c r="A2" s="204" t="str">
        <f>HYDRAULICS!A2</f>
        <v>Name Of Work :- Construction of Submersible Bridge on ON KHERWARA - JAWAS - SUVERI ROAD IN KM 9/000, ACROSS RIVER SOM</v>
      </c>
    </row>
    <row r="3" spans="1:36" ht="86.25" customHeight="1">
      <c r="B3" s="713" t="s">
        <v>429</v>
      </c>
      <c r="C3" s="713"/>
      <c r="D3" s="713"/>
      <c r="E3" s="713"/>
      <c r="F3" s="713"/>
      <c r="G3" s="713"/>
      <c r="H3" s="713"/>
      <c r="I3" s="713"/>
      <c r="J3" s="713"/>
      <c r="K3" s="713"/>
      <c r="L3" s="713"/>
      <c r="M3" s="713"/>
      <c r="N3" s="713"/>
    </row>
    <row r="4" spans="1:36" ht="71.25" customHeight="1">
      <c r="B4" s="713" t="s">
        <v>451</v>
      </c>
      <c r="C4" s="713"/>
      <c r="D4" s="713"/>
      <c r="E4" s="713"/>
      <c r="F4" s="713"/>
      <c r="G4" s="713"/>
      <c r="H4" s="713"/>
      <c r="I4" s="713"/>
      <c r="J4" s="713"/>
      <c r="K4" s="713"/>
      <c r="L4" s="713"/>
      <c r="M4" s="713"/>
      <c r="N4" s="713"/>
    </row>
    <row r="5" spans="1:36">
      <c r="A5" s="1" t="s">
        <v>431</v>
      </c>
    </row>
    <row r="6" spans="1:36">
      <c r="B6" s="17" t="s">
        <v>455</v>
      </c>
      <c r="G6" s="213" t="s">
        <v>461</v>
      </c>
      <c r="L6" s="213">
        <f>'afflux calculation'!F79</f>
        <v>100.83</v>
      </c>
      <c r="M6" s="213" t="s">
        <v>29</v>
      </c>
    </row>
    <row r="7" spans="1:36">
      <c r="B7" s="17" t="s">
        <v>69</v>
      </c>
      <c r="C7" t="s">
        <v>2</v>
      </c>
      <c r="D7">
        <f>'afflux calculation'!B78</f>
        <v>0.23</v>
      </c>
      <c r="E7" t="s">
        <v>29</v>
      </c>
    </row>
    <row r="8" spans="1:36">
      <c r="B8" s="17" t="s">
        <v>447</v>
      </c>
      <c r="C8" s="19" t="s">
        <v>2</v>
      </c>
      <c r="D8">
        <f>D7</f>
        <v>0.23</v>
      </c>
      <c r="E8" s="19" t="s">
        <v>154</v>
      </c>
      <c r="F8">
        <v>10</v>
      </c>
      <c r="G8" s="19" t="s">
        <v>2</v>
      </c>
      <c r="H8">
        <f>D8*F8</f>
        <v>2.3000000000000003</v>
      </c>
      <c r="I8" t="s">
        <v>125</v>
      </c>
    </row>
    <row r="9" spans="1:36">
      <c r="B9" s="17" t="s">
        <v>448</v>
      </c>
      <c r="C9" t="s">
        <v>2</v>
      </c>
      <c r="D9" s="214">
        <f>'STABILITY CHECK FOR PIER'!E6</f>
        <v>8.7999999999999989</v>
      </c>
      <c r="E9" t="s">
        <v>3</v>
      </c>
      <c r="F9" s="213">
        <f>'afflux calculation'!C18</f>
        <v>12</v>
      </c>
      <c r="G9" t="s">
        <v>2</v>
      </c>
      <c r="H9">
        <f>D9*F9</f>
        <v>105.6</v>
      </c>
      <c r="I9" t="s">
        <v>72</v>
      </c>
    </row>
    <row r="10" spans="1:36">
      <c r="B10" s="17" t="s">
        <v>446</v>
      </c>
      <c r="C10" t="s">
        <v>2</v>
      </c>
      <c r="D10">
        <f>H9</f>
        <v>105.6</v>
      </c>
      <c r="E10" t="s">
        <v>3</v>
      </c>
      <c r="F10">
        <f>H8</f>
        <v>2.3000000000000003</v>
      </c>
      <c r="G10" t="s">
        <v>2</v>
      </c>
      <c r="H10">
        <f>ROUNDUP(D10*F10,2)</f>
        <v>242.88</v>
      </c>
      <c r="I10" t="s">
        <v>10</v>
      </c>
    </row>
    <row r="11" spans="1:36" s="2" customFormat="1">
      <c r="A11" s="3"/>
      <c r="B11" s="47" t="s">
        <v>185</v>
      </c>
      <c r="C11" s="9" t="s">
        <v>2</v>
      </c>
      <c r="D11" s="16">
        <f>D9</f>
        <v>8.7999999999999989</v>
      </c>
      <c r="E11" s="9" t="s">
        <v>3</v>
      </c>
      <c r="F11" s="3">
        <f>F9</f>
        <v>12</v>
      </c>
      <c r="G11" s="9" t="s">
        <v>3</v>
      </c>
      <c r="H11" s="2">
        <v>0.75</v>
      </c>
      <c r="I11" s="9" t="s">
        <v>3</v>
      </c>
      <c r="J11" s="2">
        <v>24</v>
      </c>
      <c r="K11" s="9" t="s">
        <v>2</v>
      </c>
      <c r="L11" s="2">
        <f>D11*F11*H11*J11</f>
        <v>1900.7999999999997</v>
      </c>
      <c r="M11" s="2" t="s">
        <v>10</v>
      </c>
      <c r="N11" s="10"/>
      <c r="O11" s="10"/>
      <c r="P11" s="159"/>
      <c r="Q11" s="10"/>
      <c r="R11" s="10"/>
      <c r="S11" s="10"/>
      <c r="T11" s="10"/>
      <c r="U11" s="10"/>
      <c r="V11" s="10"/>
      <c r="W11" s="10"/>
      <c r="X11" s="10"/>
      <c r="Y11" s="10"/>
      <c r="Z11" s="10"/>
      <c r="AA11" s="10"/>
      <c r="AB11" s="10"/>
      <c r="AC11" s="10"/>
      <c r="AD11" s="10"/>
      <c r="AE11" s="10"/>
      <c r="AF11" s="10"/>
      <c r="AG11" s="10"/>
      <c r="AH11" s="10"/>
      <c r="AI11" s="10"/>
      <c r="AJ11" s="10"/>
    </row>
    <row r="12" spans="1:36" s="2" customFormat="1">
      <c r="A12" s="3"/>
      <c r="B12" s="47" t="s">
        <v>186</v>
      </c>
      <c r="C12" s="9" t="s">
        <v>2</v>
      </c>
      <c r="D12" s="2">
        <f>D11</f>
        <v>8.7999999999999989</v>
      </c>
      <c r="E12" s="9" t="s">
        <v>3</v>
      </c>
      <c r="F12" s="3">
        <f>F11</f>
        <v>12</v>
      </c>
      <c r="G12" s="9" t="s">
        <v>3</v>
      </c>
      <c r="H12" s="8">
        <v>7.4999999999999997E-2</v>
      </c>
      <c r="I12" s="9" t="s">
        <v>3</v>
      </c>
      <c r="J12" s="2">
        <v>24</v>
      </c>
      <c r="K12" s="9" t="s">
        <v>2</v>
      </c>
      <c r="L12" s="2">
        <f>D12*F12*H12*J12</f>
        <v>190.07999999999998</v>
      </c>
      <c r="M12" s="2" t="s">
        <v>10</v>
      </c>
      <c r="N12" s="10"/>
      <c r="O12" s="10"/>
      <c r="P12" s="159"/>
      <c r="Q12" s="10"/>
      <c r="R12" s="10"/>
      <c r="S12" s="10"/>
      <c r="T12" s="10"/>
      <c r="U12" s="10"/>
      <c r="V12" s="10"/>
      <c r="W12" s="10"/>
      <c r="X12" s="10"/>
      <c r="Y12" s="10"/>
      <c r="Z12" s="10"/>
      <c r="AA12" s="10"/>
      <c r="AB12" s="10"/>
      <c r="AC12" s="10"/>
      <c r="AD12" s="10"/>
      <c r="AE12" s="10"/>
      <c r="AF12" s="10"/>
      <c r="AG12" s="10"/>
      <c r="AH12" s="10"/>
      <c r="AI12" s="10"/>
      <c r="AJ12" s="10"/>
    </row>
    <row r="13" spans="1:36" s="2" customFormat="1">
      <c r="A13" s="3"/>
      <c r="B13" s="47" t="s">
        <v>199</v>
      </c>
      <c r="C13" s="9" t="s">
        <v>2</v>
      </c>
      <c r="D13" s="47" t="s">
        <v>456</v>
      </c>
      <c r="E13" s="9" t="s">
        <v>3</v>
      </c>
      <c r="F13" s="2">
        <v>1.5</v>
      </c>
      <c r="G13" s="9" t="s">
        <v>3</v>
      </c>
      <c r="H13" s="2">
        <v>0.5</v>
      </c>
      <c r="I13" s="9" t="s">
        <v>3</v>
      </c>
      <c r="J13" s="2">
        <v>0</v>
      </c>
      <c r="K13" s="9" t="s">
        <v>2</v>
      </c>
      <c r="L13" s="2">
        <f>2*D12*F13*H13*J13</f>
        <v>0</v>
      </c>
      <c r="M13" s="2" t="s">
        <v>10</v>
      </c>
      <c r="N13" s="10"/>
      <c r="O13" s="10"/>
      <c r="P13" s="159"/>
      <c r="Q13" s="10"/>
      <c r="R13" s="10"/>
      <c r="S13" s="10"/>
      <c r="T13" s="10"/>
      <c r="U13" s="10"/>
      <c r="V13" s="10"/>
      <c r="W13" s="10"/>
      <c r="X13" s="10"/>
      <c r="Y13" s="10"/>
      <c r="Z13" s="10"/>
      <c r="AA13" s="10"/>
      <c r="AB13" s="10"/>
      <c r="AC13" s="10"/>
      <c r="AD13" s="10"/>
      <c r="AE13" s="10"/>
      <c r="AF13" s="10"/>
      <c r="AG13" s="10"/>
      <c r="AH13" s="10"/>
      <c r="AI13" s="10"/>
      <c r="AJ13" s="10"/>
    </row>
    <row r="14" spans="1:36" s="2" customFormat="1">
      <c r="A14" s="3"/>
      <c r="B14" s="47" t="s">
        <v>41</v>
      </c>
      <c r="C14" s="9"/>
      <c r="E14" s="9"/>
      <c r="G14" s="9"/>
      <c r="I14" s="9"/>
      <c r="J14" s="5"/>
      <c r="K14" s="9"/>
      <c r="L14" s="39">
        <f>SUM(L11:L13)</f>
        <v>2090.8799999999997</v>
      </c>
      <c r="M14" s="39" t="s">
        <v>10</v>
      </c>
      <c r="N14" s="10"/>
      <c r="O14" s="10"/>
      <c r="P14" s="159"/>
      <c r="Q14" s="10"/>
      <c r="R14" s="10"/>
      <c r="S14" s="10"/>
      <c r="T14" s="10"/>
      <c r="U14" s="10"/>
      <c r="V14" s="10"/>
      <c r="W14" s="10"/>
      <c r="X14" s="10"/>
      <c r="Y14" s="10"/>
      <c r="Z14" s="10"/>
      <c r="AA14" s="10"/>
      <c r="AB14" s="10"/>
      <c r="AC14" s="10"/>
      <c r="AD14" s="10"/>
      <c r="AE14" s="10"/>
      <c r="AF14" s="10"/>
      <c r="AG14" s="10"/>
      <c r="AH14" s="10"/>
      <c r="AI14" s="10"/>
      <c r="AJ14" s="10"/>
    </row>
    <row r="15" spans="1:36" s="2" customFormat="1">
      <c r="A15" s="3"/>
      <c r="B15" s="47" t="s">
        <v>449</v>
      </c>
      <c r="C15" s="9" t="s">
        <v>2</v>
      </c>
      <c r="D15" s="2">
        <f>H10</f>
        <v>242.88</v>
      </c>
      <c r="E15" s="9" t="s">
        <v>16</v>
      </c>
      <c r="F15" s="2">
        <f>L14</f>
        <v>2090.8799999999997</v>
      </c>
      <c r="G15" s="9" t="s">
        <v>2</v>
      </c>
      <c r="H15" s="38">
        <f>D15-F15</f>
        <v>-1847.9999999999995</v>
      </c>
      <c r="I15" s="54" t="s">
        <v>10</v>
      </c>
      <c r="J15" s="5"/>
      <c r="K15" s="9"/>
      <c r="L15" s="40"/>
      <c r="M15" s="40"/>
      <c r="N15" s="10"/>
      <c r="O15" s="10"/>
      <c r="P15" s="159"/>
      <c r="Q15" s="10"/>
      <c r="R15" s="10"/>
      <c r="S15" s="10"/>
      <c r="T15" s="10"/>
      <c r="U15" s="10"/>
      <c r="V15" s="10"/>
      <c r="W15" s="10"/>
      <c r="X15" s="10"/>
      <c r="Y15" s="10"/>
      <c r="Z15" s="10"/>
      <c r="AA15" s="10"/>
      <c r="AB15" s="10"/>
      <c r="AC15" s="10"/>
      <c r="AD15" s="10"/>
      <c r="AE15" s="10"/>
      <c r="AF15" s="10"/>
      <c r="AG15" s="10"/>
      <c r="AH15" s="10"/>
      <c r="AI15" s="10"/>
      <c r="AJ15" s="10"/>
    </row>
    <row r="16" spans="1:36" s="2" customFormat="1">
      <c r="A16" s="3"/>
      <c r="B16" s="47"/>
      <c r="C16" s="9"/>
      <c r="E16" s="9"/>
      <c r="G16" s="9"/>
      <c r="H16" s="63" t="s">
        <v>450</v>
      </c>
      <c r="I16" s="54"/>
      <c r="J16" s="5"/>
      <c r="K16" s="9"/>
      <c r="L16" s="40"/>
      <c r="M16" s="40"/>
      <c r="N16" s="10"/>
      <c r="O16" s="10"/>
      <c r="P16" s="159"/>
      <c r="Q16" s="10"/>
      <c r="R16" s="10"/>
      <c r="S16" s="10"/>
      <c r="T16" s="10"/>
      <c r="U16" s="10"/>
      <c r="V16" s="10"/>
      <c r="W16" s="10"/>
      <c r="X16" s="10"/>
      <c r="Y16" s="10"/>
      <c r="Z16" s="10"/>
      <c r="AA16" s="10"/>
      <c r="AB16" s="10"/>
      <c r="AC16" s="10"/>
      <c r="AD16" s="10"/>
      <c r="AE16" s="10"/>
      <c r="AF16" s="10"/>
      <c r="AG16" s="10"/>
      <c r="AH16" s="10"/>
      <c r="AI16" s="10"/>
      <c r="AJ16" s="10"/>
    </row>
    <row r="17" spans="1:14">
      <c r="A17" s="1" t="s">
        <v>432</v>
      </c>
    </row>
    <row r="18" spans="1:14">
      <c r="B18" s="17" t="s">
        <v>433</v>
      </c>
    </row>
    <row r="19" spans="1:14">
      <c r="B19" s="17" t="s">
        <v>240</v>
      </c>
    </row>
    <row r="20" spans="1:14">
      <c r="B20" s="17" t="s">
        <v>66</v>
      </c>
      <c r="D20" t="s">
        <v>67</v>
      </c>
      <c r="E20" s="214">
        <f>'afflux calculation'!B83</f>
        <v>2.67</v>
      </c>
      <c r="F20" t="s">
        <v>50</v>
      </c>
      <c r="G20" t="s">
        <v>139</v>
      </c>
      <c r="M20" t="s">
        <v>140</v>
      </c>
    </row>
    <row r="21" spans="1:14">
      <c r="B21" s="17" t="s">
        <v>258</v>
      </c>
      <c r="C21" t="s">
        <v>2</v>
      </c>
      <c r="D21" s="2">
        <f>E20</f>
        <v>2.67</v>
      </c>
      <c r="E21" t="s">
        <v>3</v>
      </c>
      <c r="F21" t="s">
        <v>259</v>
      </c>
    </row>
    <row r="22" spans="1:14">
      <c r="C22" t="s">
        <v>2</v>
      </c>
      <c r="D22" s="21">
        <f>D21*COS(20*3.14/180)</f>
        <v>2.5091408583634016</v>
      </c>
    </row>
    <row r="23" spans="1:14">
      <c r="B23" s="17" t="s">
        <v>141</v>
      </c>
      <c r="C23" t="s">
        <v>2</v>
      </c>
      <c r="D23" s="2">
        <f>D22^2*2</f>
        <v>12.591575694217255</v>
      </c>
    </row>
    <row r="24" spans="1:14">
      <c r="B24" s="218" t="s">
        <v>458</v>
      </c>
      <c r="C24" s="213" t="s">
        <v>2</v>
      </c>
      <c r="D24" s="214">
        <f>'STABILITY CHECK FOR PIER'!E8</f>
        <v>100.6</v>
      </c>
      <c r="E24" s="214" t="str">
        <f>'STABILITY CHECK FOR PIER'!E123</f>
        <v>M</v>
      </c>
      <c r="F24" s="214" t="s">
        <v>459</v>
      </c>
      <c r="G24" s="214"/>
      <c r="H24" s="214"/>
      <c r="I24" s="214">
        <f>D24+'afflux calculation'!B78</f>
        <v>100.83</v>
      </c>
      <c r="J24" s="214" t="s">
        <v>29</v>
      </c>
    </row>
    <row r="25" spans="1:14">
      <c r="B25" s="49" t="s">
        <v>460</v>
      </c>
      <c r="C25" s="9"/>
      <c r="D25" s="2"/>
      <c r="E25" s="9"/>
      <c r="F25" s="2"/>
      <c r="G25" s="9"/>
      <c r="H25" s="2"/>
      <c r="I25" s="9"/>
      <c r="J25" s="5"/>
    </row>
    <row r="26" spans="1:14">
      <c r="B26" s="47" t="s">
        <v>71</v>
      </c>
      <c r="C26" s="9" t="s">
        <v>2</v>
      </c>
      <c r="D26" s="2">
        <f>D12</f>
        <v>8.7999999999999989</v>
      </c>
      <c r="E26" s="9" t="s">
        <v>3</v>
      </c>
      <c r="F26" s="8">
        <f>'afflux calculation'!B78</f>
        <v>0.23</v>
      </c>
      <c r="G26" s="9" t="s">
        <v>2</v>
      </c>
      <c r="H26" s="2">
        <f>D26*F26</f>
        <v>2.024</v>
      </c>
      <c r="I26" s="54" t="s">
        <v>72</v>
      </c>
      <c r="J26" s="2"/>
    </row>
    <row r="28" spans="1:14" ht="14.25">
      <c r="B28" s="17" t="s">
        <v>435</v>
      </c>
      <c r="C28" t="s">
        <v>2</v>
      </c>
      <c r="D28" s="2">
        <v>52</v>
      </c>
      <c r="E28" s="9" t="s">
        <v>3</v>
      </c>
      <c r="F28" s="2" t="s">
        <v>14</v>
      </c>
      <c r="G28" s="9" t="s">
        <v>3</v>
      </c>
      <c r="H28" s="47" t="s">
        <v>70</v>
      </c>
      <c r="I28" s="9" t="s">
        <v>3</v>
      </c>
      <c r="J28" s="2" t="s">
        <v>71</v>
      </c>
      <c r="K28" s="9"/>
    </row>
    <row r="29" spans="1:14">
      <c r="C29" t="s">
        <v>2</v>
      </c>
      <c r="D29" s="2">
        <f>D28</f>
        <v>52</v>
      </c>
      <c r="E29" s="9" t="s">
        <v>3</v>
      </c>
      <c r="F29" s="2">
        <v>1.5</v>
      </c>
      <c r="G29" s="9" t="s">
        <v>3</v>
      </c>
      <c r="H29" s="2">
        <f>D23</f>
        <v>12.591575694217255</v>
      </c>
      <c r="I29" s="9" t="s">
        <v>3</v>
      </c>
      <c r="J29" s="2">
        <f>H26</f>
        <v>2.024</v>
      </c>
      <c r="K29" s="9" t="s">
        <v>73</v>
      </c>
      <c r="L29" t="s">
        <v>2</v>
      </c>
      <c r="M29" s="38">
        <f>D29*F29*H29*J29/100</f>
        <v>19.878572379974667</v>
      </c>
      <c r="N29" t="s">
        <v>10</v>
      </c>
    </row>
    <row r="31" spans="1:14">
      <c r="B31" s="17" t="s">
        <v>436</v>
      </c>
      <c r="C31">
        <v>32</v>
      </c>
      <c r="D31" t="s">
        <v>1</v>
      </c>
    </row>
    <row r="32" spans="1:14" ht="14.25">
      <c r="B32" s="17" t="s">
        <v>437</v>
      </c>
      <c r="C32">
        <v>190</v>
      </c>
      <c r="D32" s="123" t="s">
        <v>211</v>
      </c>
    </row>
    <row r="33" spans="2:14" ht="14.25">
      <c r="B33" s="17" t="s">
        <v>438</v>
      </c>
      <c r="D33" s="7" t="s">
        <v>441</v>
      </c>
      <c r="E33">
        <v>0.78500000000000003</v>
      </c>
      <c r="F33" s="19" t="s">
        <v>3</v>
      </c>
      <c r="G33" s="7">
        <f>C31</f>
        <v>32</v>
      </c>
      <c r="H33" s="205">
        <v>2</v>
      </c>
      <c r="I33" s="19" t="s">
        <v>440</v>
      </c>
      <c r="J33">
        <f>C32</f>
        <v>190</v>
      </c>
      <c r="K33" s="19" t="s">
        <v>439</v>
      </c>
      <c r="L33" t="s">
        <v>2</v>
      </c>
      <c r="M33">
        <f>ROUNDUP(E33*C31*C31/4*C32/1000,2)</f>
        <v>38.19</v>
      </c>
      <c r="N33" t="s">
        <v>10</v>
      </c>
    </row>
    <row r="34" spans="2:14">
      <c r="B34" s="17" t="s">
        <v>442</v>
      </c>
      <c r="C34" s="213">
        <v>18</v>
      </c>
      <c r="D34" t="s">
        <v>171</v>
      </c>
    </row>
    <row r="35" spans="2:14">
      <c r="B35" s="17" t="s">
        <v>443</v>
      </c>
      <c r="C35" s="19" t="s">
        <v>2</v>
      </c>
      <c r="D35">
        <f>C34</f>
        <v>18</v>
      </c>
      <c r="E35" s="19" t="s">
        <v>3</v>
      </c>
      <c r="F35">
        <f>M33</f>
        <v>38.19</v>
      </c>
      <c r="G35" s="19" t="s">
        <v>2</v>
      </c>
      <c r="H35">
        <f>D35*F35</f>
        <v>687.42</v>
      </c>
      <c r="I35" t="s">
        <v>10</v>
      </c>
    </row>
    <row r="36" spans="2:14">
      <c r="B36" s="17" t="s">
        <v>444</v>
      </c>
      <c r="C36" s="19" t="s">
        <v>2</v>
      </c>
      <c r="D36">
        <f>H35</f>
        <v>687.42</v>
      </c>
      <c r="E36" s="19" t="s">
        <v>8</v>
      </c>
      <c r="F36">
        <f>M29</f>
        <v>19.878572379974667</v>
      </c>
      <c r="G36" s="19" t="s">
        <v>2</v>
      </c>
      <c r="H36">
        <f>ROUNDUP(D36/F36,2)</f>
        <v>34.589999999999996</v>
      </c>
    </row>
    <row r="37" spans="2:14">
      <c r="H37" s="206" t="s">
        <v>445</v>
      </c>
    </row>
  </sheetData>
  <mergeCells count="3">
    <mergeCell ref="A1:G1"/>
    <mergeCell ref="B3:N3"/>
    <mergeCell ref="B4:N4"/>
  </mergeCells>
  <phoneticPr fontId="16" type="noConversion"/>
  <pageMargins left="0.75" right="0.75" top="1" bottom="1" header="0.5" footer="0.5"/>
  <pageSetup paperSize="9" scale="83" fitToHeight="28" orientation="landscape" horizontalDpi="300" verticalDpi="300" r:id="rId1"/>
  <headerFooter>
    <oddFooter>&amp;L&amp;P/{&amp;N}&amp;C&amp;F&amp;R&amp;A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Views>
    <sheetView zoomScaleNormal="100" zoomScaleSheetLayoutView="100" workbookViewId="0">
      <selection activeCell="B6" sqref="B6:B25"/>
    </sheetView>
  </sheetViews>
  <sheetFormatPr defaultRowHeight="12.75"/>
  <sheetData>
    <row r="1" spans="1:10" ht="15.75">
      <c r="A1" s="714" t="s">
        <v>468</v>
      </c>
      <c r="B1" s="714"/>
      <c r="C1" s="714"/>
      <c r="D1" s="714"/>
      <c r="E1" s="714"/>
      <c r="F1" s="714"/>
      <c r="G1" s="714"/>
      <c r="H1" s="714"/>
      <c r="I1" s="714"/>
      <c r="J1" s="714"/>
    </row>
    <row r="2" spans="1:10" ht="48" customHeight="1">
      <c r="A2" s="704" t="str">
        <f>'Deck Anchorage'!A2</f>
        <v>Name Of Work :- Construction of Submersible Bridge on ON KHERWARA - JAWAS - SUVERI ROAD IN KM 9/000, ACROSS RIVER SOM</v>
      </c>
      <c r="B2" s="704"/>
      <c r="C2" s="704"/>
      <c r="D2" s="704"/>
      <c r="E2" s="704"/>
      <c r="F2" s="704"/>
      <c r="G2" s="704"/>
      <c r="H2" s="704"/>
      <c r="I2" s="704"/>
      <c r="J2" s="704"/>
    </row>
    <row r="3" spans="1:10" ht="15.75">
      <c r="A3" s="714" t="s">
        <v>609</v>
      </c>
      <c r="B3" s="714"/>
      <c r="C3" s="714"/>
      <c r="D3" s="714"/>
      <c r="E3" s="714"/>
      <c r="F3" s="714"/>
      <c r="G3" s="714"/>
      <c r="H3" s="714"/>
      <c r="I3" s="714"/>
      <c r="J3" s="714"/>
    </row>
    <row r="4" spans="1:10" s="23" customFormat="1">
      <c r="A4" s="25" t="s">
        <v>189</v>
      </c>
      <c r="B4" s="26"/>
      <c r="C4" s="27"/>
      <c r="D4" s="27"/>
      <c r="E4" s="27"/>
      <c r="F4" s="154">
        <f>HYDRAULICS!F4</f>
        <v>100.6</v>
      </c>
      <c r="G4" s="28" t="s">
        <v>29</v>
      </c>
    </row>
    <row r="5" spans="1:10" s="18" customFormat="1" ht="45">
      <c r="A5" s="106" t="s">
        <v>194</v>
      </c>
      <c r="B5" s="107" t="s">
        <v>195</v>
      </c>
      <c r="C5" s="35" t="s">
        <v>36</v>
      </c>
      <c r="D5" s="35" t="s">
        <v>37</v>
      </c>
      <c r="E5" s="29" t="s">
        <v>38</v>
      </c>
      <c r="F5" s="29" t="s">
        <v>39</v>
      </c>
      <c r="G5" s="29" t="s">
        <v>40</v>
      </c>
    </row>
    <row r="6" spans="1:10">
      <c r="A6" s="225">
        <v>0</v>
      </c>
      <c r="B6" s="236">
        <v>102</v>
      </c>
      <c r="C6" s="153">
        <f>IF(B6&gt;$F$4,0,$F$4-B6)</f>
        <v>0</v>
      </c>
      <c r="D6" s="153">
        <v>0</v>
      </c>
      <c r="E6" s="153">
        <v>0</v>
      </c>
      <c r="F6" s="153">
        <v>0</v>
      </c>
      <c r="G6" s="153">
        <v>0</v>
      </c>
    </row>
    <row r="7" spans="1:10">
      <c r="A7" s="225">
        <v>10</v>
      </c>
      <c r="B7" s="236">
        <v>100.95</v>
      </c>
      <c r="C7" s="153">
        <f>IF(B7&gt;$F$4,0,$F$4-B7)</f>
        <v>0</v>
      </c>
      <c r="D7" s="153">
        <f>(A7-A6)</f>
        <v>10</v>
      </c>
      <c r="E7" s="153">
        <f>(C7+C6)/2</f>
        <v>0</v>
      </c>
      <c r="F7" s="153">
        <f>D7*E7</f>
        <v>0</v>
      </c>
      <c r="G7" s="153">
        <f>(D7^2+(C6-C7)^2)^0.5</f>
        <v>10</v>
      </c>
      <c r="H7" s="4"/>
      <c r="I7" s="4"/>
    </row>
    <row r="8" spans="1:10">
      <c r="A8" s="225">
        <v>20</v>
      </c>
      <c r="B8" s="236">
        <v>98.19</v>
      </c>
      <c r="C8" s="153">
        <f t="shared" ref="C8:C25" si="0">IF(B8&gt;$F$4,0,$F$4-B8)</f>
        <v>2.4099999999999966</v>
      </c>
      <c r="D8" s="153">
        <f t="shared" ref="D8:D25" si="1">(A8-A7)</f>
        <v>10</v>
      </c>
      <c r="E8" s="153">
        <f t="shared" ref="E8:E25" si="2">(C8+C7)/2</f>
        <v>1.2049999999999983</v>
      </c>
      <c r="F8" s="153">
        <f t="shared" ref="F8:F25" si="3">D8*E8</f>
        <v>12.049999999999983</v>
      </c>
      <c r="G8" s="153">
        <f t="shared" ref="G8:G25" si="4">(D8^2+(C7-C8)^2)^0.5</f>
        <v>10.286306431367869</v>
      </c>
      <c r="H8" s="4"/>
      <c r="I8" s="4"/>
    </row>
    <row r="9" spans="1:10">
      <c r="A9" s="225">
        <v>30</v>
      </c>
      <c r="B9" s="236">
        <v>97.589999999999989</v>
      </c>
      <c r="C9" s="153">
        <f t="shared" si="0"/>
        <v>3.0100000000000051</v>
      </c>
      <c r="D9" s="153">
        <f t="shared" si="1"/>
        <v>10</v>
      </c>
      <c r="E9" s="153">
        <f t="shared" si="2"/>
        <v>2.7100000000000009</v>
      </c>
      <c r="F9" s="153">
        <f t="shared" si="3"/>
        <v>27.100000000000009</v>
      </c>
      <c r="G9" s="153">
        <f t="shared" si="4"/>
        <v>10.017983829094556</v>
      </c>
      <c r="H9" s="4"/>
      <c r="I9" s="4"/>
    </row>
    <row r="10" spans="1:10">
      <c r="A10" s="225">
        <v>40</v>
      </c>
      <c r="B10" s="236">
        <v>97.21</v>
      </c>
      <c r="C10" s="153">
        <f t="shared" si="0"/>
        <v>3.3900000000000006</v>
      </c>
      <c r="D10" s="153">
        <f t="shared" si="1"/>
        <v>10</v>
      </c>
      <c r="E10" s="153">
        <f t="shared" si="2"/>
        <v>3.2000000000000028</v>
      </c>
      <c r="F10" s="153">
        <f t="shared" si="3"/>
        <v>32.000000000000028</v>
      </c>
      <c r="G10" s="153">
        <f t="shared" si="4"/>
        <v>10.007217395460138</v>
      </c>
      <c r="H10" s="4"/>
      <c r="I10" s="4"/>
    </row>
    <row r="11" spans="1:10">
      <c r="A11" s="225">
        <v>50</v>
      </c>
      <c r="B11" s="236">
        <v>96.86999999999999</v>
      </c>
      <c r="C11" s="153">
        <f t="shared" si="0"/>
        <v>3.730000000000004</v>
      </c>
      <c r="D11" s="153">
        <f t="shared" si="1"/>
        <v>10</v>
      </c>
      <c r="E11" s="153">
        <f t="shared" si="2"/>
        <v>3.5600000000000023</v>
      </c>
      <c r="F11" s="153">
        <f t="shared" si="3"/>
        <v>35.600000000000023</v>
      </c>
      <c r="G11" s="153">
        <f t="shared" si="4"/>
        <v>10.005778330544805</v>
      </c>
      <c r="H11" s="4"/>
    </row>
    <row r="12" spans="1:10">
      <c r="A12" s="225">
        <v>60</v>
      </c>
      <c r="B12" s="236">
        <v>97.95999999999998</v>
      </c>
      <c r="C12" s="153">
        <f t="shared" si="0"/>
        <v>2.6400000000000148</v>
      </c>
      <c r="D12" s="153">
        <f t="shared" si="1"/>
        <v>10</v>
      </c>
      <c r="E12" s="153">
        <f t="shared" si="2"/>
        <v>3.1850000000000094</v>
      </c>
      <c r="F12" s="153">
        <f t="shared" si="3"/>
        <v>31.850000000000094</v>
      </c>
      <c r="G12" s="153">
        <f t="shared" si="4"/>
        <v>10.059229592767032</v>
      </c>
      <c r="H12" s="4"/>
      <c r="I12" s="4"/>
    </row>
    <row r="13" spans="1:10">
      <c r="A13" s="225">
        <v>70</v>
      </c>
      <c r="B13" s="236">
        <v>97.11999999999999</v>
      </c>
      <c r="C13" s="153">
        <f t="shared" si="0"/>
        <v>3.480000000000004</v>
      </c>
      <c r="D13" s="153">
        <f t="shared" si="1"/>
        <v>10</v>
      </c>
      <c r="E13" s="153">
        <f t="shared" si="2"/>
        <v>3.0600000000000094</v>
      </c>
      <c r="F13" s="153">
        <f t="shared" si="3"/>
        <v>30.600000000000094</v>
      </c>
      <c r="G13" s="153">
        <f t="shared" si="4"/>
        <v>10.035217984677761</v>
      </c>
      <c r="H13" s="4"/>
      <c r="I13" s="4"/>
    </row>
    <row r="14" spans="1:10">
      <c r="A14" s="225">
        <v>80</v>
      </c>
      <c r="B14" s="236">
        <v>96.799999999999983</v>
      </c>
      <c r="C14" s="153">
        <f t="shared" si="0"/>
        <v>3.8000000000000114</v>
      </c>
      <c r="D14" s="153">
        <f t="shared" si="1"/>
        <v>10</v>
      </c>
      <c r="E14" s="153">
        <f t="shared" si="2"/>
        <v>3.6400000000000077</v>
      </c>
      <c r="F14" s="153">
        <f t="shared" si="3"/>
        <v>36.400000000000077</v>
      </c>
      <c r="G14" s="153">
        <f t="shared" si="4"/>
        <v>10.00511868995066</v>
      </c>
      <c r="H14" s="4"/>
      <c r="I14" s="4"/>
    </row>
    <row r="15" spans="1:10">
      <c r="A15" s="225">
        <v>90</v>
      </c>
      <c r="B15" s="236">
        <v>96.469999999999985</v>
      </c>
      <c r="C15" s="153">
        <f t="shared" si="0"/>
        <v>4.1300000000000097</v>
      </c>
      <c r="D15" s="153">
        <f t="shared" si="1"/>
        <v>10</v>
      </c>
      <c r="E15" s="153">
        <f t="shared" si="2"/>
        <v>3.9650000000000105</v>
      </c>
      <c r="F15" s="153">
        <f t="shared" si="3"/>
        <v>39.650000000000105</v>
      </c>
      <c r="G15" s="153">
        <f t="shared" si="4"/>
        <v>10.005443518405368</v>
      </c>
      <c r="H15" s="4"/>
      <c r="I15" s="4"/>
    </row>
    <row r="16" spans="1:10">
      <c r="A16" s="225">
        <v>100</v>
      </c>
      <c r="B16" s="236">
        <v>96.49</v>
      </c>
      <c r="C16" s="153">
        <f t="shared" si="0"/>
        <v>4.1099999999999994</v>
      </c>
      <c r="D16" s="153">
        <f t="shared" si="1"/>
        <v>10</v>
      </c>
      <c r="E16" s="153">
        <f t="shared" si="2"/>
        <v>4.1200000000000045</v>
      </c>
      <c r="F16" s="153">
        <f t="shared" si="3"/>
        <v>41.200000000000045</v>
      </c>
      <c r="G16" s="153">
        <f t="shared" si="4"/>
        <v>10.000019999979999</v>
      </c>
      <c r="H16" s="4"/>
      <c r="I16" s="4"/>
    </row>
    <row r="17" spans="1:10">
      <c r="A17" s="225">
        <v>110</v>
      </c>
      <c r="B17" s="236">
        <v>97.039999999999978</v>
      </c>
      <c r="C17" s="153">
        <f t="shared" si="0"/>
        <v>3.5600000000000165</v>
      </c>
      <c r="D17" s="153">
        <f t="shared" si="1"/>
        <v>10</v>
      </c>
      <c r="E17" s="153">
        <f t="shared" si="2"/>
        <v>3.835000000000008</v>
      </c>
      <c r="F17" s="153">
        <f t="shared" si="3"/>
        <v>38.35000000000008</v>
      </c>
      <c r="G17" s="153">
        <f t="shared" si="4"/>
        <v>10.01511357898651</v>
      </c>
      <c r="H17" s="4"/>
      <c r="I17" s="4"/>
    </row>
    <row r="18" spans="1:10">
      <c r="A18" s="225">
        <v>120</v>
      </c>
      <c r="B18" s="236">
        <v>97.289999999999978</v>
      </c>
      <c r="C18" s="153">
        <f t="shared" si="0"/>
        <v>3.3100000000000165</v>
      </c>
      <c r="D18" s="153">
        <f t="shared" si="1"/>
        <v>10</v>
      </c>
      <c r="E18" s="153">
        <f t="shared" si="2"/>
        <v>3.4350000000000165</v>
      </c>
      <c r="F18" s="153">
        <f t="shared" si="3"/>
        <v>34.350000000000165</v>
      </c>
      <c r="G18" s="153">
        <f t="shared" si="4"/>
        <v>10.003124511871277</v>
      </c>
      <c r="H18" s="4"/>
      <c r="I18" s="4"/>
    </row>
    <row r="19" spans="1:10">
      <c r="A19" s="225">
        <v>130</v>
      </c>
      <c r="B19" s="236">
        <v>97.739999999999981</v>
      </c>
      <c r="C19" s="153">
        <f t="shared" si="0"/>
        <v>2.8600000000000136</v>
      </c>
      <c r="D19" s="153">
        <f t="shared" si="1"/>
        <v>10</v>
      </c>
      <c r="E19" s="153">
        <f t="shared" si="2"/>
        <v>3.0850000000000151</v>
      </c>
      <c r="F19" s="153">
        <f t="shared" si="3"/>
        <v>30.850000000000151</v>
      </c>
      <c r="G19" s="153">
        <f t="shared" si="4"/>
        <v>10.010119879402044</v>
      </c>
      <c r="H19" s="4"/>
      <c r="I19" s="4"/>
    </row>
    <row r="20" spans="1:10">
      <c r="A20" s="225">
        <v>140</v>
      </c>
      <c r="B20" s="236">
        <v>98.129999999999981</v>
      </c>
      <c r="C20" s="153">
        <f t="shared" si="0"/>
        <v>2.4700000000000131</v>
      </c>
      <c r="D20" s="153">
        <f t="shared" si="1"/>
        <v>10</v>
      </c>
      <c r="E20" s="153">
        <f t="shared" si="2"/>
        <v>2.6650000000000134</v>
      </c>
      <c r="F20" s="153">
        <f t="shared" si="3"/>
        <v>26.650000000000134</v>
      </c>
      <c r="G20" s="153">
        <f t="shared" si="4"/>
        <v>10.007602110395876</v>
      </c>
      <c r="H20" s="4"/>
    </row>
    <row r="21" spans="1:10">
      <c r="A21" s="225">
        <v>150</v>
      </c>
      <c r="B21" s="236">
        <v>98.84999999999998</v>
      </c>
      <c r="C21" s="153">
        <f t="shared" si="0"/>
        <v>1.7500000000000142</v>
      </c>
      <c r="D21" s="153">
        <f t="shared" si="1"/>
        <v>10</v>
      </c>
      <c r="E21" s="153">
        <f t="shared" si="2"/>
        <v>2.1100000000000136</v>
      </c>
      <c r="F21" s="153">
        <f t="shared" si="3"/>
        <v>21.100000000000136</v>
      </c>
      <c r="G21" s="153">
        <f t="shared" si="4"/>
        <v>10.025886494470202</v>
      </c>
      <c r="H21" s="4"/>
      <c r="I21" s="4"/>
    </row>
    <row r="22" spans="1:10">
      <c r="A22" s="225">
        <v>160</v>
      </c>
      <c r="B22" s="236">
        <v>98.07</v>
      </c>
      <c r="C22" s="153">
        <f t="shared" si="0"/>
        <v>2.5300000000000011</v>
      </c>
      <c r="D22" s="153">
        <f t="shared" si="1"/>
        <v>10</v>
      </c>
      <c r="E22" s="153">
        <f t="shared" si="2"/>
        <v>2.1400000000000077</v>
      </c>
      <c r="F22" s="153">
        <f t="shared" si="3"/>
        <v>21.400000000000077</v>
      </c>
      <c r="G22" s="153">
        <f t="shared" si="4"/>
        <v>10.030373871396817</v>
      </c>
      <c r="H22" s="4"/>
    </row>
    <row r="23" spans="1:10">
      <c r="A23" s="225">
        <v>170</v>
      </c>
      <c r="B23" s="236">
        <v>98.75</v>
      </c>
      <c r="C23" s="153">
        <f t="shared" si="0"/>
        <v>1.8499999999999943</v>
      </c>
      <c r="D23" s="153">
        <f t="shared" si="1"/>
        <v>10</v>
      </c>
      <c r="E23" s="153">
        <f t="shared" si="2"/>
        <v>2.1899999999999977</v>
      </c>
      <c r="F23" s="153">
        <f t="shared" si="3"/>
        <v>21.899999999999977</v>
      </c>
      <c r="G23" s="153">
        <f t="shared" si="4"/>
        <v>10.023093334894174</v>
      </c>
      <c r="H23" s="4"/>
      <c r="I23" s="4"/>
    </row>
    <row r="24" spans="1:10">
      <c r="A24" s="225">
        <v>180</v>
      </c>
      <c r="B24" s="236">
        <v>101.85</v>
      </c>
      <c r="C24" s="153">
        <f t="shared" si="0"/>
        <v>0</v>
      </c>
      <c r="D24" s="153">
        <f t="shared" si="1"/>
        <v>10</v>
      </c>
      <c r="E24" s="153">
        <f t="shared" si="2"/>
        <v>0.92499999999999716</v>
      </c>
      <c r="F24" s="153">
        <f t="shared" si="3"/>
        <v>9.2499999999999716</v>
      </c>
      <c r="G24" s="153">
        <f t="shared" si="4"/>
        <v>10.169685344198216</v>
      </c>
      <c r="H24" s="4"/>
    </row>
    <row r="25" spans="1:10">
      <c r="A25" s="225">
        <v>190</v>
      </c>
      <c r="B25" s="236">
        <v>102</v>
      </c>
      <c r="C25" s="153">
        <f t="shared" si="0"/>
        <v>0</v>
      </c>
      <c r="D25" s="153">
        <f t="shared" si="1"/>
        <v>10</v>
      </c>
      <c r="E25" s="153">
        <f t="shared" si="2"/>
        <v>0</v>
      </c>
      <c r="F25" s="153">
        <f t="shared" si="3"/>
        <v>0</v>
      </c>
      <c r="G25" s="153">
        <f t="shared" si="4"/>
        <v>10</v>
      </c>
      <c r="H25" s="4"/>
      <c r="I25" s="4"/>
    </row>
    <row r="26" spans="1:10">
      <c r="A26" s="225"/>
      <c r="B26" s="236"/>
      <c r="C26" s="225"/>
      <c r="D26" s="106"/>
      <c r="E26" s="106"/>
      <c r="F26" s="106"/>
      <c r="G26" s="106"/>
      <c r="H26" s="4"/>
      <c r="I26" s="4"/>
      <c r="J26" s="4"/>
    </row>
    <row r="27" spans="1:10">
      <c r="A27" s="225"/>
      <c r="B27" s="236"/>
      <c r="C27" s="37" t="s">
        <v>41</v>
      </c>
      <c r="D27" s="36">
        <f>SUM(D6:D26)</f>
        <v>190</v>
      </c>
      <c r="E27" s="36"/>
      <c r="F27" s="36">
        <f>SUM(F6:F26)</f>
        <v>490.30000000000109</v>
      </c>
      <c r="G27" s="36">
        <f>SUM(G6:G26)</f>
        <v>190.70731489786334</v>
      </c>
      <c r="H27" s="4"/>
      <c r="I27" s="146"/>
      <c r="J27" s="149"/>
    </row>
    <row r="28" spans="1:10">
      <c r="A28" s="150">
        <f>A6</f>
        <v>0</v>
      </c>
      <c r="B28" s="151">
        <f>HYDRAULICS!F4</f>
        <v>100.6</v>
      </c>
      <c r="H28" s="4"/>
    </row>
    <row r="29" spans="1:10">
      <c r="A29" s="150">
        <f>A25</f>
        <v>190</v>
      </c>
      <c r="B29" s="151">
        <f>B28</f>
        <v>100.6</v>
      </c>
    </row>
  </sheetData>
  <mergeCells count="3">
    <mergeCell ref="A1:J1"/>
    <mergeCell ref="A3:J3"/>
    <mergeCell ref="A2:J2"/>
  </mergeCells>
  <phoneticPr fontId="16" type="noConversion"/>
  <pageMargins left="0.75" right="0.75" top="1" bottom="1" header="0.5" footer="0.5"/>
  <pageSetup paperSize="9" firstPageNumber="8" fitToHeight="28" orientation="landscape" r:id="rId1"/>
  <headerFooter>
    <oddFooter>&amp;L&amp;P/{&amp;N}&amp;C&amp;F&amp;R&amp;A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zoomScaleNormal="100" zoomScaleSheetLayoutView="100" workbookViewId="0">
      <selection activeCell="M20" sqref="M20"/>
    </sheetView>
  </sheetViews>
  <sheetFormatPr defaultRowHeight="12.75"/>
  <cols>
    <col min="1" max="1" width="10.5703125" customWidth="1"/>
  </cols>
  <sheetData>
    <row r="1" spans="1:11" ht="15.75">
      <c r="A1" s="714" t="s">
        <v>198</v>
      </c>
      <c r="B1" s="714"/>
      <c r="C1" s="714"/>
      <c r="D1" s="714"/>
      <c r="E1" s="714"/>
      <c r="F1" s="714"/>
      <c r="G1" s="714"/>
      <c r="H1" s="714"/>
      <c r="I1" s="714"/>
      <c r="J1" s="714"/>
    </row>
    <row r="2" spans="1:11" ht="36.75" customHeight="1">
      <c r="A2" s="704" t="str">
        <f>'CROSS SECTION'!A2:J2</f>
        <v>Name Of Work :- Construction of Submersible Bridge on ON KHERWARA - JAWAS - SUVERI ROAD IN KM 9/000, ACROSS RIVER SOM</v>
      </c>
      <c r="B2" s="704"/>
      <c r="C2" s="704"/>
      <c r="D2" s="704"/>
      <c r="E2" s="704"/>
      <c r="F2" s="704"/>
      <c r="G2" s="704"/>
      <c r="H2" s="704"/>
      <c r="I2" s="704"/>
      <c r="J2" s="704"/>
    </row>
    <row r="3" spans="1:11" s="18" customFormat="1" ht="38.25">
      <c r="A3" s="106" t="s">
        <v>194</v>
      </c>
      <c r="B3" s="107" t="s">
        <v>195</v>
      </c>
      <c r="D3" s="231"/>
      <c r="E3" s="156"/>
      <c r="F3" s="156"/>
      <c r="G3" s="156"/>
      <c r="J3" s="156"/>
      <c r="K3" s="156"/>
    </row>
    <row r="4" spans="1:11">
      <c r="A4" s="502">
        <v>0</v>
      </c>
      <c r="B4" s="210">
        <v>94.504999999999995</v>
      </c>
      <c r="D4" s="156"/>
      <c r="E4" s="156"/>
      <c r="F4" s="156"/>
      <c r="G4" s="156"/>
      <c r="J4" s="4"/>
      <c r="K4" s="226"/>
    </row>
    <row r="5" spans="1:11">
      <c r="A5" s="209">
        <v>25</v>
      </c>
      <c r="B5" s="210">
        <f>B4-0.025</f>
        <v>94.47999999999999</v>
      </c>
      <c r="D5" s="503"/>
      <c r="E5" s="156"/>
      <c r="F5" s="156"/>
      <c r="G5" s="156"/>
      <c r="J5" s="4"/>
      <c r="K5" s="226"/>
    </row>
    <row r="6" spans="1:11">
      <c r="A6" s="209">
        <f>A5+25</f>
        <v>50</v>
      </c>
      <c r="B6" s="210">
        <f t="shared" ref="B6:B14" si="0">B5-0.025</f>
        <v>94.454999999999984</v>
      </c>
      <c r="D6" s="156"/>
      <c r="E6" s="156"/>
      <c r="F6" s="156"/>
      <c r="G6" s="156"/>
      <c r="J6" s="4"/>
      <c r="K6" s="226"/>
    </row>
    <row r="7" spans="1:11">
      <c r="A7" s="209">
        <f t="shared" ref="A7:A13" si="1">A6+25</f>
        <v>75</v>
      </c>
      <c r="B7" s="210">
        <f t="shared" si="0"/>
        <v>94.429999999999978</v>
      </c>
      <c r="D7" s="156"/>
      <c r="E7" s="156"/>
      <c r="F7" s="156"/>
      <c r="G7" s="156"/>
      <c r="J7" s="4"/>
      <c r="K7" s="226"/>
    </row>
    <row r="8" spans="1:11">
      <c r="A8" s="209">
        <f t="shared" si="1"/>
        <v>100</v>
      </c>
      <c r="B8" s="210">
        <f t="shared" si="0"/>
        <v>94.404999999999973</v>
      </c>
      <c r="D8" s="156"/>
      <c r="E8" s="156"/>
      <c r="F8" s="156"/>
      <c r="G8" s="156"/>
      <c r="J8" s="4"/>
      <c r="K8" s="226"/>
    </row>
    <row r="9" spans="1:11">
      <c r="A9" s="209">
        <f t="shared" si="1"/>
        <v>125</v>
      </c>
      <c r="B9" s="210">
        <v>94.37</v>
      </c>
      <c r="D9" s="156"/>
      <c r="E9" s="156"/>
      <c r="F9" s="156"/>
      <c r="G9" s="156"/>
      <c r="J9" s="4"/>
      <c r="K9" s="226"/>
    </row>
    <row r="10" spans="1:11">
      <c r="A10" s="209">
        <f t="shared" si="1"/>
        <v>150</v>
      </c>
      <c r="B10" s="210">
        <v>94.36</v>
      </c>
      <c r="D10" s="156"/>
      <c r="E10" s="156"/>
      <c r="F10" s="156"/>
      <c r="G10" s="156"/>
      <c r="J10" s="4"/>
      <c r="K10" s="226"/>
    </row>
    <row r="11" spans="1:11">
      <c r="A11" s="209">
        <f t="shared" si="1"/>
        <v>175</v>
      </c>
      <c r="B11" s="210">
        <f t="shared" si="0"/>
        <v>94.334999999999994</v>
      </c>
      <c r="D11" s="156"/>
      <c r="E11" s="156"/>
      <c r="F11" s="156"/>
      <c r="G11" s="156"/>
      <c r="J11" s="4"/>
      <c r="K11" s="226"/>
    </row>
    <row r="12" spans="1:11">
      <c r="A12" s="209">
        <f t="shared" si="1"/>
        <v>200</v>
      </c>
      <c r="B12" s="210">
        <f t="shared" si="0"/>
        <v>94.309999999999988</v>
      </c>
      <c r="D12" s="156"/>
      <c r="E12" s="156"/>
      <c r="F12" s="156"/>
      <c r="G12" s="156"/>
      <c r="J12" s="4"/>
      <c r="K12" s="226"/>
    </row>
    <row r="13" spans="1:11">
      <c r="A13" s="209">
        <f t="shared" si="1"/>
        <v>225</v>
      </c>
      <c r="B13" s="210">
        <f t="shared" si="0"/>
        <v>94.284999999999982</v>
      </c>
      <c r="D13" s="156"/>
      <c r="E13" s="156"/>
      <c r="F13" s="156"/>
      <c r="G13" s="156"/>
      <c r="J13" s="4"/>
      <c r="K13" s="226"/>
    </row>
    <row r="14" spans="1:11">
      <c r="A14" s="209">
        <v>235</v>
      </c>
      <c r="B14" s="210">
        <f t="shared" si="0"/>
        <v>94.259999999999977</v>
      </c>
      <c r="D14" s="156"/>
      <c r="E14" s="156"/>
      <c r="F14" s="156"/>
      <c r="G14" s="156"/>
      <c r="J14" s="4"/>
      <c r="K14" s="226"/>
    </row>
    <row r="15" spans="1:11">
      <c r="A15" s="232"/>
      <c r="B15" s="226"/>
      <c r="D15" s="156"/>
      <c r="E15" s="156"/>
      <c r="F15" s="156"/>
      <c r="G15" s="156"/>
      <c r="J15" s="4"/>
      <c r="K15" s="226"/>
    </row>
    <row r="16" spans="1:11">
      <c r="A16" s="232"/>
      <c r="B16" s="226"/>
      <c r="D16" s="156"/>
      <c r="E16" s="156"/>
      <c r="F16" s="156"/>
      <c r="G16" s="156"/>
      <c r="J16" s="4"/>
      <c r="K16" s="226"/>
    </row>
    <row r="17" spans="1:11">
      <c r="A17" s="232"/>
      <c r="B17" s="226"/>
      <c r="D17" s="715" t="s">
        <v>196</v>
      </c>
      <c r="E17" s="715"/>
      <c r="J17" s="4"/>
      <c r="K17" s="226"/>
    </row>
    <row r="18" spans="1:11">
      <c r="A18" s="232"/>
      <c r="B18" s="226"/>
      <c r="D18" s="108" t="s">
        <v>197</v>
      </c>
      <c r="E18" s="108" t="s">
        <v>193</v>
      </c>
      <c r="J18" s="4"/>
      <c r="K18" s="226"/>
    </row>
    <row r="19" spans="1:11">
      <c r="A19" s="232"/>
      <c r="B19" s="226"/>
      <c r="D19" s="103">
        <f>A4</f>
        <v>0</v>
      </c>
      <c r="E19" s="211">
        <f>B4</f>
        <v>94.504999999999995</v>
      </c>
      <c r="J19" s="4"/>
      <c r="K19" s="4"/>
    </row>
    <row r="20" spans="1:11">
      <c r="A20" s="232"/>
      <c r="B20" s="226"/>
      <c r="D20" s="103">
        <f>A14</f>
        <v>235</v>
      </c>
      <c r="E20" s="211">
        <f>B14</f>
        <v>94.259999999999977</v>
      </c>
    </row>
    <row r="21" spans="1:11">
      <c r="A21" s="155"/>
      <c r="B21" s="155"/>
    </row>
    <row r="22" spans="1:11">
      <c r="G22" t="s">
        <v>190</v>
      </c>
      <c r="I22">
        <f>D20-D19</f>
        <v>235</v>
      </c>
      <c r="J22" t="s">
        <v>29</v>
      </c>
    </row>
    <row r="23" spans="1:11">
      <c r="G23" t="s">
        <v>191</v>
      </c>
      <c r="I23">
        <f>E19-E20</f>
        <v>0.24500000000001876</v>
      </c>
      <c r="J23" t="s">
        <v>29</v>
      </c>
    </row>
    <row r="24" spans="1:11">
      <c r="G24" t="s">
        <v>192</v>
      </c>
      <c r="H24" s="240">
        <v>1</v>
      </c>
      <c r="I24" s="241" t="s">
        <v>32</v>
      </c>
      <c r="J24" s="242">
        <f>ROUNDUP(I22/I23,0)</f>
        <v>960</v>
      </c>
    </row>
  </sheetData>
  <mergeCells count="3">
    <mergeCell ref="D17:E17"/>
    <mergeCell ref="A1:J1"/>
    <mergeCell ref="A2:J2"/>
  </mergeCells>
  <phoneticPr fontId="16" type="noConversion"/>
  <pageMargins left="0.75" right="0.75" top="1" bottom="1" header="0.5" footer="0.5"/>
  <pageSetup paperSize="9" firstPageNumber="8" fitToHeight="28" orientation="landscape" r:id="rId1"/>
  <headerFooter>
    <oddFooter>&amp;L&amp;P/{&amp;N}&amp;C&amp;F&amp;R&amp;A</oddFooter>
  </headerFooter>
  <rowBreaks count="2" manualBreakCount="2">
    <brk id="21" max="16383" man="1"/>
    <brk id="2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70:L78"/>
  <sheetViews>
    <sheetView workbookViewId="0"/>
  </sheetViews>
  <sheetFormatPr defaultRowHeight="12.75"/>
  <sheetData>
    <row r="70" spans="1:12" s="44" customFormat="1" ht="35.25" customHeight="1">
      <c r="A70" s="716" t="s">
        <v>1270</v>
      </c>
      <c r="B70" s="716"/>
      <c r="C70" s="716"/>
      <c r="D70" s="716"/>
      <c r="E70" s="716"/>
      <c r="F70" s="716"/>
      <c r="G70" s="716"/>
      <c r="H70" s="716"/>
      <c r="I70" s="716"/>
    </row>
    <row r="71" spans="1:12" s="44" customFormat="1" ht="35.25" customHeight="1">
      <c r="A71" s="716" t="s">
        <v>1270</v>
      </c>
      <c r="B71" s="716"/>
      <c r="C71" s="716"/>
      <c r="D71" s="716"/>
      <c r="E71" s="716"/>
      <c r="F71" s="716"/>
      <c r="G71" s="716"/>
      <c r="H71" s="716"/>
      <c r="I71" s="716"/>
    </row>
    <row r="72" spans="1:12" ht="15" customHeight="1"/>
    <row r="73" spans="1:12" s="44" customFormat="1">
      <c r="A73" s="716" t="s">
        <v>1271</v>
      </c>
      <c r="B73" s="716"/>
      <c r="C73" s="716"/>
      <c r="D73" s="716"/>
      <c r="E73" s="716"/>
      <c r="F73" s="716"/>
      <c r="G73" s="716"/>
      <c r="H73" s="716"/>
      <c r="I73" s="716"/>
    </row>
    <row r="74" spans="1:12" ht="12" customHeight="1">
      <c r="D74" s="50">
        <v>20</v>
      </c>
      <c r="E74" s="717" t="s">
        <v>1272</v>
      </c>
      <c r="F74" s="717"/>
      <c r="G74" s="717"/>
      <c r="H74" s="717"/>
      <c r="I74" s="50"/>
      <c r="J74" s="50"/>
      <c r="K74" s="50"/>
      <c r="L74" s="50"/>
    </row>
    <row r="76" spans="1:12">
      <c r="C76" s="429" t="s">
        <v>1273</v>
      </c>
      <c r="D76" s="38">
        <f>D74*10</f>
        <v>200</v>
      </c>
      <c r="E76" s="717" t="s">
        <v>1274</v>
      </c>
      <c r="F76" s="717"/>
      <c r="G76" s="717"/>
      <c r="H76" s="717"/>
    </row>
    <row r="78" spans="1:12">
      <c r="C78" s="540"/>
      <c r="D78" s="541" t="s">
        <v>1257</v>
      </c>
      <c r="E78" s="540"/>
      <c r="F78" s="542" t="s">
        <v>1258</v>
      </c>
      <c r="G78" s="540"/>
    </row>
  </sheetData>
  <mergeCells count="5">
    <mergeCell ref="A70:I70"/>
    <mergeCell ref="A71:I71"/>
    <mergeCell ref="A73:I73"/>
    <mergeCell ref="E74:H74"/>
    <mergeCell ref="E76:H7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468"/>
  <sheetViews>
    <sheetView tabSelected="1" topLeftCell="A30" zoomScaleNormal="100" zoomScaleSheetLayoutView="100" workbookViewId="0">
      <selection activeCell="A41" sqref="A41:K41"/>
    </sheetView>
  </sheetViews>
  <sheetFormatPr defaultRowHeight="12.75"/>
  <cols>
    <col min="1" max="1" width="4" style="3" customWidth="1"/>
    <col min="2" max="2" width="33.140625" style="2" bestFit="1" customWidth="1"/>
    <col min="3" max="3" width="3.140625" style="2" customWidth="1"/>
    <col min="4" max="4" width="10.42578125" style="2" customWidth="1"/>
    <col min="5" max="5" width="10.5703125" style="2" bestFit="1" customWidth="1"/>
    <col min="6" max="6" width="10.85546875" style="2" customWidth="1"/>
    <col min="7" max="7" width="9.7109375" style="2" bestFit="1" customWidth="1"/>
    <col min="8" max="8" width="11.28515625" style="2" bestFit="1" customWidth="1"/>
    <col min="9" max="9" width="2.7109375" style="2" customWidth="1"/>
    <col min="10" max="10" width="11.7109375" style="2" customWidth="1"/>
    <col min="11" max="11" width="8.42578125" style="2" bestFit="1" customWidth="1"/>
    <col min="12" max="12" width="10.85546875" style="2" bestFit="1" customWidth="1"/>
    <col min="13" max="13" width="11.140625" style="2" customWidth="1"/>
    <col min="14" max="14" width="7.7109375" style="2" customWidth="1"/>
    <col min="15" max="15" width="5.42578125" style="2" customWidth="1"/>
    <col min="16" max="16" width="10.85546875" style="159" bestFit="1" customWidth="1"/>
    <col min="17" max="17" width="3.28515625" style="10" bestFit="1" customWidth="1"/>
    <col min="18" max="19" width="4.5703125" style="2" bestFit="1" customWidth="1"/>
    <col min="20" max="20" width="7.5703125" style="2" bestFit="1" customWidth="1"/>
    <col min="21" max="21" width="5.5703125" style="2" bestFit="1" customWidth="1"/>
    <col min="22" max="16384" width="9.140625" style="2"/>
  </cols>
  <sheetData>
    <row r="1" spans="1:17" ht="24" customHeight="1">
      <c r="A1" s="718" t="s">
        <v>484</v>
      </c>
      <c r="B1" s="718"/>
      <c r="C1" s="718"/>
      <c r="D1" s="718"/>
      <c r="E1" s="718"/>
      <c r="F1" s="718"/>
      <c r="G1" s="718"/>
      <c r="H1" s="718"/>
      <c r="I1" s="718"/>
      <c r="J1" s="718"/>
      <c r="K1" s="718"/>
      <c r="L1" s="718"/>
      <c r="M1" s="718"/>
      <c r="N1" s="718"/>
      <c r="O1" s="718"/>
      <c r="P1" s="718"/>
      <c r="Q1" s="718"/>
    </row>
    <row r="2" spans="1:17">
      <c r="A2" s="723" t="str">
        <f>'abstract of stresses'!A2:N2</f>
        <v>Name Of Work :- Construction of Submersible Bridge on ON KHERWARA - JAWAS - SUVERI ROAD IN KM 9/000, ACROSS RIVER SOM</v>
      </c>
      <c r="B2" s="723"/>
      <c r="C2" s="723"/>
      <c r="D2" s="723"/>
      <c r="E2" s="723"/>
      <c r="F2" s="723"/>
      <c r="G2" s="723"/>
      <c r="H2" s="723"/>
      <c r="I2" s="723"/>
      <c r="J2" s="723"/>
      <c r="K2" s="723"/>
      <c r="L2" s="723"/>
      <c r="M2" s="723"/>
      <c r="N2" s="723"/>
      <c r="O2" s="723"/>
      <c r="P2" s="723"/>
      <c r="Q2" s="723"/>
    </row>
    <row r="3" spans="1:17">
      <c r="A3" s="3" t="s">
        <v>20</v>
      </c>
    </row>
    <row r="4" spans="1:17" ht="13.5" thickBot="1"/>
    <row r="5" spans="1:17" ht="13.5" thickBot="1">
      <c r="A5" s="51">
        <v>1</v>
      </c>
      <c r="B5" s="46" t="s">
        <v>237</v>
      </c>
      <c r="D5" s="45" t="s">
        <v>2</v>
      </c>
      <c r="E5" s="21">
        <v>7.6</v>
      </c>
      <c r="F5" s="21" t="s">
        <v>29</v>
      </c>
      <c r="G5" s="506" t="s">
        <v>1173</v>
      </c>
      <c r="K5" s="507" t="s">
        <v>1174</v>
      </c>
    </row>
    <row r="6" spans="1:17">
      <c r="A6" s="51">
        <f>A5+1</f>
        <v>2</v>
      </c>
      <c r="B6" s="46" t="s">
        <v>21</v>
      </c>
      <c r="D6" s="45" t="s">
        <v>2</v>
      </c>
      <c r="E6" s="21">
        <f>E5+1.2</f>
        <v>8.7999999999999989</v>
      </c>
      <c r="F6" s="21" t="s">
        <v>29</v>
      </c>
    </row>
    <row r="7" spans="1:17">
      <c r="A7" s="51">
        <f>A6+1</f>
        <v>3</v>
      </c>
      <c r="B7" s="44" t="s">
        <v>22</v>
      </c>
      <c r="D7" s="45" t="s">
        <v>2</v>
      </c>
      <c r="E7" s="21">
        <v>8.4</v>
      </c>
      <c r="F7" s="21" t="s">
        <v>29</v>
      </c>
      <c r="H7" s="508" t="s">
        <v>1175</v>
      </c>
    </row>
    <row r="8" spans="1:17">
      <c r="A8" s="51">
        <f t="shared" ref="A8:A17" si="0">A7+1</f>
        <v>4</v>
      </c>
      <c r="B8" s="44" t="s">
        <v>23</v>
      </c>
      <c r="D8" s="45" t="s">
        <v>2</v>
      </c>
      <c r="E8" s="157">
        <f>HYDRAULICS!F4</f>
        <v>100.6</v>
      </c>
      <c r="F8" s="21" t="s">
        <v>29</v>
      </c>
    </row>
    <row r="9" spans="1:17">
      <c r="A9" s="51">
        <f t="shared" si="0"/>
        <v>5</v>
      </c>
      <c r="B9" s="44" t="s">
        <v>24</v>
      </c>
      <c r="D9" s="45"/>
      <c r="E9" s="21"/>
      <c r="F9" s="21"/>
    </row>
    <row r="10" spans="1:17">
      <c r="A10" s="51">
        <f t="shared" si="0"/>
        <v>6</v>
      </c>
      <c r="B10" s="44"/>
      <c r="C10" s="47" t="s">
        <v>25</v>
      </c>
      <c r="D10" s="45" t="s">
        <v>2</v>
      </c>
      <c r="E10" s="21">
        <v>100</v>
      </c>
      <c r="F10" s="45" t="s">
        <v>27</v>
      </c>
    </row>
    <row r="11" spans="1:17">
      <c r="A11" s="51">
        <f t="shared" si="0"/>
        <v>7</v>
      </c>
      <c r="B11" s="44"/>
      <c r="C11" s="47" t="s">
        <v>26</v>
      </c>
      <c r="D11" s="45" t="s">
        <v>2</v>
      </c>
      <c r="E11" s="21">
        <v>100</v>
      </c>
      <c r="F11" s="45" t="s">
        <v>27</v>
      </c>
    </row>
    <row r="12" spans="1:17" ht="38.25">
      <c r="A12" s="51">
        <f t="shared" si="0"/>
        <v>8</v>
      </c>
      <c r="B12" s="44" t="s">
        <v>79</v>
      </c>
      <c r="D12" s="21"/>
      <c r="E12" s="21"/>
      <c r="F12" s="21"/>
    </row>
    <row r="13" spans="1:17">
      <c r="A13" s="51">
        <f t="shared" si="0"/>
        <v>9</v>
      </c>
      <c r="B13" s="44" t="s">
        <v>30</v>
      </c>
      <c r="D13" s="45" t="s">
        <v>2</v>
      </c>
      <c r="E13" s="38">
        <f>HYDRAULICS!C35</f>
        <v>899.92993446940216</v>
      </c>
      <c r="F13" s="38" t="s">
        <v>33</v>
      </c>
    </row>
    <row r="14" spans="1:17">
      <c r="A14" s="51">
        <f t="shared" si="0"/>
        <v>10</v>
      </c>
      <c r="B14" s="44" t="s">
        <v>31</v>
      </c>
      <c r="D14" s="45" t="s">
        <v>2</v>
      </c>
      <c r="E14" s="147">
        <v>1</v>
      </c>
      <c r="F14" s="21" t="s">
        <v>32</v>
      </c>
      <c r="G14" s="148">
        <f>HYDRAULICS!C33</f>
        <v>960</v>
      </c>
    </row>
    <row r="15" spans="1:17">
      <c r="A15" s="51">
        <f t="shared" si="0"/>
        <v>11</v>
      </c>
      <c r="B15" s="44" t="s">
        <v>28</v>
      </c>
      <c r="D15" s="45" t="s">
        <v>2</v>
      </c>
      <c r="E15" s="157">
        <f>HYDRAULICS!C34</f>
        <v>1.8354679471127884</v>
      </c>
      <c r="F15" s="21" t="s">
        <v>50</v>
      </c>
    </row>
    <row r="16" spans="1:17" ht="25.5">
      <c r="A16" s="51">
        <f t="shared" si="0"/>
        <v>12</v>
      </c>
      <c r="B16" s="44" t="s">
        <v>260</v>
      </c>
      <c r="D16" s="45" t="s">
        <v>2</v>
      </c>
      <c r="E16" s="212">
        <f>HYDRAULICS!E43</f>
        <v>96.469999999999985</v>
      </c>
      <c r="F16" s="21" t="s">
        <v>29</v>
      </c>
      <c r="G16" s="212"/>
    </row>
    <row r="17" spans="1:36" ht="20.25" customHeight="1">
      <c r="A17" s="51">
        <f t="shared" si="0"/>
        <v>13</v>
      </c>
      <c r="B17" s="230" t="s">
        <v>470</v>
      </c>
      <c r="D17" s="45" t="s">
        <v>2</v>
      </c>
      <c r="E17" s="215">
        <v>20</v>
      </c>
      <c r="F17" s="215" t="s">
        <v>457</v>
      </c>
      <c r="G17" s="216">
        <f>E17*10</f>
        <v>200</v>
      </c>
      <c r="H17" s="42" t="s">
        <v>108</v>
      </c>
    </row>
    <row r="18" spans="1:36">
      <c r="A18" s="51">
        <f t="shared" ref="A18:A23" si="1">A17+1</f>
        <v>14</v>
      </c>
      <c r="B18" s="44" t="s">
        <v>238</v>
      </c>
      <c r="D18" s="45" t="s">
        <v>2</v>
      </c>
      <c r="E18" s="21">
        <f>HYDRAULICS!E45</f>
        <v>93.469999999999985</v>
      </c>
      <c r="F18" s="21" t="s">
        <v>29</v>
      </c>
    </row>
    <row r="19" spans="1:36" ht="25.5">
      <c r="A19" s="51">
        <f t="shared" si="1"/>
        <v>15</v>
      </c>
      <c r="B19" s="44" t="s">
        <v>51</v>
      </c>
      <c r="D19" s="45" t="s">
        <v>2</v>
      </c>
      <c r="E19" s="21">
        <v>1.5</v>
      </c>
      <c r="F19" s="21" t="s">
        <v>29</v>
      </c>
      <c r="G19" s="509" t="s">
        <v>1176</v>
      </c>
    </row>
    <row r="20" spans="1:36" ht="25.5">
      <c r="A20" s="51">
        <f t="shared" si="1"/>
        <v>16</v>
      </c>
      <c r="B20" s="44" t="s">
        <v>80</v>
      </c>
      <c r="D20" s="45" t="s">
        <v>2</v>
      </c>
      <c r="E20" s="237">
        <f>E18-E19</f>
        <v>91.969999999999985</v>
      </c>
      <c r="F20" s="21" t="s">
        <v>29</v>
      </c>
    </row>
    <row r="21" spans="1:36">
      <c r="A21" s="51">
        <f t="shared" si="1"/>
        <v>17</v>
      </c>
      <c r="B21" s="44" t="s">
        <v>184</v>
      </c>
      <c r="D21" s="45" t="s">
        <v>2</v>
      </c>
      <c r="E21" s="158">
        <f>'afflux calculation'!B50</f>
        <v>101.6</v>
      </c>
      <c r="F21" s="21" t="s">
        <v>29</v>
      </c>
    </row>
    <row r="22" spans="1:36">
      <c r="A22" s="51">
        <f t="shared" si="1"/>
        <v>18</v>
      </c>
      <c r="B22" s="44" t="s">
        <v>52</v>
      </c>
      <c r="D22" s="45" t="s">
        <v>2</v>
      </c>
      <c r="E22" s="101">
        <f>E21-H27-H28</f>
        <v>100.77499999999999</v>
      </c>
      <c r="F22" s="21" t="s">
        <v>29</v>
      </c>
    </row>
    <row r="23" spans="1:36" ht="25.5">
      <c r="A23" s="51">
        <f t="shared" si="1"/>
        <v>19</v>
      </c>
      <c r="B23" s="44" t="s">
        <v>53</v>
      </c>
      <c r="D23" s="45" t="s">
        <v>2</v>
      </c>
      <c r="E23" s="21">
        <f>E22-E20</f>
        <v>8.8050000000000068</v>
      </c>
      <c r="F23" s="21" t="s">
        <v>29</v>
      </c>
    </row>
    <row r="24" spans="1:36">
      <c r="A24" s="11" t="str">
        <f>CONCATENATE("CHECKING STABILITY OF PIER AT R.L.",E20," ",F20, "  FOOTING LEVEL")</f>
        <v>CHECKING STABILITY OF PIER AT R.L.91.97 M  FOOTING LEVEL</v>
      </c>
      <c r="D24" s="21"/>
      <c r="E24" s="21"/>
      <c r="F24" s="21"/>
    </row>
    <row r="25" spans="1:36" s="38" customFormat="1">
      <c r="A25" s="11" t="s">
        <v>42</v>
      </c>
      <c r="B25" s="50" t="s">
        <v>54</v>
      </c>
      <c r="D25" s="42"/>
      <c r="E25" s="42"/>
      <c r="F25" s="42"/>
      <c r="P25" s="160"/>
      <c r="Q25" s="40"/>
    </row>
    <row r="26" spans="1:36">
      <c r="B26" s="44" t="s">
        <v>55</v>
      </c>
      <c r="D26" s="21"/>
      <c r="E26" s="21"/>
      <c r="F26" s="21"/>
      <c r="H26" s="509" t="s">
        <v>1177</v>
      </c>
    </row>
    <row r="27" spans="1:36">
      <c r="B27" s="47" t="s">
        <v>185</v>
      </c>
      <c r="C27" s="9" t="s">
        <v>2</v>
      </c>
      <c r="D27" s="16">
        <f>E6</f>
        <v>8.7999999999999989</v>
      </c>
      <c r="E27" s="9" t="s">
        <v>3</v>
      </c>
      <c r="F27" s="2">
        <v>8.4</v>
      </c>
      <c r="G27" s="9" t="s">
        <v>3</v>
      </c>
      <c r="H27" s="2">
        <v>0.75</v>
      </c>
      <c r="I27" s="9" t="s">
        <v>3</v>
      </c>
      <c r="J27" s="2">
        <v>24</v>
      </c>
      <c r="K27" s="9" t="s">
        <v>2</v>
      </c>
      <c r="L27" s="2">
        <f>D27*F27*H27*J27</f>
        <v>1330.5599999999997</v>
      </c>
      <c r="M27" s="2" t="s">
        <v>10</v>
      </c>
      <c r="N27" s="10"/>
      <c r="O27" s="10"/>
      <c r="R27" s="10"/>
      <c r="S27" s="10"/>
      <c r="T27" s="10"/>
      <c r="U27" s="10"/>
      <c r="V27" s="10"/>
      <c r="W27" s="10"/>
      <c r="X27" s="10"/>
      <c r="Y27" s="10"/>
      <c r="Z27" s="10"/>
      <c r="AA27" s="10"/>
      <c r="AB27" s="10"/>
      <c r="AC27" s="10"/>
      <c r="AD27" s="10"/>
      <c r="AE27" s="10"/>
      <c r="AF27" s="10"/>
      <c r="AG27" s="10"/>
      <c r="AH27" s="10"/>
      <c r="AI27" s="10"/>
      <c r="AJ27" s="10"/>
    </row>
    <row r="28" spans="1:36">
      <c r="B28" s="47" t="s">
        <v>186</v>
      </c>
      <c r="C28" s="9" t="s">
        <v>2</v>
      </c>
      <c r="D28" s="2">
        <f>D27</f>
        <v>8.7999999999999989</v>
      </c>
      <c r="E28" s="9" t="s">
        <v>3</v>
      </c>
      <c r="F28" s="2">
        <v>8.4</v>
      </c>
      <c r="G28" s="9" t="s">
        <v>3</v>
      </c>
      <c r="H28" s="8">
        <v>7.4999999999999997E-2</v>
      </c>
      <c r="I28" s="9" t="s">
        <v>3</v>
      </c>
      <c r="J28" s="2">
        <v>24</v>
      </c>
      <c r="K28" s="9" t="s">
        <v>2</v>
      </c>
      <c r="L28" s="2">
        <f>D28*F28*H28*J28</f>
        <v>133.05599999999998</v>
      </c>
      <c r="M28" s="2" t="s">
        <v>10</v>
      </c>
      <c r="N28" s="10"/>
      <c r="O28" s="10"/>
      <c r="R28" s="10"/>
      <c r="S28" s="10"/>
      <c r="T28" s="10"/>
      <c r="U28" s="10"/>
      <c r="V28" s="10"/>
      <c r="W28" s="10"/>
      <c r="X28" s="10"/>
      <c r="Y28" s="10"/>
      <c r="Z28" s="10"/>
      <c r="AA28" s="10"/>
      <c r="AB28" s="10"/>
      <c r="AC28" s="10"/>
      <c r="AD28" s="10"/>
      <c r="AE28" s="10"/>
      <c r="AF28" s="10"/>
      <c r="AG28" s="10"/>
      <c r="AH28" s="10"/>
      <c r="AI28" s="10"/>
      <c r="AJ28" s="10"/>
    </row>
    <row r="29" spans="1:36">
      <c r="B29" s="47" t="s">
        <v>41</v>
      </c>
      <c r="C29" s="9"/>
      <c r="E29" s="9"/>
      <c r="G29" s="9"/>
      <c r="I29" s="9"/>
      <c r="J29" s="5"/>
      <c r="K29" s="9"/>
      <c r="L29" s="39">
        <f>SUM(L27:L28)</f>
        <v>1463.6159999999998</v>
      </c>
      <c r="M29" s="39" t="s">
        <v>10</v>
      </c>
      <c r="N29" s="10"/>
      <c r="O29" s="10"/>
      <c r="R29" s="10"/>
      <c r="S29" s="10"/>
      <c r="T29" s="10"/>
      <c r="U29" s="10"/>
      <c r="V29" s="10"/>
      <c r="W29" s="10"/>
      <c r="X29" s="10"/>
      <c r="Y29" s="10"/>
      <c r="Z29" s="10"/>
      <c r="AA29" s="10"/>
      <c r="AB29" s="10"/>
      <c r="AC29" s="10"/>
      <c r="AD29" s="10"/>
      <c r="AE29" s="10"/>
      <c r="AF29" s="10"/>
      <c r="AG29" s="10"/>
      <c r="AH29" s="10"/>
      <c r="AI29" s="10"/>
      <c r="AJ29" s="10"/>
    </row>
    <row r="30" spans="1:36">
      <c r="B30" s="44" t="s">
        <v>56</v>
      </c>
      <c r="D30" s="21"/>
      <c r="E30" s="21"/>
      <c r="F30" s="21"/>
    </row>
    <row r="31" spans="1:36">
      <c r="B31" s="43" t="s">
        <v>57</v>
      </c>
      <c r="D31" s="21"/>
      <c r="E31" s="21"/>
      <c r="F31" s="21"/>
    </row>
    <row r="32" spans="1:36">
      <c r="B32" s="47" t="s">
        <v>57</v>
      </c>
      <c r="C32" s="9" t="s">
        <v>2</v>
      </c>
      <c r="D32" s="2">
        <v>1.5</v>
      </c>
      <c r="E32" s="9" t="s">
        <v>3</v>
      </c>
      <c r="F32" s="2">
        <v>8.4</v>
      </c>
      <c r="G32" s="9" t="s">
        <v>3</v>
      </c>
      <c r="H32" s="2">
        <v>0.6</v>
      </c>
      <c r="I32" s="9" t="s">
        <v>3</v>
      </c>
      <c r="J32" s="2">
        <v>24</v>
      </c>
      <c r="O32" s="9" t="s">
        <v>2</v>
      </c>
      <c r="P32" s="159">
        <f>J32*H32*F32*D32</f>
        <v>181.44</v>
      </c>
      <c r="Q32" s="10" t="s">
        <v>10</v>
      </c>
      <c r="T32" s="10"/>
      <c r="U32" s="10"/>
      <c r="V32" s="10"/>
      <c r="W32" s="10"/>
      <c r="X32" s="10"/>
      <c r="Y32" s="10"/>
      <c r="Z32" s="10"/>
      <c r="AA32" s="10"/>
      <c r="AB32" s="10"/>
      <c r="AC32" s="10"/>
      <c r="AD32" s="10"/>
      <c r="AE32" s="10"/>
      <c r="AF32" s="10"/>
      <c r="AG32" s="10"/>
      <c r="AH32" s="10"/>
      <c r="AI32" s="10"/>
      <c r="AJ32" s="10"/>
    </row>
    <row r="33" spans="2:36">
      <c r="B33" s="47" t="s">
        <v>81</v>
      </c>
      <c r="C33" s="9" t="s">
        <v>2</v>
      </c>
      <c r="D33" s="2">
        <v>0.5</v>
      </c>
      <c r="E33" s="9" t="s">
        <v>3</v>
      </c>
      <c r="F33" s="2">
        <v>0.15</v>
      </c>
      <c r="G33" s="9" t="s">
        <v>3</v>
      </c>
      <c r="H33" s="2">
        <v>0.6</v>
      </c>
      <c r="I33" s="9" t="s">
        <v>3</v>
      </c>
      <c r="J33" s="2">
        <f>F32</f>
        <v>8.4</v>
      </c>
      <c r="K33" s="9" t="s">
        <v>3</v>
      </c>
      <c r="L33" s="5">
        <v>2</v>
      </c>
      <c r="M33" s="9" t="s">
        <v>3</v>
      </c>
      <c r="N33" s="2">
        <v>24</v>
      </c>
      <c r="O33" s="9" t="s">
        <v>2</v>
      </c>
      <c r="P33" s="159">
        <f>D33*F33*H33*J33*L33*N33</f>
        <v>18.143999999999998</v>
      </c>
      <c r="Q33" s="10" t="s">
        <v>10</v>
      </c>
      <c r="T33" s="10"/>
      <c r="U33" s="10"/>
      <c r="V33" s="10"/>
      <c r="W33" s="10"/>
      <c r="X33" s="10"/>
      <c r="Y33" s="10"/>
      <c r="Z33" s="10"/>
      <c r="AA33" s="10"/>
      <c r="AB33" s="10"/>
      <c r="AC33" s="10"/>
      <c r="AD33" s="10"/>
      <c r="AE33" s="10"/>
      <c r="AF33" s="10"/>
      <c r="AG33" s="10"/>
      <c r="AH33" s="10"/>
      <c r="AI33" s="10"/>
      <c r="AJ33" s="10"/>
    </row>
    <row r="34" spans="2:36">
      <c r="B34" s="47"/>
      <c r="C34" s="9" t="s">
        <v>2</v>
      </c>
      <c r="D34" s="2">
        <v>0.5</v>
      </c>
      <c r="E34" s="9" t="s">
        <v>3</v>
      </c>
      <c r="F34" s="2">
        <f>F33</f>
        <v>0.15</v>
      </c>
      <c r="G34" s="9" t="s">
        <v>3</v>
      </c>
      <c r="H34" s="2">
        <v>0.6</v>
      </c>
      <c r="I34" s="9" t="s">
        <v>3</v>
      </c>
      <c r="J34" s="2">
        <v>3.14</v>
      </c>
      <c r="K34" s="9" t="s">
        <v>3</v>
      </c>
      <c r="L34" s="5">
        <v>1.2</v>
      </c>
      <c r="M34" s="9" t="s">
        <v>3</v>
      </c>
      <c r="N34" s="2">
        <v>24</v>
      </c>
      <c r="O34" s="9" t="s">
        <v>2</v>
      </c>
      <c r="P34" s="159">
        <f>D34*F34*H34*J34*L34*N34</f>
        <v>4.0694400000000002</v>
      </c>
      <c r="Q34" s="10" t="s">
        <v>10</v>
      </c>
      <c r="T34" s="10"/>
      <c r="U34" s="10"/>
      <c r="V34" s="10"/>
      <c r="W34" s="10"/>
      <c r="X34" s="10"/>
      <c r="Y34" s="10"/>
      <c r="Z34" s="10"/>
      <c r="AA34" s="10"/>
      <c r="AB34" s="10"/>
      <c r="AC34" s="10"/>
      <c r="AD34" s="10"/>
      <c r="AE34" s="10"/>
      <c r="AF34" s="10"/>
      <c r="AG34" s="10"/>
      <c r="AH34" s="10"/>
      <c r="AI34" s="10"/>
      <c r="AJ34" s="10"/>
    </row>
    <row r="35" spans="2:36">
      <c r="B35" s="47" t="s">
        <v>82</v>
      </c>
      <c r="C35" s="9" t="s">
        <v>2</v>
      </c>
      <c r="D35" s="2">
        <v>0.6</v>
      </c>
      <c r="E35" s="9" t="s">
        <v>3</v>
      </c>
      <c r="F35" s="2">
        <v>0.6</v>
      </c>
      <c r="G35" s="9" t="s">
        <v>3</v>
      </c>
      <c r="H35" s="2">
        <v>1.5</v>
      </c>
      <c r="I35" s="9" t="s">
        <v>3</v>
      </c>
      <c r="J35" s="2">
        <v>24</v>
      </c>
      <c r="O35" s="9" t="s">
        <v>2</v>
      </c>
      <c r="P35" s="159">
        <f>J35*H35*F35*D35</f>
        <v>12.959999999999999</v>
      </c>
      <c r="Q35" s="10" t="s">
        <v>10</v>
      </c>
      <c r="T35" s="10"/>
      <c r="U35" s="10"/>
      <c r="V35" s="10"/>
      <c r="W35" s="10"/>
      <c r="X35" s="10"/>
      <c r="Y35" s="10"/>
      <c r="Z35" s="10"/>
      <c r="AA35" s="10"/>
      <c r="AB35" s="10"/>
      <c r="AC35" s="10"/>
      <c r="AD35" s="10"/>
      <c r="AE35" s="10"/>
      <c r="AF35" s="10"/>
      <c r="AG35" s="10"/>
      <c r="AH35" s="10"/>
      <c r="AI35" s="10"/>
      <c r="AJ35" s="10"/>
    </row>
    <row r="36" spans="2:36">
      <c r="B36" s="47"/>
      <c r="C36" s="9" t="s">
        <v>2</v>
      </c>
      <c r="D36" s="2">
        <v>3.14</v>
      </c>
      <c r="E36" s="9" t="s">
        <v>8</v>
      </c>
      <c r="F36" s="2">
        <v>4</v>
      </c>
      <c r="G36" s="9" t="s">
        <v>3</v>
      </c>
      <c r="H36" s="2">
        <v>1.2</v>
      </c>
      <c r="I36" s="9" t="s">
        <v>3</v>
      </c>
      <c r="J36" s="2">
        <v>1.2</v>
      </c>
      <c r="K36" s="9" t="s">
        <v>3</v>
      </c>
      <c r="L36" s="5">
        <v>0.6</v>
      </c>
      <c r="M36" s="9" t="s">
        <v>3</v>
      </c>
      <c r="N36" s="2">
        <v>24</v>
      </c>
      <c r="O36" s="9" t="s">
        <v>2</v>
      </c>
      <c r="P36" s="159">
        <f>D36/F36*H36*J36*L36*N36</f>
        <v>16.277759999999997</v>
      </c>
      <c r="Q36" s="10" t="s">
        <v>10</v>
      </c>
      <c r="T36" s="10"/>
      <c r="U36" s="10"/>
      <c r="V36" s="10"/>
      <c r="W36" s="10"/>
      <c r="X36" s="10"/>
      <c r="Y36" s="10"/>
      <c r="Z36" s="10"/>
      <c r="AA36" s="10"/>
      <c r="AB36" s="10"/>
      <c r="AC36" s="10"/>
      <c r="AD36" s="10"/>
      <c r="AE36" s="10"/>
      <c r="AF36" s="10"/>
      <c r="AG36" s="10"/>
      <c r="AH36" s="10"/>
      <c r="AI36" s="10"/>
      <c r="AJ36" s="10"/>
    </row>
    <row r="37" spans="2:36">
      <c r="B37" s="47" t="s">
        <v>41</v>
      </c>
      <c r="C37" s="9"/>
      <c r="E37" s="9"/>
      <c r="G37" s="9"/>
      <c r="I37" s="9"/>
      <c r="J37" s="5"/>
      <c r="K37" s="9"/>
      <c r="N37" s="10"/>
      <c r="O37" s="10"/>
      <c r="P37" s="160">
        <f>SUM(P32:P36)</f>
        <v>232.8912</v>
      </c>
      <c r="Q37" s="40" t="s">
        <v>10</v>
      </c>
      <c r="T37" s="10"/>
      <c r="U37" s="10"/>
      <c r="V37" s="10"/>
      <c r="W37" s="10"/>
      <c r="X37" s="10"/>
      <c r="Y37" s="10"/>
      <c r="Z37" s="10"/>
      <c r="AA37" s="10"/>
      <c r="AB37" s="10"/>
      <c r="AC37" s="10"/>
      <c r="AD37" s="10"/>
      <c r="AE37" s="10"/>
      <c r="AF37" s="10"/>
      <c r="AG37" s="10"/>
      <c r="AH37" s="10"/>
      <c r="AI37" s="10"/>
      <c r="AJ37" s="10"/>
    </row>
    <row r="38" spans="2:36">
      <c r="B38" s="43" t="s">
        <v>116</v>
      </c>
      <c r="D38" s="21"/>
      <c r="E38" s="21"/>
      <c r="F38" s="21"/>
    </row>
    <row r="39" spans="2:36">
      <c r="B39" s="47" t="s">
        <v>84</v>
      </c>
      <c r="C39" s="9" t="s">
        <v>2</v>
      </c>
      <c r="D39" s="38">
        <v>0.5</v>
      </c>
      <c r="E39" s="9" t="s">
        <v>3</v>
      </c>
      <c r="F39" s="2">
        <f>F33</f>
        <v>0.15</v>
      </c>
      <c r="G39" s="9" t="s">
        <v>3</v>
      </c>
      <c r="H39" s="2">
        <v>0.6</v>
      </c>
      <c r="I39" s="9" t="s">
        <v>3</v>
      </c>
      <c r="J39" s="2">
        <f>F32</f>
        <v>8.4</v>
      </c>
      <c r="K39" s="9" t="s">
        <v>3</v>
      </c>
      <c r="L39" s="73">
        <v>2</v>
      </c>
      <c r="M39" s="9" t="s">
        <v>3</v>
      </c>
      <c r="N39" s="2">
        <v>24</v>
      </c>
      <c r="O39" s="9" t="s">
        <v>2</v>
      </c>
      <c r="P39" s="159">
        <f>D39*F39*H39*J39*L39*N39</f>
        <v>18.143999999999998</v>
      </c>
      <c r="Q39" s="10" t="s">
        <v>10</v>
      </c>
      <c r="T39" s="10"/>
      <c r="U39" s="10"/>
      <c r="V39" s="10"/>
      <c r="W39" s="10"/>
      <c r="X39" s="10"/>
      <c r="Y39" s="10"/>
      <c r="Z39" s="10"/>
      <c r="AA39" s="10"/>
      <c r="AB39" s="10"/>
      <c r="AC39" s="10"/>
      <c r="AD39" s="10"/>
      <c r="AE39" s="10"/>
      <c r="AF39" s="10"/>
      <c r="AG39" s="10"/>
      <c r="AH39" s="10"/>
      <c r="AI39" s="10"/>
      <c r="AJ39" s="10"/>
    </row>
    <row r="40" spans="2:36">
      <c r="B40" s="47"/>
      <c r="C40" s="9" t="s">
        <v>2</v>
      </c>
      <c r="D40" s="38">
        <v>0.5</v>
      </c>
      <c r="E40" s="9" t="s">
        <v>3</v>
      </c>
      <c r="F40" s="2">
        <f>F34</f>
        <v>0.15</v>
      </c>
      <c r="G40" s="9" t="s">
        <v>3</v>
      </c>
      <c r="H40" s="2">
        <v>0.6</v>
      </c>
      <c r="I40" s="9" t="s">
        <v>3</v>
      </c>
      <c r="J40" s="38">
        <v>3.14</v>
      </c>
      <c r="K40" s="9" t="s">
        <v>3</v>
      </c>
      <c r="L40" s="5">
        <f>L34</f>
        <v>1.2</v>
      </c>
      <c r="M40" s="9" t="s">
        <v>3</v>
      </c>
      <c r="N40" s="2">
        <v>24</v>
      </c>
      <c r="O40" s="9" t="s">
        <v>2</v>
      </c>
      <c r="P40" s="159">
        <f>D40*F40*H40*J40*L40*N40</f>
        <v>4.0694400000000002</v>
      </c>
      <c r="Q40" s="10" t="s">
        <v>10</v>
      </c>
      <c r="T40" s="10"/>
      <c r="U40" s="10"/>
      <c r="V40" s="10"/>
      <c r="W40" s="10"/>
      <c r="X40" s="10"/>
      <c r="Y40" s="10"/>
      <c r="Z40" s="10"/>
      <c r="AA40" s="10"/>
      <c r="AB40" s="10"/>
      <c r="AC40" s="10"/>
      <c r="AD40" s="10"/>
      <c r="AE40" s="10"/>
      <c r="AF40" s="10"/>
      <c r="AG40" s="10"/>
      <c r="AH40" s="10"/>
      <c r="AI40" s="10"/>
      <c r="AJ40" s="10"/>
    </row>
    <row r="41" spans="2:36">
      <c r="B41" s="47" t="s">
        <v>60</v>
      </c>
      <c r="C41" s="9" t="s">
        <v>2</v>
      </c>
      <c r="D41" s="2">
        <v>1.2</v>
      </c>
      <c r="E41" s="9" t="s">
        <v>3</v>
      </c>
      <c r="F41" s="110">
        <v>7.5</v>
      </c>
      <c r="G41" s="9" t="s">
        <v>3</v>
      </c>
      <c r="H41" s="2">
        <f>E23-1.2-0.6-1.05</f>
        <v>5.9550000000000072</v>
      </c>
      <c r="I41" s="9" t="s">
        <v>3</v>
      </c>
      <c r="J41" s="2">
        <v>24</v>
      </c>
      <c r="O41" s="9" t="s">
        <v>2</v>
      </c>
      <c r="P41" s="159">
        <f>J41*H41*F41*D41</f>
        <v>1286.2800000000018</v>
      </c>
      <c r="Q41" s="10" t="s">
        <v>10</v>
      </c>
      <c r="T41" s="10"/>
      <c r="U41" s="10"/>
      <c r="V41" s="10"/>
      <c r="W41" s="10"/>
      <c r="X41" s="10"/>
      <c r="Y41" s="10"/>
      <c r="Z41" s="10"/>
      <c r="AA41" s="10"/>
      <c r="AB41" s="10"/>
      <c r="AC41" s="10"/>
      <c r="AD41" s="10"/>
      <c r="AE41" s="10"/>
      <c r="AF41" s="10"/>
      <c r="AG41" s="10"/>
      <c r="AH41" s="10"/>
      <c r="AI41" s="10"/>
      <c r="AJ41" s="10"/>
    </row>
    <row r="42" spans="2:36">
      <c r="B42" s="47" t="s">
        <v>58</v>
      </c>
      <c r="C42" s="9" t="s">
        <v>2</v>
      </c>
      <c r="D42" s="38">
        <v>3.14</v>
      </c>
      <c r="E42" s="9" t="s">
        <v>8</v>
      </c>
      <c r="F42" s="3">
        <v>4</v>
      </c>
      <c r="G42" s="9" t="s">
        <v>3</v>
      </c>
      <c r="H42" s="2">
        <f>D41</f>
        <v>1.2</v>
      </c>
      <c r="I42" s="9" t="s">
        <v>3</v>
      </c>
      <c r="J42" s="2">
        <f>D41</f>
        <v>1.2</v>
      </c>
      <c r="K42" s="9" t="s">
        <v>3</v>
      </c>
      <c r="L42" s="5">
        <f>H41</f>
        <v>5.9550000000000072</v>
      </c>
      <c r="M42" s="9" t="s">
        <v>3</v>
      </c>
      <c r="N42" s="2">
        <v>24</v>
      </c>
      <c r="O42" s="9" t="s">
        <v>2</v>
      </c>
      <c r="P42" s="159">
        <f>D42/F42*H42*J42*L42*N42</f>
        <v>161.55676800000018</v>
      </c>
      <c r="Q42" s="10" t="s">
        <v>10</v>
      </c>
      <c r="T42" s="10"/>
      <c r="U42" s="10"/>
      <c r="V42" s="10"/>
      <c r="W42" s="10"/>
      <c r="X42" s="10"/>
      <c r="Y42" s="10"/>
      <c r="Z42" s="10"/>
      <c r="AA42" s="10"/>
      <c r="AB42" s="10"/>
      <c r="AC42" s="10"/>
      <c r="AD42" s="10"/>
      <c r="AE42" s="10"/>
      <c r="AF42" s="10"/>
      <c r="AG42" s="10"/>
      <c r="AH42" s="10"/>
      <c r="AI42" s="10"/>
      <c r="AJ42" s="10"/>
    </row>
    <row r="43" spans="2:36" hidden="1">
      <c r="B43" s="47" t="s">
        <v>83</v>
      </c>
      <c r="C43" s="9" t="s">
        <v>2</v>
      </c>
      <c r="D43" s="2">
        <v>0.5</v>
      </c>
      <c r="E43" s="9" t="s">
        <v>3</v>
      </c>
      <c r="F43" s="2">
        <v>0.3</v>
      </c>
      <c r="G43" s="9" t="s">
        <v>3</v>
      </c>
      <c r="H43" s="2">
        <v>0.6</v>
      </c>
      <c r="I43" s="9" t="s">
        <v>3</v>
      </c>
      <c r="J43" s="2">
        <v>3.14</v>
      </c>
      <c r="K43" s="9" t="s">
        <v>3</v>
      </c>
      <c r="L43" s="5">
        <v>0.8</v>
      </c>
      <c r="M43" s="9" t="s">
        <v>3</v>
      </c>
      <c r="N43" s="2">
        <v>24</v>
      </c>
      <c r="O43" s="9" t="s">
        <v>2</v>
      </c>
      <c r="P43" s="159">
        <f>D43*F43*H43*J43*L43*N43</f>
        <v>5.4259200000000005</v>
      </c>
      <c r="Q43" s="10" t="s">
        <v>10</v>
      </c>
      <c r="T43" s="10"/>
      <c r="U43" s="10"/>
      <c r="V43" s="10"/>
      <c r="W43" s="10"/>
      <c r="X43" s="10"/>
      <c r="Y43" s="10"/>
      <c r="Z43" s="10"/>
      <c r="AA43" s="10"/>
      <c r="AB43" s="10"/>
      <c r="AC43" s="10"/>
      <c r="AD43" s="10"/>
      <c r="AE43" s="10"/>
      <c r="AF43" s="10"/>
      <c r="AG43" s="10"/>
      <c r="AH43" s="10"/>
      <c r="AI43" s="10"/>
      <c r="AJ43" s="10"/>
    </row>
    <row r="44" spans="2:36">
      <c r="B44" s="47" t="s">
        <v>85</v>
      </c>
      <c r="C44" s="9" t="s">
        <v>2</v>
      </c>
      <c r="D44" s="2">
        <v>0.5</v>
      </c>
      <c r="E44" s="9" t="s">
        <v>3</v>
      </c>
      <c r="F44" s="2">
        <v>0.6</v>
      </c>
      <c r="G44" s="9" t="s">
        <v>3</v>
      </c>
      <c r="H44" s="2">
        <f>F43</f>
        <v>0.3</v>
      </c>
      <c r="I44" s="9" t="s">
        <v>3</v>
      </c>
      <c r="J44" s="2">
        <v>24</v>
      </c>
      <c r="O44" s="9" t="s">
        <v>2</v>
      </c>
      <c r="P44" s="159">
        <f>J44*H44*F44*D44</f>
        <v>2.1599999999999997</v>
      </c>
      <c r="Q44" s="10" t="s">
        <v>10</v>
      </c>
      <c r="T44" s="10"/>
      <c r="U44" s="10"/>
      <c r="V44" s="10"/>
      <c r="W44" s="10"/>
      <c r="X44" s="10"/>
      <c r="Y44" s="10"/>
      <c r="Z44" s="10"/>
      <c r="AA44" s="10"/>
      <c r="AB44" s="10"/>
      <c r="AC44" s="10"/>
      <c r="AD44" s="10"/>
      <c r="AE44" s="10"/>
      <c r="AF44" s="10"/>
      <c r="AG44" s="10"/>
      <c r="AH44" s="10"/>
      <c r="AI44" s="10"/>
      <c r="AJ44" s="10"/>
    </row>
    <row r="45" spans="2:36">
      <c r="B45" s="47"/>
      <c r="C45" s="9" t="s">
        <v>2</v>
      </c>
      <c r="D45" s="38">
        <v>3.14</v>
      </c>
      <c r="E45" s="9" t="s">
        <v>8</v>
      </c>
      <c r="F45" s="3">
        <v>4</v>
      </c>
      <c r="G45" s="9" t="s">
        <v>3</v>
      </c>
      <c r="H45" s="2">
        <v>1.2</v>
      </c>
      <c r="I45" s="9" t="s">
        <v>3</v>
      </c>
      <c r="J45" s="2">
        <v>1.2</v>
      </c>
      <c r="K45" s="9" t="s">
        <v>3</v>
      </c>
      <c r="L45" s="5">
        <v>0.6</v>
      </c>
      <c r="M45" s="9" t="s">
        <v>3</v>
      </c>
      <c r="N45" s="2">
        <v>24</v>
      </c>
      <c r="O45" s="9" t="s">
        <v>2</v>
      </c>
      <c r="P45" s="159">
        <f>D45/F45*H45*J45*L45*N45</f>
        <v>16.277759999999997</v>
      </c>
      <c r="Q45" s="10" t="s">
        <v>10</v>
      </c>
      <c r="T45" s="10"/>
      <c r="U45" s="10"/>
      <c r="V45" s="10"/>
      <c r="W45" s="10"/>
      <c r="X45" s="10"/>
      <c r="Y45" s="10"/>
      <c r="Z45" s="10"/>
      <c r="AA45" s="10"/>
      <c r="AB45" s="10"/>
      <c r="AC45" s="10"/>
      <c r="AD45" s="10"/>
      <c r="AE45" s="10"/>
      <c r="AF45" s="10"/>
      <c r="AG45" s="10"/>
      <c r="AH45" s="10"/>
      <c r="AI45" s="10"/>
      <c r="AJ45" s="10"/>
    </row>
    <row r="46" spans="2:36">
      <c r="B46" s="47" t="s">
        <v>41</v>
      </c>
      <c r="C46" s="9"/>
      <c r="E46" s="9"/>
      <c r="G46" s="9"/>
      <c r="I46" s="9"/>
      <c r="J46" s="5"/>
      <c r="K46" s="9"/>
      <c r="N46" s="10"/>
      <c r="O46" s="10"/>
      <c r="P46" s="160">
        <f>SUM(P39:P45)</f>
        <v>1493.9138880000019</v>
      </c>
      <c r="Q46" s="40" t="s">
        <v>10</v>
      </c>
      <c r="T46" s="10"/>
      <c r="U46" s="10"/>
      <c r="V46" s="10"/>
      <c r="W46" s="10"/>
      <c r="X46" s="10"/>
      <c r="Y46" s="10"/>
      <c r="Z46" s="10"/>
      <c r="AA46" s="10"/>
      <c r="AB46" s="10"/>
      <c r="AC46" s="10"/>
      <c r="AD46" s="10"/>
      <c r="AE46" s="10"/>
      <c r="AF46" s="10"/>
      <c r="AG46" s="10"/>
      <c r="AH46" s="10"/>
      <c r="AI46" s="10"/>
      <c r="AJ46" s="10"/>
    </row>
    <row r="47" spans="2:36">
      <c r="B47" s="47"/>
      <c r="C47" s="9"/>
      <c r="E47" s="9"/>
      <c r="G47" s="9"/>
      <c r="I47" s="9"/>
      <c r="J47" s="5"/>
      <c r="K47" s="9"/>
      <c r="N47" s="10"/>
      <c r="O47" s="10"/>
      <c r="P47" s="160"/>
      <c r="Q47" s="40"/>
      <c r="T47" s="10"/>
      <c r="U47" s="10"/>
      <c r="V47" s="10"/>
      <c r="W47" s="10"/>
      <c r="X47" s="10"/>
      <c r="Y47" s="10"/>
      <c r="Z47" s="10"/>
      <c r="AA47" s="10"/>
      <c r="AB47" s="10"/>
      <c r="AC47" s="10"/>
      <c r="AD47" s="10"/>
      <c r="AE47" s="10"/>
      <c r="AF47" s="10"/>
      <c r="AG47" s="10"/>
      <c r="AH47" s="10"/>
      <c r="AI47" s="10"/>
      <c r="AJ47" s="10"/>
    </row>
    <row r="48" spans="2:36">
      <c r="B48" s="47" t="s">
        <v>115</v>
      </c>
      <c r="C48" s="9" t="s">
        <v>2</v>
      </c>
      <c r="E48" s="9"/>
      <c r="F48" s="16"/>
      <c r="G48" s="9"/>
      <c r="H48" s="16"/>
      <c r="I48" s="9"/>
      <c r="J48" s="5"/>
      <c r="K48" s="9"/>
      <c r="M48" s="16"/>
      <c r="N48" s="10"/>
      <c r="O48" s="64"/>
      <c r="P48" s="160">
        <v>0</v>
      </c>
      <c r="Q48" s="40" t="s">
        <v>10</v>
      </c>
      <c r="T48" s="10"/>
      <c r="U48" s="10"/>
      <c r="V48" s="10"/>
      <c r="W48" s="10"/>
      <c r="X48" s="10"/>
      <c r="Y48" s="10"/>
      <c r="Z48" s="10"/>
      <c r="AA48" s="10"/>
      <c r="AB48" s="10"/>
      <c r="AC48" s="10"/>
      <c r="AD48" s="10"/>
      <c r="AE48" s="10"/>
      <c r="AF48" s="10"/>
      <c r="AG48" s="10"/>
      <c r="AH48" s="10"/>
      <c r="AI48" s="10"/>
      <c r="AJ48" s="10"/>
    </row>
    <row r="49" spans="1:36">
      <c r="B49" s="47" t="s">
        <v>114</v>
      </c>
      <c r="C49" s="9" t="s">
        <v>2</v>
      </c>
      <c r="D49" s="2">
        <f>P46</f>
        <v>1493.9138880000019</v>
      </c>
      <c r="E49" s="9" t="s">
        <v>16</v>
      </c>
      <c r="F49" s="2">
        <f>P48</f>
        <v>0</v>
      </c>
      <c r="G49" s="9"/>
      <c r="I49" s="9"/>
      <c r="J49" s="5"/>
      <c r="K49" s="9"/>
      <c r="N49" s="10"/>
      <c r="O49" s="64" t="s">
        <v>2</v>
      </c>
      <c r="P49" s="160">
        <f>P46-P48</f>
        <v>1493.9138880000019</v>
      </c>
      <c r="Q49" s="40" t="s">
        <v>10</v>
      </c>
      <c r="T49" s="10"/>
      <c r="U49" s="10"/>
      <c r="V49" s="10"/>
      <c r="W49" s="10"/>
      <c r="X49" s="10"/>
      <c r="Y49" s="10"/>
      <c r="Z49" s="10"/>
      <c r="AA49" s="10"/>
      <c r="AB49" s="10"/>
      <c r="AC49" s="10"/>
      <c r="AD49" s="10"/>
      <c r="AE49" s="10"/>
      <c r="AF49" s="10"/>
      <c r="AG49" s="10"/>
      <c r="AH49" s="10"/>
      <c r="AI49" s="10"/>
      <c r="AJ49" s="10"/>
    </row>
    <row r="50" spans="1:36">
      <c r="B50" s="47"/>
      <c r="C50" s="9"/>
      <c r="E50" s="9"/>
      <c r="G50" s="9"/>
      <c r="I50" s="9"/>
      <c r="J50" s="5"/>
      <c r="K50" s="9"/>
      <c r="N50" s="10"/>
      <c r="O50" s="64"/>
      <c r="P50" s="160"/>
      <c r="Q50" s="40"/>
      <c r="T50" s="10"/>
      <c r="U50" s="10"/>
      <c r="V50" s="10"/>
      <c r="W50" s="10"/>
      <c r="X50" s="10"/>
      <c r="Y50" s="10"/>
      <c r="Z50" s="10"/>
      <c r="AA50" s="10"/>
      <c r="AB50" s="10"/>
      <c r="AC50" s="10"/>
      <c r="AD50" s="10"/>
      <c r="AE50" s="10"/>
      <c r="AF50" s="10"/>
      <c r="AG50" s="10"/>
      <c r="AH50" s="10"/>
      <c r="AI50" s="10"/>
      <c r="AJ50" s="10"/>
    </row>
    <row r="51" spans="1:36">
      <c r="B51" s="47" t="s">
        <v>118</v>
      </c>
      <c r="C51" s="9" t="s">
        <v>2</v>
      </c>
      <c r="D51" s="2">
        <f>P48</f>
        <v>0</v>
      </c>
      <c r="E51" s="9" t="s">
        <v>117</v>
      </c>
      <c r="F51" s="2">
        <f>P49</f>
        <v>1493.9138880000019</v>
      </c>
      <c r="G51" s="9" t="s">
        <v>3</v>
      </c>
      <c r="H51" s="2">
        <v>22.5</v>
      </c>
      <c r="I51" s="9" t="s">
        <v>8</v>
      </c>
      <c r="J51" s="5">
        <v>24</v>
      </c>
      <c r="K51" s="9" t="s">
        <v>15</v>
      </c>
      <c r="L51" s="10"/>
      <c r="M51" s="64"/>
      <c r="N51" s="10"/>
      <c r="O51" s="64" t="s">
        <v>2</v>
      </c>
      <c r="P51" s="160">
        <f>P48+P49*2.25/2.4</f>
        <v>1400.5442700000019</v>
      </c>
      <c r="Q51" s="40" t="s">
        <v>10</v>
      </c>
      <c r="T51" s="10"/>
      <c r="U51" s="10"/>
      <c r="V51" s="10"/>
      <c r="W51" s="10"/>
      <c r="X51" s="10"/>
      <c r="Y51" s="10"/>
      <c r="Z51" s="10"/>
      <c r="AA51" s="10"/>
      <c r="AB51" s="10"/>
      <c r="AC51" s="10"/>
      <c r="AD51" s="10"/>
      <c r="AE51" s="10"/>
      <c r="AF51" s="10"/>
      <c r="AG51" s="10"/>
      <c r="AH51" s="10"/>
      <c r="AI51" s="10"/>
      <c r="AJ51" s="10"/>
    </row>
    <row r="52" spans="1:36">
      <c r="A52" s="381"/>
      <c r="B52" s="375" t="s">
        <v>59</v>
      </c>
      <c r="C52" s="379"/>
      <c r="D52" s="376" t="s">
        <v>61</v>
      </c>
      <c r="E52" s="376">
        <f>'STABILITY CHECK FOR PIER'!E7+2*(M63+M64+M65)</f>
        <v>12</v>
      </c>
      <c r="F52" s="377" t="s">
        <v>62</v>
      </c>
      <c r="G52" s="375">
        <f>'afflux calculation'!B62+2*(M63+M64+M66)</f>
        <v>3.8</v>
      </c>
      <c r="H52" s="377" t="s">
        <v>62</v>
      </c>
      <c r="I52" s="379"/>
      <c r="J52" s="375">
        <v>1</v>
      </c>
      <c r="K52" s="378" t="s">
        <v>29</v>
      </c>
      <c r="L52" s="722"/>
      <c r="M52" s="722"/>
      <c r="N52" s="379"/>
      <c r="O52" s="379"/>
      <c r="P52" s="380"/>
      <c r="Q52" s="379"/>
    </row>
    <row r="53" spans="1:36">
      <c r="B53" s="47" t="s">
        <v>86</v>
      </c>
      <c r="C53" s="9" t="s">
        <v>2</v>
      </c>
      <c r="D53" s="2">
        <f>E52</f>
        <v>12</v>
      </c>
      <c r="E53" s="9" t="s">
        <v>3</v>
      </c>
      <c r="F53" s="2">
        <f>G52</f>
        <v>3.8</v>
      </c>
      <c r="G53" s="9" t="s">
        <v>3</v>
      </c>
      <c r="H53" s="2">
        <f>J52</f>
        <v>1</v>
      </c>
      <c r="I53" s="9" t="s">
        <v>3</v>
      </c>
      <c r="J53" s="2">
        <v>24</v>
      </c>
      <c r="O53" s="9" t="s">
        <v>2</v>
      </c>
      <c r="P53" s="159">
        <f>J53*H53*F53*D53</f>
        <v>1094.3999999999999</v>
      </c>
      <c r="Q53" s="10" t="s">
        <v>10</v>
      </c>
      <c r="T53" s="10"/>
      <c r="U53" s="10"/>
      <c r="V53" s="10"/>
      <c r="W53" s="10"/>
      <c r="X53" s="10"/>
      <c r="Y53" s="10"/>
      <c r="Z53" s="10"/>
      <c r="AA53" s="10"/>
      <c r="AB53" s="10"/>
      <c r="AC53" s="10"/>
      <c r="AD53" s="10"/>
      <c r="AE53" s="10"/>
      <c r="AF53" s="10"/>
      <c r="AG53" s="10"/>
      <c r="AH53" s="10"/>
      <c r="AI53" s="10"/>
      <c r="AJ53" s="10"/>
    </row>
    <row r="54" spans="1:36">
      <c r="B54" s="47" t="s">
        <v>187</v>
      </c>
      <c r="C54" s="9" t="s">
        <v>2</v>
      </c>
      <c r="D54" s="2">
        <f t="shared" ref="D54:I54" si="2">D53</f>
        <v>12</v>
      </c>
      <c r="E54" s="2" t="str">
        <f t="shared" si="2"/>
        <v>x</v>
      </c>
      <c r="F54" s="2">
        <f t="shared" si="2"/>
        <v>3.8</v>
      </c>
      <c r="G54" s="2" t="str">
        <f t="shared" si="2"/>
        <v>x</v>
      </c>
      <c r="H54" s="2">
        <f t="shared" si="2"/>
        <v>1</v>
      </c>
      <c r="I54" s="2" t="str">
        <f t="shared" si="2"/>
        <v>x</v>
      </c>
      <c r="J54" s="38">
        <v>14</v>
      </c>
      <c r="O54" s="2" t="str">
        <f>O53</f>
        <v>=</v>
      </c>
      <c r="P54" s="159">
        <f>J54*H54*F54*D54</f>
        <v>638.4</v>
      </c>
      <c r="Q54" s="10" t="str">
        <f>Q53</f>
        <v>kN</v>
      </c>
      <c r="U54" s="10"/>
      <c r="V54" s="10"/>
      <c r="W54" s="10"/>
      <c r="X54" s="10"/>
      <c r="Y54" s="10"/>
      <c r="Z54" s="10"/>
      <c r="AA54" s="10"/>
      <c r="AB54" s="10"/>
      <c r="AC54" s="10"/>
      <c r="AD54" s="10"/>
      <c r="AE54" s="10"/>
      <c r="AF54" s="10"/>
      <c r="AG54" s="10"/>
      <c r="AH54" s="10"/>
      <c r="AI54" s="10"/>
      <c r="AJ54" s="10"/>
    </row>
    <row r="55" spans="1:36">
      <c r="B55" s="49" t="s">
        <v>87</v>
      </c>
      <c r="C55" s="9"/>
      <c r="J55" s="38"/>
      <c r="U55" s="10"/>
      <c r="V55" s="10"/>
      <c r="W55" s="10"/>
      <c r="X55" s="10"/>
      <c r="Y55" s="10"/>
      <c r="Z55" s="10"/>
      <c r="AA55" s="10"/>
      <c r="AB55" s="10"/>
      <c r="AC55" s="10"/>
      <c r="AD55" s="10"/>
      <c r="AE55" s="10"/>
      <c r="AF55" s="10"/>
      <c r="AG55" s="10"/>
      <c r="AH55" s="10"/>
      <c r="AI55" s="10"/>
      <c r="AJ55" s="10"/>
    </row>
    <row r="56" spans="1:36">
      <c r="B56" s="47"/>
      <c r="C56" s="9" t="s">
        <v>2</v>
      </c>
      <c r="D56" s="2">
        <f>P37</f>
        <v>232.8912</v>
      </c>
      <c r="E56" s="9" t="s">
        <v>7</v>
      </c>
      <c r="F56" s="2">
        <f>P46</f>
        <v>1493.9138880000019</v>
      </c>
      <c r="G56" s="9" t="s">
        <v>7</v>
      </c>
      <c r="H56" s="2">
        <f>P53</f>
        <v>1094.3999999999999</v>
      </c>
      <c r="I56" s="9"/>
      <c r="K56" s="9"/>
      <c r="L56" s="5"/>
      <c r="M56" s="9"/>
      <c r="O56" s="9" t="s">
        <v>2</v>
      </c>
      <c r="P56" s="160">
        <f>H56+F56+D56</f>
        <v>2821.2050880000015</v>
      </c>
      <c r="Q56" s="40" t="s">
        <v>10</v>
      </c>
      <c r="T56" s="10"/>
      <c r="U56" s="10"/>
      <c r="V56" s="10"/>
      <c r="W56" s="10"/>
      <c r="X56" s="10"/>
      <c r="Y56" s="10"/>
      <c r="Z56" s="10"/>
      <c r="AA56" s="10"/>
      <c r="AB56" s="10"/>
      <c r="AC56" s="10"/>
      <c r="AD56" s="10"/>
      <c r="AE56" s="10"/>
      <c r="AF56" s="10"/>
      <c r="AG56" s="10"/>
      <c r="AH56" s="10"/>
      <c r="AI56" s="10"/>
      <c r="AJ56" s="10"/>
    </row>
    <row r="57" spans="1:36" hidden="1">
      <c r="B57" s="47" t="s">
        <v>83</v>
      </c>
      <c r="C57" s="9" t="s">
        <v>2</v>
      </c>
      <c r="D57" s="2">
        <v>0.5</v>
      </c>
      <c r="E57" s="9" t="s">
        <v>3</v>
      </c>
      <c r="F57" s="2">
        <v>0.3</v>
      </c>
      <c r="G57" s="9" t="s">
        <v>3</v>
      </c>
      <c r="H57" s="2">
        <v>0.6</v>
      </c>
      <c r="I57" s="9" t="s">
        <v>3</v>
      </c>
      <c r="J57" s="2">
        <v>3.14</v>
      </c>
      <c r="K57" s="9" t="s">
        <v>3</v>
      </c>
      <c r="L57" s="5">
        <v>0.8</v>
      </c>
      <c r="M57" s="9" t="s">
        <v>3</v>
      </c>
      <c r="N57" s="2">
        <v>24</v>
      </c>
      <c r="O57" s="9" t="s">
        <v>2</v>
      </c>
      <c r="P57" s="160">
        <f>D57*F57*H57*J57*L57*N57</f>
        <v>5.4259200000000005</v>
      </c>
      <c r="Q57" s="40" t="s">
        <v>10</v>
      </c>
      <c r="T57" s="10"/>
      <c r="U57" s="10"/>
      <c r="V57" s="10"/>
      <c r="W57" s="10"/>
      <c r="X57" s="10"/>
      <c r="Y57" s="10"/>
      <c r="Z57" s="10"/>
      <c r="AA57" s="10"/>
      <c r="AB57" s="10"/>
      <c r="AC57" s="10"/>
      <c r="AD57" s="10"/>
      <c r="AE57" s="10"/>
      <c r="AF57" s="10"/>
      <c r="AG57" s="10"/>
      <c r="AH57" s="10"/>
      <c r="AI57" s="10"/>
      <c r="AJ57" s="10"/>
    </row>
    <row r="58" spans="1:36">
      <c r="B58" s="49" t="s">
        <v>88</v>
      </c>
      <c r="C58" s="9"/>
      <c r="J58" s="38"/>
      <c r="P58" s="160"/>
      <c r="Q58" s="40"/>
      <c r="U58" s="10"/>
      <c r="V58" s="10"/>
      <c r="W58" s="10"/>
      <c r="X58" s="10"/>
      <c r="Y58" s="10"/>
      <c r="Z58" s="10"/>
      <c r="AA58" s="10"/>
      <c r="AB58" s="10"/>
      <c r="AC58" s="10"/>
      <c r="AD58" s="10"/>
      <c r="AE58" s="10"/>
      <c r="AF58" s="10"/>
      <c r="AG58" s="10"/>
      <c r="AH58" s="10"/>
      <c r="AI58" s="10"/>
      <c r="AJ58" s="10"/>
    </row>
    <row r="59" spans="1:36">
      <c r="B59" s="47"/>
      <c r="C59" s="9" t="s">
        <v>2</v>
      </c>
      <c r="D59" s="2">
        <f>D56</f>
        <v>232.8912</v>
      </c>
      <c r="E59" s="9" t="s">
        <v>7</v>
      </c>
      <c r="F59" s="2">
        <f>P51</f>
        <v>1400.5442700000019</v>
      </c>
      <c r="G59" s="9" t="s">
        <v>7</v>
      </c>
      <c r="H59" s="2">
        <f>P54</f>
        <v>638.4</v>
      </c>
      <c r="I59" s="9"/>
      <c r="K59" s="9"/>
      <c r="L59" s="5"/>
      <c r="M59" s="9"/>
      <c r="O59" s="9" t="s">
        <v>2</v>
      </c>
      <c r="P59" s="160">
        <f>H59+F59+D59</f>
        <v>2271.8354700000018</v>
      </c>
      <c r="Q59" s="40" t="s">
        <v>10</v>
      </c>
      <c r="T59" s="10"/>
      <c r="U59" s="10"/>
      <c r="V59" s="10"/>
      <c r="W59" s="10"/>
      <c r="X59" s="10"/>
      <c r="Y59" s="10"/>
      <c r="Z59" s="10"/>
      <c r="AA59" s="10"/>
      <c r="AB59" s="10"/>
      <c r="AC59" s="10"/>
      <c r="AD59" s="10"/>
      <c r="AE59" s="10"/>
      <c r="AF59" s="10"/>
      <c r="AG59" s="10"/>
      <c r="AH59" s="10"/>
      <c r="AI59" s="10"/>
      <c r="AJ59" s="10"/>
    </row>
    <row r="60" spans="1:36">
      <c r="D60" s="21"/>
      <c r="E60" s="21"/>
      <c r="F60" s="21"/>
    </row>
    <row r="61" spans="1:36" s="38" customFormat="1">
      <c r="A61" s="11" t="s">
        <v>6</v>
      </c>
      <c r="B61" s="50" t="s">
        <v>63</v>
      </c>
      <c r="D61" s="42"/>
      <c r="E61" s="42"/>
      <c r="F61" s="42"/>
      <c r="P61" s="160"/>
      <c r="Q61" s="40"/>
    </row>
    <row r="62" spans="1:36" ht="33.75" customHeight="1">
      <c r="B62" s="44" t="s">
        <v>471</v>
      </c>
      <c r="C62" s="16" t="s">
        <v>2</v>
      </c>
      <c r="D62" s="2">
        <f>F63</f>
        <v>788.26634730538922</v>
      </c>
      <c r="E62" s="9" t="s">
        <v>3</v>
      </c>
      <c r="F62" s="2">
        <v>1</v>
      </c>
      <c r="G62" s="9" t="s">
        <v>2</v>
      </c>
      <c r="H62" s="38">
        <f>D62*F62</f>
        <v>788.26634730538922</v>
      </c>
      <c r="J62" s="38" t="s">
        <v>10</v>
      </c>
    </row>
    <row r="63" spans="1:36" ht="37.5" customHeight="1">
      <c r="B63" s="50" t="s">
        <v>200</v>
      </c>
      <c r="C63" s="63" t="s">
        <v>2</v>
      </c>
      <c r="D63" s="38">
        <f>'LL-ABSTRACT'!H2</f>
        <v>78.826634730538927</v>
      </c>
      <c r="E63" s="49" t="s">
        <v>201</v>
      </c>
      <c r="F63" s="38">
        <f>D63*10</f>
        <v>788.26634730538922</v>
      </c>
      <c r="G63" s="49" t="s">
        <v>10</v>
      </c>
      <c r="H63" s="38"/>
      <c r="J63" s="38"/>
      <c r="L63" s="383" t="s">
        <v>600</v>
      </c>
      <c r="M63" s="386">
        <v>0.6</v>
      </c>
      <c r="N63" s="384" t="s">
        <v>29</v>
      </c>
    </row>
    <row r="64" spans="1:36">
      <c r="B64" s="50"/>
      <c r="C64" s="63"/>
      <c r="D64" s="38"/>
      <c r="E64" s="49"/>
      <c r="F64" s="38"/>
      <c r="G64" s="49"/>
      <c r="H64" s="38"/>
      <c r="J64" s="38"/>
      <c r="L64" s="383" t="s">
        <v>601</v>
      </c>
      <c r="M64" s="386">
        <v>0.2</v>
      </c>
      <c r="N64" s="384" t="s">
        <v>29</v>
      </c>
    </row>
    <row r="65" spans="1:36">
      <c r="B65" s="49" t="s">
        <v>202</v>
      </c>
      <c r="C65" s="9"/>
      <c r="E65" s="9"/>
      <c r="G65" s="9"/>
      <c r="I65" s="9"/>
      <c r="K65" s="9"/>
      <c r="L65" s="385" t="s">
        <v>602</v>
      </c>
      <c r="M65" s="387">
        <v>1</v>
      </c>
      <c r="N65" s="384" t="s">
        <v>29</v>
      </c>
      <c r="O65" s="9"/>
      <c r="T65" s="10"/>
      <c r="U65" s="10"/>
      <c r="V65" s="10"/>
      <c r="W65" s="10"/>
      <c r="X65" s="10"/>
      <c r="Y65" s="10"/>
      <c r="Z65" s="10"/>
      <c r="AA65" s="10"/>
      <c r="AB65" s="10"/>
      <c r="AC65" s="10"/>
      <c r="AD65" s="10"/>
      <c r="AE65" s="10"/>
      <c r="AF65" s="10"/>
      <c r="AG65" s="10"/>
      <c r="AH65" s="10"/>
      <c r="AI65" s="10"/>
      <c r="AJ65" s="10"/>
    </row>
    <row r="66" spans="1:36" ht="47.25" customHeight="1">
      <c r="B66" s="46" t="s">
        <v>472</v>
      </c>
      <c r="C66" s="16" t="s">
        <v>2</v>
      </c>
      <c r="D66" s="2">
        <f>F68</f>
        <v>122.12665868263474</v>
      </c>
      <c r="E66" s="9" t="s">
        <v>3</v>
      </c>
      <c r="F66" s="2">
        <v>2</v>
      </c>
      <c r="G66" s="9" t="s">
        <v>2</v>
      </c>
      <c r="H66" s="38">
        <f>D66*F66</f>
        <v>244.25331736526948</v>
      </c>
      <c r="J66" s="38" t="s">
        <v>5</v>
      </c>
      <c r="L66" s="383" t="s">
        <v>603</v>
      </c>
      <c r="M66" s="386">
        <f>M65/2</f>
        <v>0.5</v>
      </c>
      <c r="N66" s="384" t="s">
        <v>29</v>
      </c>
    </row>
    <row r="67" spans="1:36" ht="25.5">
      <c r="B67" s="50" t="s">
        <v>204</v>
      </c>
      <c r="C67" s="63" t="s">
        <v>2</v>
      </c>
      <c r="D67" s="38">
        <f>'LL-ABSTRACT'!H4</f>
        <v>12.212665868263475</v>
      </c>
      <c r="E67" s="114" t="s">
        <v>205</v>
      </c>
      <c r="H67" s="38"/>
      <c r="J67" s="38"/>
    </row>
    <row r="68" spans="1:36">
      <c r="B68" s="50"/>
      <c r="C68" s="63"/>
      <c r="D68" s="38"/>
      <c r="E68" s="49" t="s">
        <v>206</v>
      </c>
      <c r="F68" s="38">
        <f>D67*10</f>
        <v>122.12665868263474</v>
      </c>
      <c r="G68" s="38" t="s">
        <v>5</v>
      </c>
      <c r="H68" s="38"/>
      <c r="J68" s="38"/>
      <c r="M68" s="235">
        <f>'abstract of stresses'!D9</f>
        <v>138.66109635051396</v>
      </c>
      <c r="N68" s="382" t="s">
        <v>605</v>
      </c>
    </row>
    <row r="69" spans="1:36">
      <c r="B69" s="50"/>
      <c r="C69" s="63"/>
      <c r="D69" s="38"/>
      <c r="E69" s="49"/>
      <c r="F69" s="38"/>
      <c r="G69" s="38"/>
      <c r="H69" s="38"/>
      <c r="J69" s="38"/>
      <c r="M69" s="235">
        <f>'abstract of stresses'!F9</f>
        <v>59.565540394928775</v>
      </c>
    </row>
    <row r="70" spans="1:36">
      <c r="B70" s="49" t="s">
        <v>203</v>
      </c>
      <c r="C70" s="9"/>
      <c r="E70" s="9"/>
      <c r="G70" s="9"/>
      <c r="I70" s="9"/>
      <c r="K70" s="9"/>
      <c r="L70" s="5"/>
      <c r="M70" s="9"/>
      <c r="O70" s="9"/>
      <c r="T70" s="10"/>
      <c r="U70" s="10"/>
      <c r="V70" s="10"/>
      <c r="W70" s="10"/>
      <c r="X70" s="10"/>
      <c r="Y70" s="10"/>
      <c r="Z70" s="10"/>
      <c r="AA70" s="10"/>
      <c r="AB70" s="10"/>
      <c r="AC70" s="10"/>
      <c r="AD70" s="10"/>
      <c r="AE70" s="10"/>
      <c r="AF70" s="10"/>
      <c r="AG70" s="10"/>
      <c r="AH70" s="10"/>
      <c r="AI70" s="10"/>
      <c r="AJ70" s="10"/>
    </row>
    <row r="71" spans="1:36" ht="45.75" customHeight="1">
      <c r="B71" s="46" t="s">
        <v>473</v>
      </c>
      <c r="C71" s="16" t="s">
        <v>2</v>
      </c>
      <c r="D71" s="2">
        <f>F73</f>
        <v>1123.9405976047906</v>
      </c>
      <c r="E71" s="9" t="s">
        <v>3</v>
      </c>
      <c r="F71" s="2">
        <v>2</v>
      </c>
      <c r="G71" s="9" t="s">
        <v>2</v>
      </c>
      <c r="H71" s="38">
        <f>D71*F71</f>
        <v>2247.8811952095812</v>
      </c>
      <c r="J71" s="38" t="s">
        <v>5</v>
      </c>
    </row>
    <row r="72" spans="1:36" ht="25.5">
      <c r="B72" s="50" t="s">
        <v>204</v>
      </c>
      <c r="C72" s="63" t="s">
        <v>2</v>
      </c>
      <c r="D72" s="38">
        <f>'LL-ABSTRACT'!H6</f>
        <v>112.39405976047905</v>
      </c>
      <c r="E72" s="114" t="s">
        <v>205</v>
      </c>
      <c r="H72" s="38"/>
      <c r="J72" s="38"/>
    </row>
    <row r="73" spans="1:36">
      <c r="B73" s="50"/>
      <c r="C73" s="63"/>
      <c r="D73" s="38"/>
      <c r="E73" s="49" t="s">
        <v>206</v>
      </c>
      <c r="F73" s="38">
        <f>D72*10</f>
        <v>1123.9405976047906</v>
      </c>
      <c r="G73" s="38" t="s">
        <v>5</v>
      </c>
      <c r="H73" s="38"/>
      <c r="J73" s="38"/>
    </row>
    <row r="74" spans="1:36">
      <c r="B74" s="50"/>
      <c r="C74" s="63"/>
      <c r="D74" s="38"/>
      <c r="E74" s="49"/>
      <c r="F74" s="38"/>
      <c r="G74" s="38"/>
      <c r="H74" s="38"/>
      <c r="J74" s="38"/>
    </row>
    <row r="75" spans="1:36" s="38" customFormat="1">
      <c r="A75" s="11" t="s">
        <v>64</v>
      </c>
      <c r="B75" s="50" t="s">
        <v>65</v>
      </c>
      <c r="D75" s="42"/>
      <c r="E75" s="42"/>
      <c r="F75" s="42"/>
      <c r="J75" s="228"/>
      <c r="P75" s="160"/>
      <c r="Q75" s="40"/>
    </row>
    <row r="76" spans="1:36">
      <c r="B76" s="49" t="s">
        <v>239</v>
      </c>
      <c r="D76" s="42"/>
      <c r="E76" s="42"/>
      <c r="F76" s="48"/>
      <c r="G76" s="43"/>
      <c r="H76" s="48"/>
      <c r="I76" s="43"/>
      <c r="J76" s="38"/>
    </row>
    <row r="77" spans="1:36">
      <c r="B77" s="49" t="s">
        <v>66</v>
      </c>
      <c r="D77" s="42" t="s">
        <v>67</v>
      </c>
      <c r="E77" s="42">
        <f>E15</f>
        <v>1.8354679471127884</v>
      </c>
      <c r="F77" s="42" t="str">
        <f>F15</f>
        <v>m/sec</v>
      </c>
      <c r="G77" s="43"/>
      <c r="H77" s="48"/>
      <c r="I77" s="43"/>
      <c r="J77" s="38"/>
    </row>
    <row r="78" spans="1:36" ht="36.75" customHeight="1" thickBot="1">
      <c r="B78" s="717" t="s">
        <v>256</v>
      </c>
      <c r="C78" s="717"/>
      <c r="D78" s="717"/>
      <c r="E78" s="717"/>
      <c r="F78" s="717"/>
      <c r="G78" s="717"/>
      <c r="H78" s="717"/>
      <c r="I78" s="717"/>
      <c r="J78" s="717"/>
      <c r="K78" s="717"/>
      <c r="L78" s="717"/>
      <c r="M78" s="717"/>
      <c r="N78" s="717"/>
      <c r="O78" s="717"/>
      <c r="P78" s="717"/>
      <c r="Q78" s="717"/>
    </row>
    <row r="79" spans="1:36" ht="51">
      <c r="B79" s="52" t="s">
        <v>257</v>
      </c>
      <c r="C79" s="16" t="s">
        <v>2</v>
      </c>
      <c r="D79" s="42">
        <f>E77</f>
        <v>1.8354679471127884</v>
      </c>
      <c r="E79" s="53" t="s">
        <v>3</v>
      </c>
      <c r="F79" s="48" t="s">
        <v>261</v>
      </c>
      <c r="G79" s="43"/>
      <c r="H79" s="510" t="s">
        <v>1178</v>
      </c>
      <c r="I79" s="43"/>
      <c r="J79" s="38"/>
      <c r="K79" s="511" t="s">
        <v>2</v>
      </c>
      <c r="L79" s="10"/>
      <c r="M79" s="512" t="s">
        <v>3</v>
      </c>
      <c r="N79" s="513" t="s">
        <v>1179</v>
      </c>
    </row>
    <row r="80" spans="1:36">
      <c r="B80" s="44"/>
      <c r="C80" s="16" t="s">
        <v>2</v>
      </c>
      <c r="D80" s="21">
        <f>D79*SIN(20*3.14/180)</f>
        <v>0.62746178160370614</v>
      </c>
      <c r="E80" s="21"/>
      <c r="F80" s="56"/>
      <c r="K80" s="514" t="s">
        <v>2</v>
      </c>
      <c r="L80" s="10"/>
      <c r="M80" s="10"/>
      <c r="N80" s="10"/>
    </row>
    <row r="81" spans="2:36" ht="15" thickBot="1">
      <c r="B81" s="47" t="s">
        <v>68</v>
      </c>
      <c r="C81" s="9" t="s">
        <v>2</v>
      </c>
      <c r="D81" s="2">
        <f>D80^2*2</f>
        <v>0.78741657474659399</v>
      </c>
      <c r="E81" s="9"/>
      <c r="J81" s="515" t="s">
        <v>141</v>
      </c>
      <c r="K81" s="516" t="s">
        <v>2</v>
      </c>
      <c r="L81" s="10"/>
      <c r="M81" s="10"/>
      <c r="N81" s="10"/>
      <c r="O81" s="10"/>
      <c r="R81" s="10"/>
      <c r="S81" s="10"/>
      <c r="T81" s="10"/>
      <c r="U81" s="10"/>
      <c r="V81" s="10"/>
      <c r="W81" s="10"/>
      <c r="X81" s="10"/>
      <c r="Y81" s="10"/>
      <c r="Z81" s="10"/>
      <c r="AA81" s="10"/>
      <c r="AB81" s="10"/>
      <c r="AC81" s="10"/>
      <c r="AD81" s="10"/>
      <c r="AE81" s="10"/>
      <c r="AF81" s="10"/>
      <c r="AG81" s="10"/>
      <c r="AH81" s="10"/>
      <c r="AI81" s="10"/>
      <c r="AJ81" s="10"/>
    </row>
    <row r="82" spans="2:36">
      <c r="B82" s="47" t="s">
        <v>138</v>
      </c>
      <c r="C82" s="9" t="s">
        <v>2</v>
      </c>
      <c r="D82" s="2">
        <f>E8-E18</f>
        <v>7.1300000000000097</v>
      </c>
      <c r="E82" s="54" t="s">
        <v>29</v>
      </c>
      <c r="F82" s="41">
        <f>D81</f>
        <v>0.78741657474659399</v>
      </c>
      <c r="G82" s="55">
        <f>$F$82*($D$82-0.975)/$D$82</f>
        <v>0.67974039517044704</v>
      </c>
      <c r="H82" s="55">
        <f>$F$82*($D$82-1.1)/$D$82</f>
        <v>0.66593575676324868</v>
      </c>
      <c r="J82" s="55">
        <v>0</v>
      </c>
      <c r="K82" s="55"/>
      <c r="L82" s="40"/>
      <c r="M82" s="40"/>
      <c r="N82" s="10"/>
      <c r="O82" s="10"/>
      <c r="R82" s="10"/>
      <c r="S82" s="10"/>
      <c r="T82" s="10"/>
      <c r="U82" s="10"/>
      <c r="V82" s="10"/>
      <c r="W82" s="10"/>
      <c r="X82" s="10"/>
      <c r="Y82" s="10"/>
      <c r="Z82" s="10"/>
      <c r="AA82" s="10"/>
      <c r="AB82" s="10"/>
      <c r="AC82" s="10"/>
      <c r="AD82" s="10"/>
      <c r="AE82" s="10"/>
      <c r="AF82" s="10"/>
      <c r="AG82" s="10"/>
      <c r="AH82" s="10"/>
      <c r="AI82" s="10"/>
      <c r="AJ82" s="10"/>
    </row>
    <row r="83" spans="2:36">
      <c r="B83" s="217" t="e">
        <f ca="1">_xlfn.CONCAT("FORCE ON DECK SLAB BETWEEN Deck Level ",$E$21,"  M to Soffit Level  ",$E$21-'Deck Anchorage'!$H$11-'Deck Anchorage'!$H$12, " M")</f>
        <v>#NAME?</v>
      </c>
      <c r="C83" s="9"/>
      <c r="E83" s="9"/>
      <c r="G83" s="9"/>
      <c r="I83" s="9"/>
      <c r="J83" s="5"/>
      <c r="K83" s="57"/>
      <c r="L83" s="10"/>
      <c r="M83" s="10"/>
      <c r="N83" s="10"/>
      <c r="O83" s="10"/>
      <c r="R83" s="10"/>
      <c r="S83" s="10"/>
      <c r="T83" s="10"/>
      <c r="U83" s="10"/>
      <c r="V83" s="10"/>
      <c r="W83" s="10"/>
      <c r="X83" s="10"/>
      <c r="Y83" s="10"/>
      <c r="Z83" s="10"/>
      <c r="AA83" s="10"/>
      <c r="AB83" s="10"/>
      <c r="AC83" s="10"/>
      <c r="AD83" s="10"/>
      <c r="AE83" s="10"/>
      <c r="AF83" s="10"/>
      <c r="AG83" s="10"/>
      <c r="AH83" s="10"/>
      <c r="AI83" s="10"/>
      <c r="AJ83" s="10"/>
    </row>
    <row r="84" spans="2:36" ht="14.25">
      <c r="B84" s="47" t="s">
        <v>68</v>
      </c>
      <c r="C84" s="9" t="s">
        <v>17</v>
      </c>
      <c r="D84" s="2">
        <f>F82</f>
        <v>0.78741657474659399</v>
      </c>
      <c r="E84" s="9" t="s">
        <v>7</v>
      </c>
      <c r="F84" s="2">
        <f>G82</f>
        <v>0.67974039517044704</v>
      </c>
      <c r="G84" s="9" t="s">
        <v>77</v>
      </c>
      <c r="H84" s="2">
        <f>(D84+F84)/2</f>
        <v>0.73357848495852052</v>
      </c>
      <c r="I84" s="9"/>
      <c r="J84" s="5"/>
      <c r="K84" s="57"/>
      <c r="L84" s="517" t="s">
        <v>1180</v>
      </c>
      <c r="M84" s="517" t="s">
        <v>1181</v>
      </c>
      <c r="N84" s="10"/>
      <c r="O84" s="10"/>
      <c r="R84" s="10"/>
      <c r="S84" s="10"/>
      <c r="T84" s="10"/>
      <c r="U84" s="10"/>
      <c r="V84" s="10"/>
      <c r="W84" s="10"/>
      <c r="X84" s="10"/>
      <c r="Y84" s="10"/>
      <c r="Z84" s="10"/>
      <c r="AA84" s="10"/>
      <c r="AB84" s="10"/>
      <c r="AC84" s="10"/>
      <c r="AD84" s="10"/>
      <c r="AE84" s="10"/>
      <c r="AF84" s="10"/>
      <c r="AG84" s="10"/>
      <c r="AH84" s="10"/>
      <c r="AI84" s="10"/>
      <c r="AJ84" s="10"/>
    </row>
    <row r="85" spans="2:36">
      <c r="B85" s="47" t="s">
        <v>71</v>
      </c>
      <c r="C85" s="9" t="s">
        <v>2</v>
      </c>
      <c r="D85" s="2">
        <f>'afflux calculation'!C18</f>
        <v>12</v>
      </c>
      <c r="E85" s="9" t="s">
        <v>3</v>
      </c>
      <c r="F85" s="214">
        <v>0</v>
      </c>
      <c r="G85" s="9" t="s">
        <v>2</v>
      </c>
      <c r="H85" s="2">
        <f>D85*F85</f>
        <v>0</v>
      </c>
      <c r="I85" s="54" t="s">
        <v>72</v>
      </c>
      <c r="K85" s="9"/>
      <c r="L85" s="38"/>
      <c r="M85" s="38"/>
      <c r="N85" s="10"/>
      <c r="O85" s="10"/>
      <c r="R85" s="10"/>
      <c r="S85" s="10"/>
      <c r="T85" s="10"/>
      <c r="U85" s="10"/>
      <c r="V85" s="10"/>
      <c r="W85" s="10"/>
      <c r="X85" s="10"/>
      <c r="Y85" s="10"/>
      <c r="Z85" s="10"/>
      <c r="AA85" s="10"/>
      <c r="AB85" s="10"/>
      <c r="AC85" s="10"/>
      <c r="AD85" s="10"/>
      <c r="AE85" s="10"/>
      <c r="AF85" s="10"/>
      <c r="AG85" s="10"/>
      <c r="AH85" s="10"/>
      <c r="AI85" s="10"/>
      <c r="AJ85" s="10"/>
    </row>
    <row r="86" spans="2:36">
      <c r="B86" s="47"/>
      <c r="C86" s="9"/>
      <c r="E86" s="9"/>
      <c r="G86" s="9"/>
      <c r="I86" s="9"/>
      <c r="J86" s="5"/>
      <c r="K86" s="9"/>
      <c r="N86" s="10"/>
      <c r="O86" s="10"/>
      <c r="R86" s="10"/>
      <c r="S86" s="10"/>
      <c r="T86" s="10"/>
      <c r="U86" s="10"/>
      <c r="V86" s="10"/>
      <c r="W86" s="10"/>
      <c r="X86" s="10"/>
      <c r="Y86" s="10"/>
      <c r="Z86" s="10"/>
      <c r="AA86" s="10"/>
      <c r="AB86" s="10"/>
      <c r="AC86" s="10"/>
      <c r="AD86" s="10"/>
      <c r="AE86" s="10"/>
      <c r="AF86" s="10"/>
      <c r="AG86" s="10"/>
      <c r="AH86" s="10"/>
      <c r="AI86" s="10"/>
      <c r="AJ86" s="10"/>
    </row>
    <row r="87" spans="2:36" ht="14.25">
      <c r="B87" s="58" t="s">
        <v>78</v>
      </c>
      <c r="C87" s="9" t="s">
        <v>2</v>
      </c>
      <c r="D87" s="2">
        <v>52</v>
      </c>
      <c r="E87" s="9" t="s">
        <v>3</v>
      </c>
      <c r="F87" s="2" t="s">
        <v>14</v>
      </c>
      <c r="G87" s="9" t="s">
        <v>3</v>
      </c>
      <c r="H87" s="47" t="s">
        <v>70</v>
      </c>
      <c r="I87" s="9" t="s">
        <v>3</v>
      </c>
      <c r="J87" s="2" t="s">
        <v>71</v>
      </c>
      <c r="K87" s="9"/>
      <c r="L87" s="38"/>
      <c r="M87" s="38"/>
    </row>
    <row r="88" spans="2:36">
      <c r="B88" s="47"/>
      <c r="C88" s="9" t="s">
        <v>2</v>
      </c>
      <c r="D88" s="2">
        <f>D87</f>
        <v>52</v>
      </c>
      <c r="E88" s="9" t="s">
        <v>3</v>
      </c>
      <c r="F88" s="2">
        <v>1.5</v>
      </c>
      <c r="G88" s="9" t="s">
        <v>3</v>
      </c>
      <c r="H88" s="2">
        <f>H84</f>
        <v>0.73357848495852052</v>
      </c>
      <c r="I88" s="9" t="s">
        <v>3</v>
      </c>
      <c r="J88" s="2">
        <f>H85</f>
        <v>0</v>
      </c>
      <c r="K88" s="9" t="s">
        <v>73</v>
      </c>
      <c r="L88" s="16" t="s">
        <v>2</v>
      </c>
      <c r="M88" s="38">
        <f>D88*F88*H88*J88/100</f>
        <v>0</v>
      </c>
      <c r="N88" s="38" t="s">
        <v>10</v>
      </c>
      <c r="O88" s="112" t="s">
        <v>76</v>
      </c>
      <c r="P88" s="159">
        <f>$E$21-('Deck Anchorage'!$H$11+'Deck Anchorage'!$H$12)/2</f>
        <v>101.1875</v>
      </c>
      <c r="Q88" s="10" t="s">
        <v>29</v>
      </c>
      <c r="S88" s="10"/>
      <c r="T88" s="10"/>
      <c r="U88" s="10"/>
      <c r="V88" s="10"/>
      <c r="W88" s="10"/>
      <c r="X88" s="10"/>
      <c r="Y88" s="10"/>
      <c r="Z88" s="10"/>
      <c r="AA88" s="10"/>
      <c r="AB88" s="10"/>
      <c r="AC88" s="10"/>
      <c r="AD88" s="10"/>
      <c r="AE88" s="10"/>
      <c r="AF88" s="10"/>
      <c r="AG88" s="10"/>
      <c r="AH88" s="10"/>
      <c r="AI88" s="10"/>
      <c r="AJ88" s="10"/>
    </row>
    <row r="89" spans="2:36">
      <c r="B89" s="59" t="s">
        <v>74</v>
      </c>
      <c r="D89" s="21">
        <f>D90+0.6</f>
        <v>93.569999999999979</v>
      </c>
      <c r="E89" s="60" t="s">
        <v>75</v>
      </c>
      <c r="F89" s="21">
        <f>$M$88</f>
        <v>0</v>
      </c>
      <c r="G89" s="9" t="s">
        <v>3</v>
      </c>
      <c r="H89" s="2">
        <f>$P$88-D89</f>
        <v>7.617500000000021</v>
      </c>
      <c r="I89" s="16" t="s">
        <v>2</v>
      </c>
      <c r="J89" s="38">
        <f>F89*H89</f>
        <v>0</v>
      </c>
      <c r="K89" s="38" t="s">
        <v>5</v>
      </c>
      <c r="N89" s="518" t="s">
        <v>1184</v>
      </c>
    </row>
    <row r="90" spans="2:36">
      <c r="B90" s="59" t="s">
        <v>74</v>
      </c>
      <c r="D90" s="21">
        <f>D91+1</f>
        <v>92.969999999999985</v>
      </c>
      <c r="E90" s="60" t="s">
        <v>75</v>
      </c>
      <c r="F90" s="21">
        <f>$M$88</f>
        <v>0</v>
      </c>
      <c r="G90" s="9" t="s">
        <v>3</v>
      </c>
      <c r="H90" s="2">
        <f>$P$88-D90</f>
        <v>8.2175000000000153</v>
      </c>
      <c r="I90" s="16" t="s">
        <v>2</v>
      </c>
      <c r="J90" s="38">
        <f>F90*H90</f>
        <v>0</v>
      </c>
      <c r="K90" s="38" t="s">
        <v>5</v>
      </c>
    </row>
    <row r="91" spans="2:36">
      <c r="B91" s="59" t="s">
        <v>74</v>
      </c>
      <c r="D91" s="111">
        <f>$E$20</f>
        <v>91.969999999999985</v>
      </c>
      <c r="E91" s="60" t="s">
        <v>75</v>
      </c>
      <c r="F91" s="21">
        <f>$M$88</f>
        <v>0</v>
      </c>
      <c r="G91" s="9" t="s">
        <v>3</v>
      </c>
      <c r="H91" s="2">
        <f>$P$88-D91</f>
        <v>9.2175000000000153</v>
      </c>
      <c r="I91" s="16" t="s">
        <v>2</v>
      </c>
      <c r="J91" s="38">
        <f>F91*H91</f>
        <v>0</v>
      </c>
      <c r="K91" s="38" t="s">
        <v>5</v>
      </c>
    </row>
    <row r="92" spans="2:36">
      <c r="B92" s="217" t="e">
        <f ca="1">_xlfn.CONCAT("FORCE ON PIER CAP BETWEEN  ",$E$21-'Deck Anchorage'!$H$11-'Deck Anchorage'!$H$12,"  M to Soffit Level  ",$E$21-'Deck Anchorage'!$H$11-'Deck Anchorage'!$H$12-$F$94, " M")</f>
        <v>#NAME?</v>
      </c>
      <c r="C92" s="9"/>
      <c r="E92" s="9"/>
      <c r="G92" s="9"/>
      <c r="I92" s="9"/>
      <c r="J92" s="5"/>
      <c r="K92" s="57"/>
      <c r="L92" s="10"/>
      <c r="M92" s="10"/>
      <c r="N92" s="10"/>
      <c r="O92" s="10"/>
      <c r="R92" s="10"/>
      <c r="S92" s="10"/>
      <c r="T92" s="10"/>
      <c r="U92" s="10"/>
      <c r="V92" s="10"/>
      <c r="W92" s="10"/>
      <c r="X92" s="10"/>
      <c r="Y92" s="10"/>
      <c r="Z92" s="10"/>
      <c r="AA92" s="10"/>
      <c r="AB92" s="10"/>
      <c r="AC92" s="10"/>
      <c r="AD92" s="10"/>
      <c r="AE92" s="10"/>
      <c r="AF92" s="10"/>
      <c r="AG92" s="10"/>
      <c r="AH92" s="10"/>
      <c r="AI92" s="10"/>
      <c r="AJ92" s="10"/>
    </row>
    <row r="93" spans="2:36" ht="14.25">
      <c r="B93" s="47" t="s">
        <v>68</v>
      </c>
      <c r="C93" s="9" t="s">
        <v>17</v>
      </c>
      <c r="D93" s="2">
        <f>G82</f>
        <v>0.67974039517044704</v>
      </c>
      <c r="E93" s="9" t="s">
        <v>7</v>
      </c>
      <c r="F93" s="2">
        <f>H82</f>
        <v>0.66593575676324868</v>
      </c>
      <c r="G93" s="9" t="s">
        <v>77</v>
      </c>
      <c r="H93" s="2">
        <f>(D93+F93)/2</f>
        <v>0.67283807596684786</v>
      </c>
      <c r="I93" s="9"/>
      <c r="J93" s="5"/>
      <c r="K93" s="57"/>
      <c r="L93" s="517" t="s">
        <v>1181</v>
      </c>
      <c r="M93" s="517" t="s">
        <v>1182</v>
      </c>
      <c r="N93" s="10"/>
      <c r="O93" s="10"/>
      <c r="R93" s="10"/>
      <c r="S93" s="10"/>
      <c r="T93" s="10"/>
      <c r="U93" s="10"/>
      <c r="V93" s="10"/>
      <c r="W93" s="10"/>
      <c r="X93" s="10"/>
      <c r="Y93" s="10"/>
      <c r="Z93" s="10"/>
      <c r="AA93" s="10"/>
      <c r="AB93" s="10"/>
      <c r="AC93" s="10"/>
      <c r="AD93" s="10"/>
      <c r="AE93" s="10"/>
      <c r="AF93" s="10"/>
      <c r="AG93" s="10"/>
      <c r="AH93" s="10"/>
      <c r="AI93" s="10"/>
      <c r="AJ93" s="10"/>
    </row>
    <row r="94" spans="2:36">
      <c r="B94" s="47" t="s">
        <v>71</v>
      </c>
      <c r="C94" s="9" t="s">
        <v>2</v>
      </c>
      <c r="D94" s="2">
        <f>D85</f>
        <v>12</v>
      </c>
      <c r="E94" s="9" t="s">
        <v>3</v>
      </c>
      <c r="F94" s="2">
        <v>0.6</v>
      </c>
      <c r="G94" s="9" t="s">
        <v>2</v>
      </c>
      <c r="H94" s="2">
        <f>D94*F94</f>
        <v>7.1999999999999993</v>
      </c>
      <c r="I94" s="54" t="s">
        <v>72</v>
      </c>
      <c r="K94" s="9"/>
      <c r="L94" s="38"/>
      <c r="M94" s="38"/>
      <c r="N94" s="10"/>
      <c r="O94" s="10"/>
      <c r="R94" s="10"/>
      <c r="S94" s="10"/>
      <c r="T94" s="10"/>
      <c r="U94" s="10"/>
      <c r="V94" s="10"/>
      <c r="W94" s="10"/>
      <c r="X94" s="10"/>
      <c r="Y94" s="10"/>
      <c r="Z94" s="10"/>
      <c r="AA94" s="10"/>
      <c r="AB94" s="10"/>
      <c r="AC94" s="10"/>
      <c r="AD94" s="10"/>
      <c r="AE94" s="10"/>
      <c r="AF94" s="10"/>
      <c r="AG94" s="10"/>
      <c r="AH94" s="10"/>
      <c r="AI94" s="10"/>
      <c r="AJ94" s="10"/>
    </row>
    <row r="95" spans="2:36">
      <c r="B95" s="47"/>
      <c r="C95" s="9"/>
      <c r="E95" s="9"/>
      <c r="G95" s="9"/>
      <c r="I95" s="9"/>
      <c r="J95" s="5"/>
      <c r="K95" s="9"/>
      <c r="N95" s="10"/>
      <c r="O95" s="10"/>
      <c r="R95" s="10"/>
      <c r="S95" s="10"/>
      <c r="T95" s="10"/>
      <c r="U95" s="10"/>
      <c r="V95" s="10"/>
      <c r="W95" s="10"/>
      <c r="X95" s="10"/>
      <c r="Y95" s="10"/>
      <c r="Z95" s="10"/>
      <c r="AA95" s="10"/>
      <c r="AB95" s="10"/>
      <c r="AC95" s="10"/>
      <c r="AD95" s="10"/>
      <c r="AE95" s="10"/>
      <c r="AF95" s="10"/>
      <c r="AG95" s="10"/>
      <c r="AH95" s="10"/>
      <c r="AI95" s="10"/>
      <c r="AJ95" s="10"/>
    </row>
    <row r="96" spans="2:36" ht="14.25">
      <c r="B96" s="58" t="s">
        <v>78</v>
      </c>
      <c r="C96" s="9" t="s">
        <v>2</v>
      </c>
      <c r="D96" s="2">
        <v>52</v>
      </c>
      <c r="E96" s="9" t="s">
        <v>3</v>
      </c>
      <c r="F96" s="2" t="s">
        <v>14</v>
      </c>
      <c r="G96" s="9" t="s">
        <v>3</v>
      </c>
      <c r="H96" s="47" t="s">
        <v>70</v>
      </c>
      <c r="I96" s="9" t="s">
        <v>3</v>
      </c>
      <c r="J96" s="2" t="s">
        <v>71</v>
      </c>
      <c r="K96" s="9"/>
      <c r="L96" s="38"/>
      <c r="M96" s="38"/>
    </row>
    <row r="97" spans="2:36">
      <c r="B97" s="47"/>
      <c r="C97" s="9" t="s">
        <v>2</v>
      </c>
      <c r="D97" s="2">
        <f>D96</f>
        <v>52</v>
      </c>
      <c r="E97" s="9" t="s">
        <v>3</v>
      </c>
      <c r="F97" s="2">
        <v>1.5</v>
      </c>
      <c r="G97" s="9" t="s">
        <v>3</v>
      </c>
      <c r="H97" s="2">
        <f>H93</f>
        <v>0.67283807596684786</v>
      </c>
      <c r="I97" s="9" t="s">
        <v>3</v>
      </c>
      <c r="J97" s="2">
        <f>H94</f>
        <v>7.1999999999999993</v>
      </c>
      <c r="K97" s="9" t="s">
        <v>73</v>
      </c>
      <c r="L97" s="16" t="s">
        <v>2</v>
      </c>
      <c r="M97" s="38">
        <f>D97*F97*H97*J97/100</f>
        <v>3.7786586346298172</v>
      </c>
      <c r="N97" s="38" t="s">
        <v>10</v>
      </c>
      <c r="O97" s="112" t="s">
        <v>76</v>
      </c>
      <c r="P97" s="159">
        <f>$E$21-'Deck Anchorage'!$H$11-'Deck Anchorage'!$H$12-$F$94/2</f>
        <v>100.47499999999999</v>
      </c>
      <c r="Q97" s="10" t="s">
        <v>29</v>
      </c>
      <c r="S97" s="10"/>
      <c r="T97" s="10"/>
      <c r="U97" s="10"/>
      <c r="V97" s="10"/>
      <c r="W97" s="10"/>
      <c r="X97" s="10"/>
      <c r="Y97" s="10"/>
      <c r="Z97" s="10"/>
      <c r="AA97" s="10"/>
      <c r="AB97" s="10"/>
      <c r="AC97" s="10"/>
      <c r="AD97" s="10"/>
      <c r="AE97" s="10"/>
      <c r="AF97" s="10"/>
      <c r="AG97" s="10"/>
      <c r="AH97" s="10"/>
      <c r="AI97" s="10"/>
      <c r="AJ97" s="10"/>
    </row>
    <row r="98" spans="2:36">
      <c r="B98" s="59" t="s">
        <v>74</v>
      </c>
      <c r="D98" s="21">
        <f>D99+0.6</f>
        <v>93.569999999999979</v>
      </c>
      <c r="E98" s="60" t="s">
        <v>75</v>
      </c>
      <c r="F98" s="21">
        <f>$M$97</f>
        <v>3.7786586346298172</v>
      </c>
      <c r="G98" s="9" t="s">
        <v>3</v>
      </c>
      <c r="H98" s="2">
        <f>$P$97-D98</f>
        <v>6.9050000000000153</v>
      </c>
      <c r="I98" s="16" t="s">
        <v>2</v>
      </c>
      <c r="J98" s="38">
        <f>F98*H98</f>
        <v>26.091637872118945</v>
      </c>
      <c r="K98" s="38" t="s">
        <v>5</v>
      </c>
      <c r="N98" s="518" t="s">
        <v>1185</v>
      </c>
    </row>
    <row r="99" spans="2:36">
      <c r="B99" s="59" t="s">
        <v>74</v>
      </c>
      <c r="D99" s="21">
        <f>D100+1</f>
        <v>92.969999999999985</v>
      </c>
      <c r="E99" s="60" t="s">
        <v>75</v>
      </c>
      <c r="F99" s="21">
        <f>$M$97</f>
        <v>3.7786586346298172</v>
      </c>
      <c r="G99" s="9" t="s">
        <v>3</v>
      </c>
      <c r="H99" s="2">
        <f>$P$97-D99</f>
        <v>7.5050000000000097</v>
      </c>
      <c r="I99" s="16" t="s">
        <v>2</v>
      </c>
      <c r="J99" s="38">
        <f>F99*H99</f>
        <v>28.358833052896816</v>
      </c>
      <c r="K99" s="38" t="s">
        <v>5</v>
      </c>
    </row>
    <row r="100" spans="2:36">
      <c r="B100" s="59" t="s">
        <v>74</v>
      </c>
      <c r="D100" s="111">
        <f>$E$20</f>
        <v>91.969999999999985</v>
      </c>
      <c r="E100" s="60" t="s">
        <v>75</v>
      </c>
      <c r="F100" s="21">
        <f>$M$97</f>
        <v>3.7786586346298172</v>
      </c>
      <c r="G100" s="9" t="s">
        <v>3</v>
      </c>
      <c r="H100" s="2">
        <f>$P$97-D100</f>
        <v>8.5050000000000097</v>
      </c>
      <c r="I100" s="16" t="s">
        <v>2</v>
      </c>
      <c r="J100" s="38">
        <f>F100*H100</f>
        <v>32.137491687526634</v>
      </c>
      <c r="K100" s="38" t="s">
        <v>5</v>
      </c>
    </row>
    <row r="101" spans="2:36">
      <c r="B101" s="217" t="e">
        <f ca="1">_xlfn.CONCAT("FORCE ON PIER BETWEEN  ",$E$21-'Deck Anchorage'!$H$11-'Deck Anchorage'!$H$12-$F$94,"  M to   ",$E$20+$E$19, " M")</f>
        <v>#NAME?</v>
      </c>
      <c r="C101" s="9"/>
      <c r="E101" s="9"/>
      <c r="G101" s="9"/>
      <c r="I101" s="9"/>
      <c r="J101" s="5"/>
      <c r="K101" s="57"/>
      <c r="L101" s="10"/>
      <c r="M101" s="10"/>
      <c r="N101" s="10"/>
      <c r="O101" s="10"/>
      <c r="R101" s="10"/>
      <c r="S101" s="10"/>
      <c r="T101" s="10"/>
      <c r="U101" s="10"/>
      <c r="V101" s="10"/>
      <c r="W101" s="10"/>
      <c r="X101" s="10"/>
      <c r="Y101" s="10"/>
      <c r="Z101" s="10"/>
      <c r="AA101" s="10"/>
      <c r="AB101" s="10"/>
      <c r="AC101" s="10"/>
      <c r="AD101" s="10"/>
      <c r="AE101" s="10"/>
      <c r="AF101" s="10"/>
      <c r="AG101" s="10"/>
      <c r="AH101" s="10"/>
      <c r="AI101" s="10"/>
      <c r="AJ101" s="10"/>
    </row>
    <row r="102" spans="2:36" ht="14.25">
      <c r="B102" s="47" t="s">
        <v>68</v>
      </c>
      <c r="C102" s="9" t="s">
        <v>17</v>
      </c>
      <c r="D102" s="2">
        <f>H82</f>
        <v>0.66593575676324868</v>
      </c>
      <c r="E102" s="9" t="s">
        <v>7</v>
      </c>
      <c r="F102" s="2">
        <v>0</v>
      </c>
      <c r="G102" s="9" t="s">
        <v>77</v>
      </c>
      <c r="H102" s="2">
        <f>(D102+F102)/2</f>
        <v>0.33296787838162434</v>
      </c>
      <c r="I102" s="9"/>
      <c r="J102" s="5"/>
      <c r="K102" s="57"/>
      <c r="L102" s="517" t="s">
        <v>1182</v>
      </c>
      <c r="M102" s="517" t="s">
        <v>1183</v>
      </c>
      <c r="N102" s="10"/>
      <c r="O102" s="10"/>
      <c r="R102" s="10"/>
      <c r="S102" s="10"/>
      <c r="T102" s="10"/>
      <c r="U102" s="10"/>
      <c r="V102" s="10"/>
      <c r="W102" s="10"/>
      <c r="X102" s="10"/>
      <c r="Y102" s="10"/>
      <c r="Z102" s="10"/>
      <c r="AA102" s="10"/>
      <c r="AB102" s="10"/>
      <c r="AC102" s="10"/>
      <c r="AD102" s="10"/>
      <c r="AE102" s="10"/>
      <c r="AF102" s="10"/>
      <c r="AG102" s="10"/>
      <c r="AH102" s="10"/>
      <c r="AI102" s="10"/>
      <c r="AJ102" s="10"/>
    </row>
    <row r="103" spans="2:36">
      <c r="B103" s="47" t="s">
        <v>71</v>
      </c>
      <c r="C103" s="9" t="s">
        <v>2</v>
      </c>
      <c r="D103" s="2">
        <f>98.925-91.59</f>
        <v>7.3349999999999937</v>
      </c>
      <c r="E103" s="9" t="s">
        <v>3</v>
      </c>
      <c r="F103" s="2">
        <f>F41+1.2</f>
        <v>8.6999999999999993</v>
      </c>
      <c r="G103" s="9" t="s">
        <v>2</v>
      </c>
      <c r="H103" s="2">
        <f>D103*F103</f>
        <v>63.814499999999938</v>
      </c>
      <c r="I103" s="54" t="s">
        <v>72</v>
      </c>
      <c r="K103" s="9"/>
      <c r="L103" s="38"/>
      <c r="M103" s="38"/>
      <c r="N103" s="10"/>
      <c r="O103" s="10"/>
      <c r="R103" s="10"/>
      <c r="S103" s="10"/>
      <c r="T103" s="10"/>
      <c r="U103" s="10"/>
      <c r="V103" s="10"/>
      <c r="W103" s="10"/>
      <c r="X103" s="10"/>
      <c r="Y103" s="10"/>
      <c r="Z103" s="10"/>
      <c r="AA103" s="10"/>
      <c r="AB103" s="10"/>
      <c r="AC103" s="10"/>
      <c r="AD103" s="10"/>
      <c r="AE103" s="10"/>
      <c r="AF103" s="10"/>
      <c r="AG103" s="10"/>
      <c r="AH103" s="10"/>
      <c r="AI103" s="10"/>
      <c r="AJ103" s="10"/>
    </row>
    <row r="104" spans="2:36">
      <c r="B104" s="47"/>
      <c r="C104" s="9"/>
      <c r="E104" s="9"/>
      <c r="G104" s="9"/>
      <c r="I104" s="9"/>
      <c r="J104" s="5"/>
      <c r="K104" s="9"/>
      <c r="N104" s="10"/>
      <c r="O104" s="10"/>
      <c r="R104" s="10"/>
      <c r="S104" s="10"/>
      <c r="T104" s="10"/>
      <c r="U104" s="10"/>
      <c r="V104" s="10"/>
      <c r="W104" s="10"/>
      <c r="X104" s="10"/>
      <c r="Y104" s="10"/>
      <c r="Z104" s="10"/>
      <c r="AA104" s="10"/>
      <c r="AB104" s="10"/>
      <c r="AC104" s="10"/>
      <c r="AD104" s="10"/>
      <c r="AE104" s="10"/>
      <c r="AF104" s="10"/>
      <c r="AG104" s="10"/>
      <c r="AH104" s="10"/>
      <c r="AI104" s="10"/>
      <c r="AJ104" s="10"/>
    </row>
    <row r="105" spans="2:36" ht="14.25">
      <c r="B105" s="58" t="s">
        <v>78</v>
      </c>
      <c r="C105" s="9" t="s">
        <v>2</v>
      </c>
      <c r="D105" s="2">
        <v>52</v>
      </c>
      <c r="E105" s="9" t="s">
        <v>3</v>
      </c>
      <c r="F105" s="2" t="s">
        <v>14</v>
      </c>
      <c r="G105" s="9" t="s">
        <v>3</v>
      </c>
      <c r="H105" s="47" t="s">
        <v>70</v>
      </c>
      <c r="I105" s="9" t="s">
        <v>3</v>
      </c>
      <c r="J105" s="2" t="s">
        <v>71</v>
      </c>
      <c r="K105" s="9"/>
      <c r="L105" s="38"/>
      <c r="M105" s="38"/>
    </row>
    <row r="106" spans="2:36">
      <c r="B106" s="47"/>
      <c r="C106" s="9" t="s">
        <v>2</v>
      </c>
      <c r="D106" s="2">
        <f>D105</f>
        <v>52</v>
      </c>
      <c r="E106" s="9" t="s">
        <v>3</v>
      </c>
      <c r="F106" s="2">
        <v>1.5</v>
      </c>
      <c r="G106" s="9" t="s">
        <v>3</v>
      </c>
      <c r="H106" s="2">
        <f>H102</f>
        <v>0.33296787838162434</v>
      </c>
      <c r="I106" s="9" t="s">
        <v>3</v>
      </c>
      <c r="J106" s="2">
        <f>H103</f>
        <v>63.814499999999938</v>
      </c>
      <c r="K106" s="9" t="s">
        <v>73</v>
      </c>
      <c r="L106" s="16" t="s">
        <v>2</v>
      </c>
      <c r="M106" s="38">
        <f>D106*F106*H106*J106/100</f>
        <v>16.573579366487635</v>
      </c>
      <c r="N106" s="38" t="s">
        <v>10</v>
      </c>
      <c r="O106" s="112" t="s">
        <v>76</v>
      </c>
      <c r="P106" s="159">
        <f>(($E$21-'Deck Anchorage'!$H$11-'Deck Anchorage'!$H$12-$F$94)+($E$20+$E$19))/2</f>
        <v>96.822499999999991</v>
      </c>
      <c r="Q106" s="10" t="s">
        <v>29</v>
      </c>
      <c r="S106" s="10"/>
      <c r="T106" s="10"/>
      <c r="U106" s="10"/>
      <c r="V106" s="10"/>
      <c r="W106" s="10"/>
      <c r="X106" s="10"/>
      <c r="Y106" s="10"/>
      <c r="Z106" s="10"/>
      <c r="AA106" s="10"/>
      <c r="AB106" s="10"/>
      <c r="AC106" s="10"/>
      <c r="AD106" s="10"/>
      <c r="AE106" s="10"/>
      <c r="AF106" s="10"/>
      <c r="AG106" s="10"/>
      <c r="AH106" s="10"/>
      <c r="AI106" s="10"/>
      <c r="AJ106" s="10"/>
    </row>
    <row r="107" spans="2:36">
      <c r="B107" s="59" t="s">
        <v>74</v>
      </c>
      <c r="D107" s="21">
        <f>D108+0.6</f>
        <v>93.569999999999979</v>
      </c>
      <c r="E107" s="60" t="s">
        <v>75</v>
      </c>
      <c r="F107" s="21">
        <f>$M$106</f>
        <v>16.573579366487635</v>
      </c>
      <c r="G107" s="9" t="s">
        <v>3</v>
      </c>
      <c r="H107" s="2">
        <f>$P$106-D107</f>
        <v>3.2525000000000119</v>
      </c>
      <c r="I107" s="16" t="s">
        <v>2</v>
      </c>
      <c r="J107" s="38">
        <f>F107*H107</f>
        <v>53.90556688950123</v>
      </c>
      <c r="K107" s="38" t="s">
        <v>5</v>
      </c>
      <c r="N107" s="518" t="s">
        <v>1186</v>
      </c>
    </row>
    <row r="108" spans="2:36">
      <c r="B108" s="59" t="s">
        <v>74</v>
      </c>
      <c r="D108" s="21">
        <f>D109+J52</f>
        <v>92.969999999999985</v>
      </c>
      <c r="E108" s="60" t="s">
        <v>75</v>
      </c>
      <c r="F108" s="21">
        <f>$M$106</f>
        <v>16.573579366487635</v>
      </c>
      <c r="G108" s="9" t="s">
        <v>3</v>
      </c>
      <c r="H108" s="2">
        <f>$P$106-D108</f>
        <v>3.8525000000000063</v>
      </c>
      <c r="I108" s="16" t="s">
        <v>2</v>
      </c>
      <c r="J108" s="38">
        <f>F108*H108</f>
        <v>63.849714509393721</v>
      </c>
      <c r="K108" s="38" t="s">
        <v>5</v>
      </c>
    </row>
    <row r="109" spans="2:36">
      <c r="B109" s="59" t="s">
        <v>74</v>
      </c>
      <c r="D109" s="111">
        <f>$E$20</f>
        <v>91.969999999999985</v>
      </c>
      <c r="E109" s="60" t="s">
        <v>75</v>
      </c>
      <c r="F109" s="21">
        <f>$M$106</f>
        <v>16.573579366487635</v>
      </c>
      <c r="G109" s="9" t="s">
        <v>3</v>
      </c>
      <c r="H109" s="2">
        <f>$P$106-D109</f>
        <v>4.8525000000000063</v>
      </c>
      <c r="I109" s="16" t="s">
        <v>2</v>
      </c>
      <c r="J109" s="38">
        <f>F109*H109</f>
        <v>80.423293875881356</v>
      </c>
      <c r="K109" s="38" t="s">
        <v>5</v>
      </c>
    </row>
    <row r="110" spans="2:36">
      <c r="B110" s="47"/>
      <c r="C110" s="9"/>
      <c r="E110" s="9"/>
      <c r="G110" s="9"/>
      <c r="I110" s="9"/>
      <c r="O110" s="9"/>
      <c r="T110" s="10"/>
      <c r="U110" s="10"/>
      <c r="V110" s="10"/>
      <c r="W110" s="10"/>
      <c r="X110" s="10"/>
      <c r="Y110" s="10"/>
      <c r="Z110" s="10"/>
      <c r="AA110" s="10"/>
      <c r="AB110" s="10"/>
      <c r="AC110" s="10"/>
      <c r="AD110" s="10"/>
      <c r="AE110" s="10"/>
      <c r="AF110" s="10"/>
      <c r="AG110" s="10"/>
      <c r="AH110" s="10"/>
      <c r="AI110" s="10"/>
      <c r="AJ110" s="10"/>
    </row>
    <row r="111" spans="2:36">
      <c r="B111" s="49" t="s">
        <v>207</v>
      </c>
      <c r="C111" s="9"/>
      <c r="E111" s="9"/>
      <c r="G111" s="9"/>
      <c r="I111" s="9"/>
      <c r="K111" s="9"/>
      <c r="L111" s="5"/>
      <c r="M111" s="9"/>
      <c r="O111" s="9"/>
      <c r="T111" s="10"/>
      <c r="U111" s="10"/>
      <c r="V111" s="10"/>
      <c r="W111" s="10"/>
      <c r="X111" s="10"/>
      <c r="Y111" s="10"/>
      <c r="Z111" s="10"/>
      <c r="AA111" s="10"/>
      <c r="AB111" s="10"/>
      <c r="AC111" s="10"/>
      <c r="AD111" s="10"/>
      <c r="AE111" s="10"/>
      <c r="AF111" s="10"/>
      <c r="AG111" s="10"/>
      <c r="AH111" s="10"/>
      <c r="AI111" s="10"/>
      <c r="AJ111" s="10"/>
    </row>
    <row r="112" spans="2:36">
      <c r="B112" s="59" t="s">
        <v>74</v>
      </c>
      <c r="D112" s="21">
        <f>D107</f>
        <v>93.569999999999979</v>
      </c>
      <c r="E112" s="60" t="s">
        <v>75</v>
      </c>
      <c r="F112" s="21">
        <f>J89</f>
        <v>0</v>
      </c>
      <c r="G112" s="9" t="s">
        <v>7</v>
      </c>
      <c r="H112" s="2">
        <f>J98</f>
        <v>26.091637872118945</v>
      </c>
    </row>
    <row r="113" spans="2:36">
      <c r="B113" s="59"/>
      <c r="D113" s="21"/>
      <c r="E113" s="60"/>
      <c r="G113" s="45" t="s">
        <v>7</v>
      </c>
      <c r="H113" s="2">
        <f>J107</f>
        <v>53.90556688950123</v>
      </c>
      <c r="I113" s="16" t="s">
        <v>2</v>
      </c>
      <c r="J113" s="38">
        <f>F112+H112+H113</f>
        <v>79.997204761620168</v>
      </c>
      <c r="K113" s="38" t="s">
        <v>5</v>
      </c>
    </row>
    <row r="114" spans="2:36">
      <c r="B114" s="59" t="s">
        <v>74</v>
      </c>
      <c r="D114" s="21">
        <f>D108</f>
        <v>92.969999999999985</v>
      </c>
      <c r="E114" s="60" t="s">
        <v>75</v>
      </c>
      <c r="F114" s="21">
        <f>J90</f>
        <v>0</v>
      </c>
      <c r="G114" s="9" t="s">
        <v>7</v>
      </c>
      <c r="H114" s="2">
        <f>J99</f>
        <v>28.358833052896816</v>
      </c>
      <c r="I114" s="16"/>
      <c r="J114" s="38"/>
      <c r="K114" s="38"/>
    </row>
    <row r="115" spans="2:36">
      <c r="B115" s="59"/>
      <c r="D115" s="21"/>
      <c r="E115" s="60"/>
      <c r="G115" s="45" t="s">
        <v>7</v>
      </c>
      <c r="H115" s="2">
        <f>J108</f>
        <v>63.849714509393721</v>
      </c>
      <c r="I115" s="16" t="s">
        <v>2</v>
      </c>
      <c r="J115" s="38">
        <f>F114+H114+H115</f>
        <v>92.208547562290534</v>
      </c>
      <c r="K115" s="38" t="s">
        <v>5</v>
      </c>
    </row>
    <row r="116" spans="2:36">
      <c r="B116" s="59" t="s">
        <v>74</v>
      </c>
      <c r="D116" s="113">
        <f>$E$20</f>
        <v>91.969999999999985</v>
      </c>
      <c r="E116" s="60" t="s">
        <v>75</v>
      </c>
      <c r="F116" s="21">
        <f>J91</f>
        <v>0</v>
      </c>
      <c r="G116" s="9" t="s">
        <v>7</v>
      </c>
      <c r="H116" s="2">
        <f>J100</f>
        <v>32.137491687526634</v>
      </c>
      <c r="I116" s="16"/>
      <c r="J116" s="38"/>
      <c r="K116" s="38"/>
    </row>
    <row r="117" spans="2:36">
      <c r="B117" s="47"/>
      <c r="C117" s="9"/>
      <c r="E117" s="9"/>
      <c r="G117" s="45" t="s">
        <v>7</v>
      </c>
      <c r="H117" s="2">
        <f>J109</f>
        <v>80.423293875881356</v>
      </c>
      <c r="I117" s="16" t="s">
        <v>2</v>
      </c>
      <c r="J117" s="38">
        <f>F116+H116+H117</f>
        <v>112.56078556340799</v>
      </c>
      <c r="K117" s="38" t="s">
        <v>5</v>
      </c>
      <c r="L117" s="5"/>
      <c r="M117" s="9"/>
      <c r="O117" s="9"/>
      <c r="T117" s="10"/>
      <c r="U117" s="10"/>
      <c r="V117" s="10"/>
      <c r="W117" s="10"/>
      <c r="X117" s="10"/>
      <c r="Y117" s="10"/>
      <c r="Z117" s="10"/>
      <c r="AA117" s="10"/>
      <c r="AB117" s="10"/>
      <c r="AC117" s="10"/>
      <c r="AD117" s="10"/>
      <c r="AE117" s="10"/>
      <c r="AF117" s="10"/>
      <c r="AG117" s="10"/>
      <c r="AH117" s="10"/>
      <c r="AI117" s="10"/>
      <c r="AJ117" s="10"/>
    </row>
    <row r="118" spans="2:36">
      <c r="B118" s="49" t="s">
        <v>240</v>
      </c>
      <c r="D118" s="42"/>
      <c r="E118" s="42"/>
      <c r="F118" s="48"/>
      <c r="G118" s="43"/>
      <c r="H118" s="48"/>
      <c r="I118" s="43"/>
      <c r="J118" s="38"/>
    </row>
    <row r="119" spans="2:36">
      <c r="B119" s="49" t="s">
        <v>66</v>
      </c>
      <c r="D119" s="42" t="s">
        <v>67</v>
      </c>
      <c r="E119" s="42">
        <f>E77</f>
        <v>1.8354679471127884</v>
      </c>
      <c r="F119" s="42" t="str">
        <f>F77</f>
        <v>m/sec</v>
      </c>
      <c r="G119" s="49" t="s">
        <v>139</v>
      </c>
      <c r="H119" s="48"/>
      <c r="I119" s="43"/>
      <c r="J119" s="38"/>
      <c r="M119" s="2" t="s">
        <v>140</v>
      </c>
    </row>
    <row r="120" spans="2:36">
      <c r="B120" s="52" t="s">
        <v>258</v>
      </c>
      <c r="C120" s="16" t="s">
        <v>2</v>
      </c>
      <c r="D120" s="42">
        <f>E119</f>
        <v>1.8354679471127884</v>
      </c>
      <c r="E120" s="53" t="s">
        <v>3</v>
      </c>
      <c r="F120" s="48" t="s">
        <v>259</v>
      </c>
      <c r="G120" s="43"/>
      <c r="H120" s="48"/>
      <c r="I120" s="43"/>
      <c r="J120" s="38"/>
      <c r="K120" s="10"/>
      <c r="L120" s="10"/>
      <c r="M120" s="10"/>
      <c r="N120" s="10"/>
    </row>
    <row r="121" spans="2:36">
      <c r="B121" s="44"/>
      <c r="C121" s="16" t="s">
        <v>2</v>
      </c>
      <c r="D121" s="21">
        <f>D120*COS(20*3.14/180)</f>
        <v>1.7248867491824316</v>
      </c>
      <c r="E121" s="21"/>
      <c r="F121" s="56"/>
      <c r="K121" s="10"/>
      <c r="L121" s="10"/>
      <c r="M121" s="10"/>
      <c r="N121" s="10"/>
    </row>
    <row r="122" spans="2:36">
      <c r="B122" s="47" t="s">
        <v>141</v>
      </c>
      <c r="C122" s="9" t="s">
        <v>2</v>
      </c>
      <c r="D122" s="2">
        <f>D121^2*2</f>
        <v>5.9504685950102729</v>
      </c>
      <c r="E122" s="9"/>
      <c r="K122" s="57"/>
      <c r="L122" s="10"/>
      <c r="M122" s="10"/>
      <c r="N122" s="10"/>
      <c r="O122" s="10"/>
      <c r="R122" s="10"/>
      <c r="S122" s="10"/>
      <c r="T122" s="10"/>
      <c r="U122" s="10"/>
      <c r="V122" s="10"/>
      <c r="W122" s="10"/>
      <c r="X122" s="10"/>
      <c r="Y122" s="10"/>
      <c r="Z122" s="10"/>
      <c r="AA122" s="10"/>
      <c r="AB122" s="10"/>
      <c r="AC122" s="10"/>
      <c r="AD122" s="10"/>
      <c r="AE122" s="10"/>
      <c r="AF122" s="10"/>
      <c r="AG122" s="10"/>
      <c r="AH122" s="10"/>
      <c r="AI122" s="10"/>
      <c r="AJ122" s="10"/>
    </row>
    <row r="123" spans="2:36">
      <c r="B123" s="47" t="s">
        <v>69</v>
      </c>
      <c r="C123" s="9" t="s">
        <v>2</v>
      </c>
      <c r="D123" s="2">
        <f>D82</f>
        <v>7.1300000000000097</v>
      </c>
      <c r="E123" s="54" t="s">
        <v>29</v>
      </c>
      <c r="F123" s="41">
        <f>D122</f>
        <v>5.9504685950102729</v>
      </c>
      <c r="G123" s="55">
        <f>$F$123*($D$123-0.975)/$D$123</f>
        <v>5.1367649652578171</v>
      </c>
      <c r="H123" s="55">
        <f>$F$123*($D$123-1.1)/$D$123</f>
        <v>5.0324439870844255</v>
      </c>
      <c r="J123" s="55">
        <v>0</v>
      </c>
      <c r="K123" s="57"/>
      <c r="L123" s="40"/>
      <c r="M123" s="40"/>
      <c r="N123" s="10"/>
      <c r="O123" s="10"/>
      <c r="R123" s="10"/>
      <c r="S123" s="10"/>
      <c r="T123" s="10"/>
      <c r="U123" s="10"/>
      <c r="V123" s="10"/>
      <c r="W123" s="10"/>
      <c r="X123" s="10"/>
      <c r="Y123" s="10"/>
      <c r="Z123" s="10"/>
      <c r="AA123" s="10"/>
      <c r="AB123" s="10"/>
      <c r="AC123" s="10"/>
      <c r="AD123" s="10"/>
      <c r="AE123" s="10"/>
      <c r="AF123" s="10"/>
      <c r="AG123" s="10"/>
      <c r="AH123" s="10"/>
      <c r="AI123" s="10"/>
      <c r="AJ123" s="10"/>
    </row>
    <row r="124" spans="2:36">
      <c r="B124" s="49" t="e">
        <f ca="1">B83</f>
        <v>#NAME?</v>
      </c>
      <c r="C124" s="9"/>
      <c r="E124" s="9"/>
      <c r="G124" s="9"/>
      <c r="I124" s="9"/>
      <c r="J124" s="5"/>
      <c r="K124" s="57"/>
      <c r="L124" s="10"/>
      <c r="M124" s="10"/>
      <c r="N124" s="10"/>
      <c r="O124" s="10"/>
      <c r="R124" s="10"/>
      <c r="S124" s="10"/>
      <c r="T124" s="10"/>
      <c r="U124" s="10"/>
      <c r="V124" s="10"/>
      <c r="W124" s="10"/>
      <c r="X124" s="10"/>
      <c r="Y124" s="10"/>
      <c r="Z124" s="10"/>
      <c r="AA124" s="10"/>
      <c r="AB124" s="10"/>
      <c r="AC124" s="10"/>
      <c r="AD124" s="10"/>
      <c r="AE124" s="10"/>
      <c r="AF124" s="10"/>
      <c r="AG124" s="10"/>
      <c r="AH124" s="10"/>
      <c r="AI124" s="10"/>
      <c r="AJ124" s="10"/>
    </row>
    <row r="125" spans="2:36" ht="14.25">
      <c r="B125" s="47" t="s">
        <v>68</v>
      </c>
      <c r="C125" s="9" t="s">
        <v>17</v>
      </c>
      <c r="D125" s="2">
        <f>F123</f>
        <v>5.9504685950102729</v>
      </c>
      <c r="E125" s="9" t="s">
        <v>7</v>
      </c>
      <c r="F125" s="2">
        <f>G123</f>
        <v>5.1367649652578171</v>
      </c>
      <c r="G125" s="9" t="s">
        <v>77</v>
      </c>
      <c r="H125" s="2">
        <f>(D125+F125)/2</f>
        <v>5.5436167801340446</v>
      </c>
      <c r="I125" s="9"/>
      <c r="J125" s="5"/>
      <c r="K125" s="57"/>
      <c r="L125" s="10"/>
      <c r="M125" s="10"/>
      <c r="N125" s="10"/>
      <c r="O125" s="10"/>
      <c r="R125" s="10"/>
      <c r="S125" s="10"/>
      <c r="T125" s="10"/>
      <c r="U125" s="10"/>
      <c r="V125" s="10"/>
      <c r="W125" s="10"/>
      <c r="X125" s="10"/>
      <c r="Y125" s="10"/>
      <c r="Z125" s="10"/>
      <c r="AA125" s="10"/>
      <c r="AB125" s="10"/>
      <c r="AC125" s="10"/>
      <c r="AD125" s="10"/>
      <c r="AE125" s="10"/>
      <c r="AF125" s="10"/>
      <c r="AG125" s="10"/>
      <c r="AH125" s="10"/>
      <c r="AI125" s="10"/>
      <c r="AJ125" s="10"/>
    </row>
    <row r="126" spans="2:36">
      <c r="B126" s="47" t="s">
        <v>71</v>
      </c>
      <c r="C126" s="9" t="s">
        <v>2</v>
      </c>
      <c r="D126" s="2">
        <f>D28</f>
        <v>8.7999999999999989</v>
      </c>
      <c r="E126" s="9" t="s">
        <v>3</v>
      </c>
      <c r="F126" s="8">
        <v>0</v>
      </c>
      <c r="G126" s="9" t="s">
        <v>2</v>
      </c>
      <c r="H126" s="2">
        <f>D126*F126</f>
        <v>0</v>
      </c>
      <c r="I126" s="54" t="s">
        <v>72</v>
      </c>
      <c r="K126" s="9"/>
      <c r="L126" s="38"/>
      <c r="M126" s="38"/>
      <c r="N126" s="10"/>
      <c r="O126" s="10"/>
      <c r="R126" s="10"/>
      <c r="S126" s="10"/>
      <c r="T126" s="10"/>
      <c r="U126" s="10"/>
      <c r="V126" s="10"/>
      <c r="W126" s="10"/>
      <c r="X126" s="10"/>
      <c r="Y126" s="10"/>
      <c r="Z126" s="10"/>
      <c r="AA126" s="10"/>
      <c r="AB126" s="10"/>
      <c r="AC126" s="10"/>
      <c r="AD126" s="10"/>
      <c r="AE126" s="10"/>
      <c r="AF126" s="10"/>
      <c r="AG126" s="10"/>
      <c r="AH126" s="10"/>
      <c r="AI126" s="10"/>
      <c r="AJ126" s="10"/>
    </row>
    <row r="127" spans="2:36">
      <c r="B127" s="47"/>
      <c r="C127" s="9"/>
      <c r="E127" s="9"/>
      <c r="G127" s="9"/>
      <c r="I127" s="9"/>
      <c r="J127" s="5"/>
      <c r="K127" s="9"/>
      <c r="N127" s="10"/>
      <c r="O127" s="10"/>
      <c r="R127" s="10"/>
      <c r="S127" s="10"/>
      <c r="T127" s="10"/>
      <c r="U127" s="10"/>
      <c r="V127" s="10"/>
      <c r="W127" s="10"/>
      <c r="X127" s="10"/>
      <c r="Y127" s="10"/>
      <c r="Z127" s="10"/>
      <c r="AA127" s="10"/>
      <c r="AB127" s="10"/>
      <c r="AC127" s="10"/>
      <c r="AD127" s="10"/>
      <c r="AE127" s="10"/>
      <c r="AF127" s="10"/>
      <c r="AG127" s="10"/>
      <c r="AH127" s="10"/>
      <c r="AI127" s="10"/>
      <c r="AJ127" s="10"/>
    </row>
    <row r="128" spans="2:36" ht="14.25">
      <c r="B128" s="58" t="s">
        <v>434</v>
      </c>
      <c r="C128" s="9" t="s">
        <v>2</v>
      </c>
      <c r="D128" s="2">
        <v>52</v>
      </c>
      <c r="E128" s="9" t="s">
        <v>3</v>
      </c>
      <c r="F128" s="2" t="s">
        <v>14</v>
      </c>
      <c r="G128" s="9" t="s">
        <v>3</v>
      </c>
      <c r="H128" s="47" t="s">
        <v>70</v>
      </c>
      <c r="I128" s="9" t="s">
        <v>3</v>
      </c>
      <c r="J128" s="2" t="s">
        <v>71</v>
      </c>
      <c r="K128" s="9"/>
      <c r="L128" s="38"/>
      <c r="M128" s="38"/>
    </row>
    <row r="129" spans="2:36">
      <c r="B129" s="47"/>
      <c r="C129" s="9" t="s">
        <v>2</v>
      </c>
      <c r="D129" s="2">
        <f>D128</f>
        <v>52</v>
      </c>
      <c r="E129" s="9" t="s">
        <v>3</v>
      </c>
      <c r="F129" s="2">
        <v>1.5</v>
      </c>
      <c r="G129" s="9" t="s">
        <v>3</v>
      </c>
      <c r="H129" s="2">
        <f>H125</f>
        <v>5.5436167801340446</v>
      </c>
      <c r="I129" s="9" t="s">
        <v>3</v>
      </c>
      <c r="J129" s="2">
        <f>H126</f>
        <v>0</v>
      </c>
      <c r="K129" s="9" t="s">
        <v>73</v>
      </c>
      <c r="L129" s="16" t="s">
        <v>2</v>
      </c>
      <c r="M129" s="38">
        <f>D129*F129*H129*J129/100</f>
        <v>0</v>
      </c>
      <c r="N129" s="38" t="s">
        <v>10</v>
      </c>
      <c r="O129" s="112" t="s">
        <v>76</v>
      </c>
      <c r="P129" s="159">
        <f>P88</f>
        <v>101.1875</v>
      </c>
      <c r="Q129" s="10" t="s">
        <v>29</v>
      </c>
      <c r="R129" s="10"/>
      <c r="S129" s="10"/>
      <c r="T129" s="10"/>
      <c r="U129" s="10"/>
      <c r="V129" s="10"/>
      <c r="W129" s="10"/>
      <c r="X129" s="10"/>
      <c r="Y129" s="10"/>
      <c r="Z129" s="10"/>
      <c r="AA129" s="10"/>
      <c r="AB129" s="10"/>
      <c r="AC129" s="10"/>
      <c r="AD129" s="10"/>
      <c r="AE129" s="10"/>
      <c r="AF129" s="10"/>
      <c r="AG129" s="10"/>
      <c r="AH129" s="10"/>
      <c r="AI129" s="10"/>
      <c r="AJ129" s="10"/>
    </row>
    <row r="130" spans="2:36">
      <c r="B130" s="59" t="s">
        <v>74</v>
      </c>
      <c r="D130" s="21">
        <f>D131+0.6</f>
        <v>93.569999999999979</v>
      </c>
      <c r="E130" s="60" t="s">
        <v>75</v>
      </c>
      <c r="F130" s="21">
        <f>$M$88</f>
        <v>0</v>
      </c>
      <c r="G130" s="9" t="s">
        <v>3</v>
      </c>
      <c r="H130" s="2">
        <f>$P$129-D130</f>
        <v>7.617500000000021</v>
      </c>
      <c r="I130" s="16" t="s">
        <v>2</v>
      </c>
      <c r="J130" s="38">
        <f>F130*H130</f>
        <v>0</v>
      </c>
      <c r="K130" s="38" t="s">
        <v>5</v>
      </c>
    </row>
    <row r="131" spans="2:36">
      <c r="B131" s="59" t="s">
        <v>74</v>
      </c>
      <c r="D131" s="21">
        <f>D132+1</f>
        <v>92.969999999999985</v>
      </c>
      <c r="E131" s="60" t="s">
        <v>75</v>
      </c>
      <c r="F131" s="21">
        <f>$M$88</f>
        <v>0</v>
      </c>
      <c r="G131" s="9" t="s">
        <v>3</v>
      </c>
      <c r="H131" s="2">
        <f>$P$129-D131</f>
        <v>8.2175000000000153</v>
      </c>
      <c r="I131" s="16" t="s">
        <v>2</v>
      </c>
      <c r="J131" s="38">
        <f>F131*H131</f>
        <v>0</v>
      </c>
      <c r="K131" s="38" t="s">
        <v>5</v>
      </c>
    </row>
    <row r="132" spans="2:36">
      <c r="B132" s="59" t="s">
        <v>74</v>
      </c>
      <c r="D132" s="111">
        <f>$E$20</f>
        <v>91.969999999999985</v>
      </c>
      <c r="E132" s="60" t="s">
        <v>75</v>
      </c>
      <c r="F132" s="21">
        <f>$M$88</f>
        <v>0</v>
      </c>
      <c r="G132" s="9" t="s">
        <v>3</v>
      </c>
      <c r="H132" s="2">
        <f>$P$129-D132</f>
        <v>9.2175000000000153</v>
      </c>
      <c r="I132" s="16" t="s">
        <v>2</v>
      </c>
      <c r="J132" s="38">
        <f>F132*H132</f>
        <v>0</v>
      </c>
      <c r="K132" s="38" t="s">
        <v>5</v>
      </c>
    </row>
    <row r="133" spans="2:36">
      <c r="B133" s="49" t="e">
        <f ca="1">B92</f>
        <v>#NAME?</v>
      </c>
      <c r="C133" s="9"/>
      <c r="E133" s="9"/>
      <c r="G133" s="9"/>
      <c r="I133" s="9"/>
      <c r="J133" s="5"/>
      <c r="K133" s="57"/>
      <c r="L133" s="10"/>
      <c r="M133" s="10"/>
      <c r="N133" s="10"/>
      <c r="O133" s="10"/>
      <c r="R133" s="10"/>
      <c r="S133" s="10"/>
      <c r="T133" s="10"/>
      <c r="U133" s="10"/>
      <c r="V133" s="10"/>
      <c r="W133" s="10"/>
      <c r="X133" s="10"/>
      <c r="Y133" s="10"/>
      <c r="Z133" s="10"/>
      <c r="AA133" s="10"/>
      <c r="AB133" s="10"/>
      <c r="AC133" s="10"/>
      <c r="AD133" s="10"/>
      <c r="AE133" s="10"/>
      <c r="AF133" s="10"/>
      <c r="AG133" s="10"/>
      <c r="AH133" s="10"/>
      <c r="AI133" s="10"/>
      <c r="AJ133" s="10"/>
    </row>
    <row r="134" spans="2:36" ht="14.25">
      <c r="B134" s="47" t="s">
        <v>68</v>
      </c>
      <c r="C134" s="9" t="s">
        <v>17</v>
      </c>
      <c r="D134" s="2">
        <f>G123</f>
        <v>5.1367649652578171</v>
      </c>
      <c r="E134" s="9" t="s">
        <v>7</v>
      </c>
      <c r="F134" s="2">
        <f>H123</f>
        <v>5.0324439870844255</v>
      </c>
      <c r="G134" s="9" t="s">
        <v>77</v>
      </c>
      <c r="H134" s="2">
        <f>(D134+F134)/2</f>
        <v>5.0846044761711209</v>
      </c>
      <c r="I134" s="9"/>
      <c r="J134" s="5"/>
      <c r="K134" s="57"/>
      <c r="L134" s="10"/>
      <c r="M134" s="10"/>
      <c r="N134" s="10"/>
      <c r="O134" s="10"/>
      <c r="R134" s="10"/>
      <c r="S134" s="10"/>
      <c r="T134" s="10"/>
      <c r="U134" s="10"/>
      <c r="V134" s="10"/>
      <c r="W134" s="10"/>
      <c r="X134" s="10"/>
      <c r="Y134" s="10"/>
      <c r="Z134" s="10"/>
      <c r="AA134" s="10"/>
      <c r="AB134" s="10"/>
      <c r="AC134" s="10"/>
      <c r="AD134" s="10"/>
      <c r="AE134" s="10"/>
      <c r="AF134" s="10"/>
      <c r="AG134" s="10"/>
      <c r="AH134" s="10"/>
      <c r="AI134" s="10"/>
      <c r="AJ134" s="10"/>
    </row>
    <row r="135" spans="2:36">
      <c r="B135" s="47" t="s">
        <v>71</v>
      </c>
      <c r="C135" s="9" t="s">
        <v>2</v>
      </c>
      <c r="D135" s="2">
        <v>1.5</v>
      </c>
      <c r="E135" s="9" t="s">
        <v>3</v>
      </c>
      <c r="F135" s="2">
        <v>0.6</v>
      </c>
      <c r="G135" s="9" t="s">
        <v>2</v>
      </c>
      <c r="H135" s="2">
        <f>D135*F135</f>
        <v>0.89999999999999991</v>
      </c>
      <c r="I135" s="54" t="s">
        <v>72</v>
      </c>
      <c r="K135" s="9"/>
      <c r="L135" s="38"/>
      <c r="M135" s="38"/>
      <c r="N135" s="10"/>
      <c r="O135" s="10"/>
      <c r="R135" s="10"/>
      <c r="S135" s="10"/>
      <c r="T135" s="10"/>
      <c r="U135" s="10"/>
      <c r="V135" s="10"/>
      <c r="W135" s="10"/>
      <c r="X135" s="10"/>
      <c r="Y135" s="10"/>
      <c r="Z135" s="10"/>
      <c r="AA135" s="10"/>
      <c r="AB135" s="10"/>
      <c r="AC135" s="10"/>
      <c r="AD135" s="10"/>
      <c r="AE135" s="10"/>
      <c r="AF135" s="10"/>
      <c r="AG135" s="10"/>
      <c r="AH135" s="10"/>
      <c r="AI135" s="10"/>
      <c r="AJ135" s="10"/>
    </row>
    <row r="136" spans="2:36">
      <c r="B136" s="47"/>
      <c r="C136" s="9"/>
      <c r="E136" s="9"/>
      <c r="G136" s="9"/>
      <c r="I136" s="9"/>
      <c r="J136" s="5"/>
      <c r="K136" s="9"/>
      <c r="N136" s="10"/>
      <c r="O136" s="10"/>
      <c r="R136" s="10"/>
      <c r="S136" s="10"/>
      <c r="T136" s="10"/>
      <c r="U136" s="10"/>
      <c r="V136" s="10"/>
      <c r="W136" s="10"/>
      <c r="X136" s="10"/>
      <c r="Y136" s="10"/>
      <c r="Z136" s="10"/>
      <c r="AA136" s="10"/>
      <c r="AB136" s="10"/>
      <c r="AC136" s="10"/>
      <c r="AD136" s="10"/>
      <c r="AE136" s="10"/>
      <c r="AF136" s="10"/>
      <c r="AG136" s="10"/>
      <c r="AH136" s="10"/>
      <c r="AI136" s="10"/>
      <c r="AJ136" s="10"/>
    </row>
    <row r="137" spans="2:36" ht="14.25">
      <c r="B137" s="58" t="s">
        <v>78</v>
      </c>
      <c r="C137" s="9" t="s">
        <v>2</v>
      </c>
      <c r="D137" s="2">
        <v>52</v>
      </c>
      <c r="E137" s="9" t="s">
        <v>3</v>
      </c>
      <c r="F137" s="2" t="s">
        <v>14</v>
      </c>
      <c r="G137" s="9" t="s">
        <v>3</v>
      </c>
      <c r="H137" s="47" t="s">
        <v>70</v>
      </c>
      <c r="I137" s="9" t="s">
        <v>3</v>
      </c>
      <c r="J137" s="2" t="s">
        <v>71</v>
      </c>
      <c r="K137" s="9"/>
      <c r="L137" s="38"/>
      <c r="M137" s="38"/>
    </row>
    <row r="138" spans="2:36">
      <c r="B138" s="47"/>
      <c r="C138" s="9" t="s">
        <v>2</v>
      </c>
      <c r="D138" s="2">
        <f>D137</f>
        <v>52</v>
      </c>
      <c r="E138" s="9" t="s">
        <v>3</v>
      </c>
      <c r="F138" s="2">
        <v>1.5</v>
      </c>
      <c r="G138" s="9" t="s">
        <v>3</v>
      </c>
      <c r="H138" s="2">
        <f>H134</f>
        <v>5.0846044761711209</v>
      </c>
      <c r="I138" s="9" t="s">
        <v>3</v>
      </c>
      <c r="J138" s="2">
        <f>H135</f>
        <v>0.89999999999999991</v>
      </c>
      <c r="K138" s="9" t="s">
        <v>73</v>
      </c>
      <c r="L138" s="16" t="s">
        <v>2</v>
      </c>
      <c r="M138" s="38">
        <f>D138*F138*H138*J138/100</f>
        <v>3.5693923422721263</v>
      </c>
      <c r="N138" s="38" t="s">
        <v>10</v>
      </c>
      <c r="O138" s="112" t="s">
        <v>76</v>
      </c>
      <c r="P138" s="159">
        <f>P97</f>
        <v>100.47499999999999</v>
      </c>
      <c r="Q138" s="10" t="s">
        <v>29</v>
      </c>
      <c r="R138" s="10"/>
      <c r="S138" s="10"/>
      <c r="T138" s="10"/>
      <c r="U138" s="10"/>
      <c r="V138" s="10"/>
      <c r="W138" s="10"/>
      <c r="X138" s="10"/>
      <c r="Y138" s="10"/>
      <c r="Z138" s="10"/>
      <c r="AA138" s="10"/>
      <c r="AB138" s="10"/>
      <c r="AC138" s="10"/>
      <c r="AD138" s="10"/>
      <c r="AE138" s="10"/>
      <c r="AF138" s="10"/>
      <c r="AG138" s="10"/>
      <c r="AH138" s="10"/>
      <c r="AI138" s="10"/>
      <c r="AJ138" s="10"/>
    </row>
    <row r="139" spans="2:36">
      <c r="B139" s="59" t="s">
        <v>74</v>
      </c>
      <c r="D139" s="21">
        <f>D140+0.6</f>
        <v>93.569999999999979</v>
      </c>
      <c r="E139" s="60" t="s">
        <v>75</v>
      </c>
      <c r="F139" s="21">
        <f>$M$97</f>
        <v>3.7786586346298172</v>
      </c>
      <c r="G139" s="9" t="s">
        <v>3</v>
      </c>
      <c r="H139" s="2">
        <f>$P$138-D139</f>
        <v>6.9050000000000153</v>
      </c>
      <c r="I139" s="16" t="s">
        <v>2</v>
      </c>
      <c r="J139" s="38">
        <f>F139*H139</f>
        <v>26.091637872118945</v>
      </c>
      <c r="K139" s="38" t="s">
        <v>5</v>
      </c>
    </row>
    <row r="140" spans="2:36">
      <c r="B140" s="59" t="s">
        <v>74</v>
      </c>
      <c r="D140" s="21">
        <f>D141+1</f>
        <v>92.969999999999985</v>
      </c>
      <c r="E140" s="60" t="s">
        <v>75</v>
      </c>
      <c r="F140" s="21">
        <f>$M$97</f>
        <v>3.7786586346298172</v>
      </c>
      <c r="G140" s="9" t="s">
        <v>3</v>
      </c>
      <c r="H140" s="2">
        <f>$P$138-D140</f>
        <v>7.5050000000000097</v>
      </c>
      <c r="I140" s="16" t="s">
        <v>2</v>
      </c>
      <c r="J140" s="38">
        <f>F140*H140</f>
        <v>28.358833052896816</v>
      </c>
      <c r="K140" s="38" t="s">
        <v>5</v>
      </c>
    </row>
    <row r="141" spans="2:36">
      <c r="B141" s="59" t="s">
        <v>74</v>
      </c>
      <c r="D141" s="111">
        <f>$E$20</f>
        <v>91.969999999999985</v>
      </c>
      <c r="E141" s="60" t="s">
        <v>75</v>
      </c>
      <c r="F141" s="21">
        <f>$M$97</f>
        <v>3.7786586346298172</v>
      </c>
      <c r="G141" s="9" t="s">
        <v>3</v>
      </c>
      <c r="H141" s="2">
        <f>$P$138-D141</f>
        <v>8.5050000000000097</v>
      </c>
      <c r="I141" s="16" t="s">
        <v>2</v>
      </c>
      <c r="J141" s="38">
        <f>F141*H141</f>
        <v>32.137491687526634</v>
      </c>
      <c r="K141" s="38" t="s">
        <v>5</v>
      </c>
    </row>
    <row r="142" spans="2:36">
      <c r="B142" s="49" t="e">
        <f ca="1">B101</f>
        <v>#NAME?</v>
      </c>
      <c r="C142" s="9"/>
      <c r="E142" s="9"/>
      <c r="G142" s="9"/>
      <c r="I142" s="9"/>
      <c r="J142" s="5"/>
      <c r="K142" s="57"/>
      <c r="L142" s="10"/>
      <c r="M142" s="10"/>
      <c r="N142" s="10"/>
      <c r="O142" s="10"/>
      <c r="R142" s="10"/>
      <c r="S142" s="10"/>
      <c r="T142" s="10"/>
      <c r="U142" s="10"/>
      <c r="V142" s="10"/>
      <c r="W142" s="10"/>
      <c r="X142" s="10"/>
      <c r="Y142" s="10"/>
      <c r="Z142" s="10"/>
      <c r="AA142" s="10"/>
      <c r="AB142" s="10"/>
      <c r="AC142" s="10"/>
      <c r="AD142" s="10"/>
      <c r="AE142" s="10"/>
      <c r="AF142" s="10"/>
      <c r="AG142" s="10"/>
      <c r="AH142" s="10"/>
      <c r="AI142" s="10"/>
      <c r="AJ142" s="10"/>
    </row>
    <row r="143" spans="2:36" ht="14.25">
      <c r="B143" s="47" t="s">
        <v>68</v>
      </c>
      <c r="C143" s="9" t="s">
        <v>17</v>
      </c>
      <c r="D143" s="2">
        <f>H123</f>
        <v>5.0324439870844255</v>
      </c>
      <c r="E143" s="9" t="s">
        <v>7</v>
      </c>
      <c r="F143" s="2">
        <v>0</v>
      </c>
      <c r="G143" s="9" t="s">
        <v>77</v>
      </c>
      <c r="H143" s="2">
        <f>(D143+F143)/2</f>
        <v>2.5162219935422128</v>
      </c>
      <c r="I143" s="9"/>
      <c r="J143" s="5"/>
      <c r="K143" s="57"/>
      <c r="L143" s="10"/>
      <c r="M143" s="10"/>
      <c r="N143" s="10"/>
      <c r="O143" s="10"/>
      <c r="R143" s="10"/>
      <c r="S143" s="10"/>
      <c r="T143" s="10"/>
      <c r="U143" s="10"/>
      <c r="V143" s="10"/>
      <c r="W143" s="10"/>
      <c r="X143" s="10"/>
      <c r="Y143" s="10"/>
      <c r="Z143" s="10"/>
      <c r="AA143" s="10"/>
      <c r="AB143" s="10"/>
      <c r="AC143" s="10"/>
      <c r="AD143" s="10"/>
      <c r="AE143" s="10"/>
      <c r="AF143" s="10"/>
      <c r="AG143" s="10"/>
      <c r="AH143" s="10"/>
      <c r="AI143" s="10"/>
      <c r="AJ143" s="10"/>
    </row>
    <row r="144" spans="2:36">
      <c r="B144" s="47" t="s">
        <v>71</v>
      </c>
      <c r="C144" s="9" t="s">
        <v>2</v>
      </c>
      <c r="D144" s="2">
        <f>98.925-91.59</f>
        <v>7.3349999999999937</v>
      </c>
      <c r="E144" s="9" t="s">
        <v>3</v>
      </c>
      <c r="F144" s="2">
        <f>F83+1.2</f>
        <v>1.2</v>
      </c>
      <c r="G144" s="9" t="s">
        <v>2</v>
      </c>
      <c r="H144" s="2">
        <f>D144*F144</f>
        <v>8.8019999999999925</v>
      </c>
      <c r="I144" s="54" t="s">
        <v>72</v>
      </c>
      <c r="K144" s="9"/>
      <c r="L144" s="38"/>
      <c r="M144" s="38"/>
      <c r="N144" s="10"/>
      <c r="O144" s="10"/>
      <c r="R144" s="10"/>
      <c r="S144" s="10"/>
      <c r="T144" s="10"/>
      <c r="U144" s="10"/>
      <c r="V144" s="10"/>
      <c r="W144" s="10"/>
      <c r="X144" s="10"/>
      <c r="Y144" s="10"/>
      <c r="Z144" s="10"/>
      <c r="AA144" s="10"/>
      <c r="AB144" s="10"/>
      <c r="AC144" s="10"/>
      <c r="AD144" s="10"/>
      <c r="AE144" s="10"/>
      <c r="AF144" s="10"/>
      <c r="AG144" s="10"/>
      <c r="AH144" s="10"/>
      <c r="AI144" s="10"/>
      <c r="AJ144" s="10"/>
    </row>
    <row r="145" spans="1:36">
      <c r="B145" s="47"/>
      <c r="C145" s="9"/>
      <c r="E145" s="9"/>
      <c r="G145" s="9"/>
      <c r="I145" s="9"/>
      <c r="J145" s="5"/>
      <c r="K145" s="9"/>
      <c r="N145" s="10"/>
      <c r="O145" s="10"/>
      <c r="R145" s="10"/>
      <c r="S145" s="10"/>
      <c r="T145" s="10"/>
      <c r="U145" s="10"/>
      <c r="V145" s="10"/>
      <c r="W145" s="10"/>
      <c r="X145" s="10"/>
      <c r="Y145" s="10"/>
      <c r="Z145" s="10"/>
      <c r="AA145" s="10"/>
      <c r="AB145" s="10"/>
      <c r="AC145" s="10"/>
      <c r="AD145" s="10"/>
      <c r="AE145" s="10"/>
      <c r="AF145" s="10"/>
      <c r="AG145" s="10"/>
      <c r="AH145" s="10"/>
      <c r="AI145" s="10"/>
      <c r="AJ145" s="10"/>
    </row>
    <row r="146" spans="1:36" ht="14.25">
      <c r="B146" s="58" t="s">
        <v>78</v>
      </c>
      <c r="C146" s="9" t="s">
        <v>2</v>
      </c>
      <c r="D146" s="2">
        <v>52</v>
      </c>
      <c r="E146" s="9" t="s">
        <v>3</v>
      </c>
      <c r="F146" s="2" t="s">
        <v>14</v>
      </c>
      <c r="G146" s="9" t="s">
        <v>3</v>
      </c>
      <c r="H146" s="47" t="s">
        <v>70</v>
      </c>
      <c r="I146" s="9" t="s">
        <v>3</v>
      </c>
      <c r="J146" s="2" t="s">
        <v>71</v>
      </c>
      <c r="K146" s="9"/>
      <c r="L146" s="38"/>
      <c r="M146" s="38"/>
    </row>
    <row r="147" spans="1:36">
      <c r="B147" s="47"/>
      <c r="C147" s="9" t="s">
        <v>2</v>
      </c>
      <c r="D147" s="2">
        <f>D146</f>
        <v>52</v>
      </c>
      <c r="E147" s="9" t="s">
        <v>3</v>
      </c>
      <c r="F147" s="2">
        <v>1.5</v>
      </c>
      <c r="G147" s="9" t="s">
        <v>3</v>
      </c>
      <c r="H147" s="2">
        <f>H143</f>
        <v>2.5162219935422128</v>
      </c>
      <c r="I147" s="9" t="s">
        <v>3</v>
      </c>
      <c r="J147" s="2">
        <f>H144</f>
        <v>8.8019999999999925</v>
      </c>
      <c r="K147" s="9" t="s">
        <v>73</v>
      </c>
      <c r="L147" s="16" t="s">
        <v>2</v>
      </c>
      <c r="M147" s="38">
        <f>D147*F147*H147*J147/100</f>
        <v>17.275273069983658</v>
      </c>
      <c r="N147" s="38" t="s">
        <v>10</v>
      </c>
      <c r="O147" s="112" t="s">
        <v>76</v>
      </c>
      <c r="P147" s="159">
        <f>P106</f>
        <v>96.822499999999991</v>
      </c>
      <c r="Q147" s="10" t="s">
        <v>29</v>
      </c>
      <c r="R147" s="10"/>
      <c r="S147" s="10"/>
      <c r="T147" s="10"/>
      <c r="U147" s="10"/>
      <c r="V147" s="10"/>
      <c r="W147" s="10"/>
      <c r="X147" s="10"/>
      <c r="Y147" s="10"/>
      <c r="Z147" s="10"/>
      <c r="AA147" s="10"/>
      <c r="AB147" s="10"/>
      <c r="AC147" s="10"/>
      <c r="AD147" s="10"/>
      <c r="AE147" s="10"/>
      <c r="AF147" s="10"/>
      <c r="AG147" s="10"/>
      <c r="AH147" s="10"/>
      <c r="AI147" s="10"/>
      <c r="AJ147" s="10"/>
    </row>
    <row r="148" spans="1:36">
      <c r="B148" s="59" t="s">
        <v>74</v>
      </c>
      <c r="D148" s="21">
        <f>D149+0.6</f>
        <v>93.569999999999979</v>
      </c>
      <c r="E148" s="60" t="s">
        <v>75</v>
      </c>
      <c r="F148" s="21">
        <f>$M$106</f>
        <v>16.573579366487635</v>
      </c>
      <c r="G148" s="9" t="s">
        <v>3</v>
      </c>
      <c r="H148" s="2">
        <f>$P$106-D148</f>
        <v>3.2525000000000119</v>
      </c>
      <c r="I148" s="16" t="s">
        <v>2</v>
      </c>
      <c r="J148" s="38">
        <f>F148*H148</f>
        <v>53.90556688950123</v>
      </c>
      <c r="K148" s="38" t="s">
        <v>5</v>
      </c>
    </row>
    <row r="149" spans="1:36">
      <c r="B149" s="59" t="s">
        <v>74</v>
      </c>
      <c r="D149" s="21">
        <f>D150+1</f>
        <v>92.969999999999985</v>
      </c>
      <c r="E149" s="60" t="s">
        <v>75</v>
      </c>
      <c r="F149" s="21">
        <f>$M$106</f>
        <v>16.573579366487635</v>
      </c>
      <c r="G149" s="9" t="s">
        <v>3</v>
      </c>
      <c r="H149" s="2">
        <f>$P$106-D149</f>
        <v>3.8525000000000063</v>
      </c>
      <c r="I149" s="16" t="s">
        <v>2</v>
      </c>
      <c r="J149" s="38">
        <f>F149*H149</f>
        <v>63.849714509393721</v>
      </c>
      <c r="K149" s="38" t="s">
        <v>5</v>
      </c>
    </row>
    <row r="150" spans="1:36">
      <c r="B150" s="59" t="s">
        <v>74</v>
      </c>
      <c r="D150" s="111">
        <f>$E$20</f>
        <v>91.969999999999985</v>
      </c>
      <c r="E150" s="60" t="s">
        <v>75</v>
      </c>
      <c r="F150" s="21">
        <f>$M$106</f>
        <v>16.573579366487635</v>
      </c>
      <c r="G150" s="9" t="s">
        <v>3</v>
      </c>
      <c r="H150" s="2">
        <f>$P$106-D150</f>
        <v>4.8525000000000063</v>
      </c>
      <c r="I150" s="16" t="s">
        <v>2</v>
      </c>
      <c r="J150" s="38">
        <f>F150*H150</f>
        <v>80.423293875881356</v>
      </c>
      <c r="K150" s="38" t="s">
        <v>5</v>
      </c>
    </row>
    <row r="151" spans="1:36">
      <c r="B151" s="47"/>
      <c r="C151" s="9"/>
      <c r="E151" s="9"/>
      <c r="G151" s="9"/>
      <c r="I151" s="9"/>
      <c r="O151" s="9"/>
      <c r="T151" s="10"/>
      <c r="U151" s="10"/>
      <c r="V151" s="10"/>
      <c r="W151" s="10"/>
      <c r="X151" s="10"/>
      <c r="Y151" s="10"/>
      <c r="Z151" s="10"/>
      <c r="AA151" s="10"/>
      <c r="AB151" s="10"/>
      <c r="AC151" s="10"/>
      <c r="AD151" s="10"/>
      <c r="AE151" s="10"/>
      <c r="AF151" s="10"/>
      <c r="AG151" s="10"/>
      <c r="AH151" s="10"/>
      <c r="AI151" s="10"/>
      <c r="AJ151" s="10"/>
    </row>
    <row r="152" spans="1:36">
      <c r="B152" s="49" t="s">
        <v>107</v>
      </c>
      <c r="C152" s="9"/>
      <c r="E152" s="9"/>
      <c r="G152" s="9"/>
      <c r="I152" s="9"/>
      <c r="K152" s="9"/>
      <c r="L152" s="5"/>
      <c r="M152" s="9"/>
      <c r="O152" s="9"/>
      <c r="T152" s="10"/>
      <c r="U152" s="10"/>
      <c r="V152" s="10"/>
      <c r="W152" s="10"/>
      <c r="X152" s="10"/>
      <c r="Y152" s="10"/>
      <c r="Z152" s="10"/>
      <c r="AA152" s="10"/>
      <c r="AB152" s="10"/>
      <c r="AC152" s="10"/>
      <c r="AD152" s="10"/>
      <c r="AE152" s="10"/>
      <c r="AF152" s="10"/>
      <c r="AG152" s="10"/>
      <c r="AH152" s="10"/>
      <c r="AI152" s="10"/>
      <c r="AJ152" s="10"/>
    </row>
    <row r="153" spans="1:36">
      <c r="B153" s="59" t="s">
        <v>74</v>
      </c>
      <c r="D153" s="21">
        <f>D155+0.6</f>
        <v>93.569999999999979</v>
      </c>
      <c r="E153" s="60" t="s">
        <v>75</v>
      </c>
      <c r="F153" s="21">
        <f>J130</f>
        <v>0</v>
      </c>
      <c r="G153" s="9" t="s">
        <v>7</v>
      </c>
      <c r="H153" s="2">
        <f>J139</f>
        <v>26.091637872118945</v>
      </c>
      <c r="I153" s="16" t="s">
        <v>2</v>
      </c>
    </row>
    <row r="154" spans="1:36">
      <c r="B154" s="59"/>
      <c r="D154" s="21"/>
      <c r="E154" s="60"/>
      <c r="G154" s="45" t="s">
        <v>7</v>
      </c>
      <c r="H154" s="2">
        <f>J148</f>
        <v>53.90556688950123</v>
      </c>
      <c r="I154" s="16"/>
      <c r="J154" s="38">
        <f>F153+H153+H154</f>
        <v>79.997204761620168</v>
      </c>
      <c r="K154" s="38" t="s">
        <v>5</v>
      </c>
    </row>
    <row r="155" spans="1:36">
      <c r="B155" s="59" t="s">
        <v>74</v>
      </c>
      <c r="D155" s="21">
        <f>D157+1</f>
        <v>92.969999999999985</v>
      </c>
      <c r="E155" s="60" t="s">
        <v>75</v>
      </c>
      <c r="F155" s="21">
        <f>J131</f>
        <v>0</v>
      </c>
      <c r="G155" s="9" t="s">
        <v>7</v>
      </c>
      <c r="H155" s="2">
        <f>J140</f>
        <v>28.358833052896816</v>
      </c>
      <c r="I155" s="16" t="s">
        <v>2</v>
      </c>
      <c r="J155" s="38"/>
      <c r="K155" s="38"/>
    </row>
    <row r="156" spans="1:36">
      <c r="B156" s="59"/>
      <c r="D156" s="21"/>
      <c r="E156" s="60"/>
      <c r="G156" s="45" t="s">
        <v>7</v>
      </c>
      <c r="H156" s="2">
        <f>J149</f>
        <v>63.849714509393721</v>
      </c>
      <c r="I156" s="16"/>
      <c r="J156" s="38">
        <f>F155+H155+H156</f>
        <v>92.208547562290534</v>
      </c>
      <c r="K156" s="38" t="s">
        <v>5</v>
      </c>
    </row>
    <row r="157" spans="1:36">
      <c r="B157" s="59" t="s">
        <v>74</v>
      </c>
      <c r="D157" s="113">
        <f>$E$20</f>
        <v>91.969999999999985</v>
      </c>
      <c r="E157" s="60" t="s">
        <v>75</v>
      </c>
      <c r="F157" s="21">
        <f>J132</f>
        <v>0</v>
      </c>
      <c r="G157" s="9" t="s">
        <v>7</v>
      </c>
      <c r="H157" s="2">
        <f>J141</f>
        <v>32.137491687526634</v>
      </c>
      <c r="I157" s="16" t="s">
        <v>2</v>
      </c>
      <c r="J157" s="38"/>
      <c r="K157" s="38"/>
    </row>
    <row r="158" spans="1:36">
      <c r="B158" s="47"/>
      <c r="C158" s="9"/>
      <c r="E158" s="9"/>
      <c r="G158" s="45" t="s">
        <v>7</v>
      </c>
      <c r="H158" s="2">
        <f>J150</f>
        <v>80.423293875881356</v>
      </c>
      <c r="I158" s="9"/>
      <c r="J158" s="38">
        <f>F157+H157+H158</f>
        <v>112.56078556340799</v>
      </c>
      <c r="K158" s="38" t="s">
        <v>5</v>
      </c>
      <c r="L158" s="9"/>
      <c r="R158" s="10"/>
      <c r="S158" s="10"/>
      <c r="T158" s="10"/>
      <c r="U158" s="10"/>
      <c r="V158" s="10"/>
      <c r="W158" s="10"/>
      <c r="X158" s="10"/>
      <c r="Y158" s="10"/>
      <c r="Z158" s="10"/>
      <c r="AA158" s="10"/>
      <c r="AB158" s="10"/>
      <c r="AC158" s="10"/>
      <c r="AD158" s="10"/>
      <c r="AE158" s="10"/>
      <c r="AF158" s="10"/>
      <c r="AG158" s="10"/>
    </row>
    <row r="159" spans="1:36" s="38" customFormat="1">
      <c r="A159" s="11" t="s">
        <v>13</v>
      </c>
      <c r="B159" s="50" t="s">
        <v>89</v>
      </c>
      <c r="D159" s="42"/>
      <c r="E159" s="42"/>
      <c r="F159" s="42"/>
      <c r="M159" s="40"/>
      <c r="N159" s="40"/>
      <c r="O159" s="40"/>
      <c r="P159" s="160"/>
      <c r="Q159" s="40"/>
    </row>
    <row r="160" spans="1:36" ht="44.25" customHeight="1">
      <c r="B160" s="720" t="s">
        <v>90</v>
      </c>
      <c r="C160" s="720"/>
      <c r="D160" s="720"/>
      <c r="E160" s="720"/>
      <c r="F160" s="720"/>
      <c r="G160" s="720"/>
      <c r="H160" s="720"/>
      <c r="J160" s="61"/>
      <c r="K160" s="61"/>
      <c r="L160" s="10"/>
      <c r="M160" s="40"/>
      <c r="N160" s="40"/>
      <c r="O160" s="10"/>
      <c r="R160" s="10"/>
      <c r="S160" s="10"/>
      <c r="T160" s="10"/>
      <c r="U160" s="10"/>
      <c r="V160" s="10"/>
      <c r="W160" s="10"/>
      <c r="X160" s="10"/>
      <c r="Y160" s="10"/>
      <c r="Z160" s="10"/>
      <c r="AA160" s="10"/>
      <c r="AB160" s="10"/>
      <c r="AC160" s="10"/>
      <c r="AD160" s="10"/>
      <c r="AE160" s="10"/>
      <c r="AF160" s="10"/>
      <c r="AG160" s="10"/>
    </row>
    <row r="161" spans="1:33" s="38" customFormat="1">
      <c r="A161" s="11" t="s">
        <v>119</v>
      </c>
      <c r="B161" s="50" t="s">
        <v>120</v>
      </c>
      <c r="D161" s="42"/>
      <c r="E161" s="42"/>
      <c r="F161" s="42"/>
      <c r="M161" s="40"/>
      <c r="N161" s="40"/>
      <c r="O161" s="40"/>
      <c r="P161" s="160"/>
      <c r="Q161" s="40"/>
    </row>
    <row r="162" spans="1:33">
      <c r="B162" s="43" t="s">
        <v>188</v>
      </c>
      <c r="D162" s="21"/>
      <c r="E162" s="21"/>
      <c r="F162" s="21"/>
    </row>
    <row r="163" spans="1:33">
      <c r="B163" s="47" t="s">
        <v>121</v>
      </c>
      <c r="C163" s="9" t="s">
        <v>2</v>
      </c>
      <c r="D163" s="2">
        <v>11.1</v>
      </c>
      <c r="E163" s="9" t="s">
        <v>3</v>
      </c>
      <c r="F163" s="2">
        <v>0.97499999999999998</v>
      </c>
      <c r="G163" s="9"/>
      <c r="I163" s="9"/>
      <c r="L163" s="9" t="s">
        <v>2</v>
      </c>
      <c r="M163" s="2">
        <f>D163*F163</f>
        <v>10.8225</v>
      </c>
      <c r="N163" s="2" t="s">
        <v>72</v>
      </c>
      <c r="R163" s="10"/>
      <c r="S163" s="10"/>
      <c r="T163" s="10"/>
      <c r="U163" s="10"/>
      <c r="V163" s="10"/>
      <c r="W163" s="10"/>
      <c r="X163" s="10"/>
      <c r="Y163" s="10"/>
      <c r="Z163" s="10"/>
      <c r="AA163" s="10"/>
      <c r="AB163" s="10"/>
      <c r="AC163" s="10"/>
      <c r="AD163" s="10"/>
      <c r="AE163" s="10"/>
      <c r="AF163" s="10"/>
      <c r="AG163" s="10"/>
    </row>
    <row r="164" spans="1:33">
      <c r="B164" s="47" t="s">
        <v>146</v>
      </c>
      <c r="C164" s="9" t="s">
        <v>2</v>
      </c>
      <c r="D164" s="2">
        <f>P129</f>
        <v>101.1875</v>
      </c>
      <c r="E164" s="16" t="s">
        <v>16</v>
      </c>
      <c r="F164" s="2">
        <f>$E$16</f>
        <v>96.469999999999985</v>
      </c>
      <c r="G164" s="16" t="s">
        <v>2</v>
      </c>
      <c r="H164" s="2">
        <f>D164-F164</f>
        <v>4.7175000000000153</v>
      </c>
      <c r="I164" s="54" t="s">
        <v>0</v>
      </c>
      <c r="L164" s="9"/>
      <c r="R164" s="10"/>
      <c r="S164" s="10"/>
      <c r="T164" s="10"/>
      <c r="U164" s="10"/>
      <c r="V164" s="10"/>
      <c r="W164" s="10"/>
      <c r="X164" s="10"/>
      <c r="Y164" s="10"/>
      <c r="Z164" s="10"/>
      <c r="AA164" s="10"/>
      <c r="AB164" s="10"/>
      <c r="AC164" s="10"/>
      <c r="AD164" s="10"/>
      <c r="AE164" s="10"/>
      <c r="AF164" s="10"/>
      <c r="AG164" s="10"/>
    </row>
    <row r="165" spans="1:33">
      <c r="B165" s="47" t="s">
        <v>122</v>
      </c>
      <c r="C165" s="9"/>
      <c r="D165" s="2" t="s">
        <v>123</v>
      </c>
      <c r="E165" s="54"/>
      <c r="F165" s="2">
        <f>130+(141-130)*(H164-25)/(30-25)</f>
        <v>85.378500000000031</v>
      </c>
      <c r="G165" s="54" t="s">
        <v>124</v>
      </c>
      <c r="H165" s="16" t="s">
        <v>2</v>
      </c>
      <c r="J165" s="55">
        <f>F165*10/1000</f>
        <v>0.85378500000000035</v>
      </c>
      <c r="K165" s="2" t="s">
        <v>125</v>
      </c>
      <c r="L165" s="9"/>
      <c r="R165" s="10"/>
      <c r="S165" s="10"/>
      <c r="T165" s="10"/>
      <c r="U165" s="10"/>
      <c r="V165" s="10"/>
      <c r="W165" s="10"/>
      <c r="X165" s="10"/>
      <c r="Y165" s="10"/>
      <c r="Z165" s="10"/>
      <c r="AA165" s="10"/>
      <c r="AB165" s="10"/>
      <c r="AC165" s="10"/>
      <c r="AD165" s="10"/>
      <c r="AE165" s="10"/>
      <c r="AF165" s="10"/>
      <c r="AG165" s="10"/>
    </row>
    <row r="166" spans="1:33">
      <c r="B166" s="59" t="s">
        <v>126</v>
      </c>
      <c r="C166" s="9" t="s">
        <v>2</v>
      </c>
      <c r="D166" s="2">
        <f>M163</f>
        <v>10.8225</v>
      </c>
      <c r="E166" s="9" t="s">
        <v>3</v>
      </c>
      <c r="F166" s="2">
        <f>J165</f>
        <v>0.85378500000000035</v>
      </c>
      <c r="G166" s="9"/>
      <c r="I166" s="9"/>
      <c r="L166" s="9" t="s">
        <v>2</v>
      </c>
      <c r="M166" s="38">
        <f>D166*F166</f>
        <v>9.2400881625000029</v>
      </c>
      <c r="N166" s="38" t="s">
        <v>10</v>
      </c>
      <c r="O166" s="10"/>
      <c r="R166" s="10"/>
      <c r="S166" s="10"/>
      <c r="T166" s="10"/>
      <c r="U166" s="10"/>
      <c r="V166" s="10"/>
      <c r="W166" s="10"/>
      <c r="X166" s="10"/>
      <c r="Y166" s="10"/>
      <c r="Z166" s="10"/>
      <c r="AA166" s="10"/>
      <c r="AB166" s="10"/>
      <c r="AC166" s="10"/>
      <c r="AD166" s="10"/>
      <c r="AE166" s="10"/>
      <c r="AF166" s="10"/>
      <c r="AG166" s="10"/>
    </row>
    <row r="167" spans="1:33">
      <c r="B167" s="59" t="s">
        <v>74</v>
      </c>
      <c r="D167" s="21">
        <f>D168+0.6</f>
        <v>93.569999999999979</v>
      </c>
      <c r="E167" s="60" t="s">
        <v>75</v>
      </c>
      <c r="F167" s="21">
        <f>$M$166</f>
        <v>9.2400881625000029</v>
      </c>
      <c r="G167" s="9" t="s">
        <v>3</v>
      </c>
      <c r="H167" s="2">
        <f>$D$164-D167</f>
        <v>7.617500000000021</v>
      </c>
      <c r="I167" s="16" t="s">
        <v>2</v>
      </c>
      <c r="J167" s="38">
        <f>F167*H167</f>
        <v>70.38637157784396</v>
      </c>
      <c r="K167" s="38" t="s">
        <v>5</v>
      </c>
    </row>
    <row r="168" spans="1:33">
      <c r="B168" s="59" t="s">
        <v>74</v>
      </c>
      <c r="D168" s="21">
        <f>D169+1</f>
        <v>92.969999999999985</v>
      </c>
      <c r="E168" s="60" t="s">
        <v>75</v>
      </c>
      <c r="F168" s="21">
        <f>$M$166</f>
        <v>9.2400881625000029</v>
      </c>
      <c r="G168" s="9" t="s">
        <v>3</v>
      </c>
      <c r="H168" s="2">
        <f>$D$164-D168</f>
        <v>8.2175000000000153</v>
      </c>
      <c r="I168" s="16" t="s">
        <v>2</v>
      </c>
      <c r="J168" s="38">
        <f>F168*H168</f>
        <v>75.930424475343912</v>
      </c>
      <c r="K168" s="38" t="s">
        <v>5</v>
      </c>
    </row>
    <row r="169" spans="1:33">
      <c r="B169" s="59" t="s">
        <v>74</v>
      </c>
      <c r="D169" s="113">
        <f>$E$20</f>
        <v>91.969999999999985</v>
      </c>
      <c r="E169" s="60" t="s">
        <v>75</v>
      </c>
      <c r="F169" s="21">
        <f>$M$166</f>
        <v>9.2400881625000029</v>
      </c>
      <c r="G169" s="9" t="s">
        <v>3</v>
      </c>
      <c r="H169" s="2">
        <f>$D$164-D169</f>
        <v>9.2175000000000153</v>
      </c>
      <c r="I169" s="16" t="s">
        <v>2</v>
      </c>
      <c r="J169" s="38">
        <f>F169*H169</f>
        <v>85.170512637843913</v>
      </c>
      <c r="K169" s="38" t="s">
        <v>5</v>
      </c>
    </row>
    <row r="170" spans="1:33">
      <c r="B170" s="43" t="s">
        <v>57</v>
      </c>
      <c r="D170" s="21"/>
      <c r="E170" s="21"/>
      <c r="F170" s="21"/>
    </row>
    <row r="171" spans="1:33">
      <c r="B171" s="47" t="s">
        <v>127</v>
      </c>
      <c r="C171" s="9" t="s">
        <v>2</v>
      </c>
      <c r="D171" s="2">
        <v>1.5</v>
      </c>
      <c r="E171" s="9" t="s">
        <v>3</v>
      </c>
      <c r="F171" s="2">
        <v>0.6</v>
      </c>
      <c r="G171" s="9"/>
      <c r="I171" s="9"/>
      <c r="L171" s="9" t="s">
        <v>2</v>
      </c>
      <c r="M171" s="2">
        <f>D171*F171</f>
        <v>0.89999999999999991</v>
      </c>
      <c r="N171" s="2" t="s">
        <v>72</v>
      </c>
      <c r="R171" s="10"/>
      <c r="S171" s="10"/>
      <c r="T171" s="10"/>
      <c r="U171" s="10"/>
      <c r="V171" s="10"/>
      <c r="W171" s="10"/>
      <c r="X171" s="10"/>
      <c r="Y171" s="10"/>
      <c r="Z171" s="10"/>
      <c r="AA171" s="10"/>
      <c r="AB171" s="10"/>
      <c r="AC171" s="10"/>
      <c r="AD171" s="10"/>
      <c r="AE171" s="10"/>
      <c r="AF171" s="10"/>
      <c r="AG171" s="10"/>
    </row>
    <row r="172" spans="1:33">
      <c r="B172" s="47" t="s">
        <v>128</v>
      </c>
      <c r="C172" s="9" t="s">
        <v>2</v>
      </c>
      <c r="D172" s="2">
        <v>1.35</v>
      </c>
      <c r="E172" s="9" t="s">
        <v>3</v>
      </c>
      <c r="F172" s="2">
        <v>0.6</v>
      </c>
      <c r="G172" s="9"/>
      <c r="I172" s="9"/>
      <c r="L172" s="9" t="s">
        <v>2</v>
      </c>
      <c r="M172" s="2">
        <f>D172*F172</f>
        <v>0.81</v>
      </c>
      <c r="N172" s="2" t="s">
        <v>72</v>
      </c>
      <c r="R172" s="10"/>
      <c r="S172" s="10"/>
      <c r="T172" s="10"/>
      <c r="U172" s="10"/>
      <c r="V172" s="10"/>
      <c r="W172" s="10"/>
      <c r="X172" s="10"/>
      <c r="Y172" s="10"/>
      <c r="Z172" s="10"/>
      <c r="AA172" s="10"/>
      <c r="AB172" s="10"/>
      <c r="AC172" s="10"/>
      <c r="AD172" s="10"/>
      <c r="AE172" s="10"/>
      <c r="AF172" s="10"/>
      <c r="AG172" s="10"/>
    </row>
    <row r="173" spans="1:33">
      <c r="B173" s="47"/>
      <c r="C173" s="9"/>
      <c r="E173" s="9"/>
      <c r="G173" s="9"/>
      <c r="I173" s="9"/>
      <c r="L173" s="69" t="s">
        <v>4</v>
      </c>
      <c r="M173" s="39">
        <f>SUM(M171:M172)</f>
        <v>1.71</v>
      </c>
      <c r="N173" s="39" t="s">
        <v>72</v>
      </c>
      <c r="R173" s="10"/>
      <c r="S173" s="10"/>
      <c r="T173" s="10"/>
      <c r="U173" s="10"/>
      <c r="V173" s="10"/>
      <c r="W173" s="10"/>
      <c r="X173" s="10"/>
      <c r="Y173" s="10"/>
      <c r="Z173" s="10"/>
      <c r="AA173" s="10"/>
      <c r="AB173" s="10"/>
      <c r="AC173" s="10"/>
      <c r="AD173" s="10"/>
      <c r="AE173" s="10"/>
      <c r="AF173" s="10"/>
      <c r="AG173" s="10"/>
    </row>
    <row r="174" spans="1:33">
      <c r="B174" s="68" t="s">
        <v>129</v>
      </c>
      <c r="C174" s="9" t="s">
        <v>17</v>
      </c>
      <c r="D174" s="2">
        <f>M171</f>
        <v>0.89999999999999991</v>
      </c>
      <c r="E174" s="9" t="s">
        <v>3</v>
      </c>
      <c r="F174" s="2">
        <v>0.9</v>
      </c>
      <c r="G174" s="9" t="s">
        <v>130</v>
      </c>
      <c r="H174" s="2">
        <f>M172</f>
        <v>0.81</v>
      </c>
      <c r="I174" s="9" t="s">
        <v>3</v>
      </c>
      <c r="J174" s="2">
        <v>0.3</v>
      </c>
      <c r="K174" s="16" t="s">
        <v>19</v>
      </c>
      <c r="L174" s="54">
        <f>M173</f>
        <v>1.71</v>
      </c>
      <c r="M174" s="2">
        <f>((M171*0.9)+(M172*0.3))/M173</f>
        <v>0.61578947368421055</v>
      </c>
      <c r="N174" s="2" t="s">
        <v>29</v>
      </c>
      <c r="R174" s="10"/>
      <c r="S174" s="10"/>
      <c r="T174" s="10"/>
      <c r="U174" s="10"/>
      <c r="V174" s="10"/>
      <c r="W174" s="10"/>
      <c r="X174" s="10"/>
      <c r="Y174" s="10"/>
      <c r="Z174" s="10"/>
      <c r="AA174" s="10"/>
      <c r="AB174" s="10"/>
      <c r="AC174" s="10"/>
      <c r="AD174" s="10"/>
      <c r="AE174" s="10"/>
      <c r="AF174" s="10"/>
      <c r="AG174" s="10"/>
    </row>
    <row r="175" spans="1:33">
      <c r="B175" s="47"/>
      <c r="C175" s="9"/>
      <c r="E175" s="9"/>
      <c r="G175" s="9"/>
      <c r="I175" s="9"/>
      <c r="L175" s="54"/>
      <c r="R175" s="10"/>
      <c r="S175" s="10"/>
      <c r="T175" s="10"/>
      <c r="U175" s="10"/>
      <c r="V175" s="10"/>
      <c r="W175" s="10"/>
      <c r="X175" s="10"/>
      <c r="Y175" s="10"/>
      <c r="Z175" s="10"/>
      <c r="AA175" s="10"/>
      <c r="AB175" s="10"/>
      <c r="AC175" s="10"/>
      <c r="AD175" s="10"/>
      <c r="AE175" s="10"/>
      <c r="AF175" s="10"/>
      <c r="AG175" s="10"/>
    </row>
    <row r="176" spans="1:33">
      <c r="B176" s="47" t="s">
        <v>146</v>
      </c>
      <c r="C176" s="9" t="s">
        <v>2</v>
      </c>
      <c r="D176" s="2">
        <f>P138</f>
        <v>100.47499999999999</v>
      </c>
      <c r="E176" s="16" t="s">
        <v>16</v>
      </c>
      <c r="F176" s="2">
        <f>$E$16</f>
        <v>96.469999999999985</v>
      </c>
      <c r="G176" s="16" t="s">
        <v>2</v>
      </c>
      <c r="H176" s="2">
        <f>D176-F176</f>
        <v>4.0050000000000097</v>
      </c>
      <c r="I176" s="54" t="s">
        <v>0</v>
      </c>
      <c r="L176" s="9"/>
      <c r="R176" s="10"/>
      <c r="S176" s="10"/>
      <c r="T176" s="10"/>
      <c r="U176" s="10"/>
      <c r="V176" s="10"/>
      <c r="W176" s="10"/>
      <c r="X176" s="10"/>
      <c r="Y176" s="10"/>
      <c r="Z176" s="10"/>
      <c r="AA176" s="10"/>
      <c r="AB176" s="10"/>
      <c r="AC176" s="10"/>
      <c r="AD176" s="10"/>
      <c r="AE176" s="10"/>
      <c r="AF176" s="10"/>
      <c r="AG176" s="10"/>
    </row>
    <row r="177" spans="1:36">
      <c r="B177" s="47" t="s">
        <v>122</v>
      </c>
      <c r="C177" s="9"/>
      <c r="D177" s="2" t="s">
        <v>123</v>
      </c>
      <c r="E177" s="54"/>
      <c r="F177" s="2">
        <f>119+(130-119)*(H176-20)/(25-20)</f>
        <v>83.811000000000021</v>
      </c>
      <c r="G177" s="54" t="s">
        <v>124</v>
      </c>
      <c r="H177" s="16" t="s">
        <v>2</v>
      </c>
      <c r="J177" s="55">
        <f>F177*10/1000</f>
        <v>0.83811000000000024</v>
      </c>
      <c r="K177" s="2" t="s">
        <v>125</v>
      </c>
      <c r="L177" s="9"/>
      <c r="R177" s="10"/>
      <c r="S177" s="10"/>
      <c r="T177" s="10"/>
      <c r="U177" s="10"/>
      <c r="V177" s="10"/>
      <c r="W177" s="10"/>
      <c r="X177" s="10"/>
      <c r="Y177" s="10"/>
      <c r="Z177" s="10"/>
      <c r="AA177" s="10"/>
      <c r="AB177" s="10"/>
      <c r="AC177" s="10"/>
      <c r="AD177" s="10"/>
      <c r="AE177" s="10"/>
      <c r="AF177" s="10"/>
      <c r="AG177" s="10"/>
    </row>
    <row r="178" spans="1:36">
      <c r="B178" s="59" t="s">
        <v>126</v>
      </c>
      <c r="C178" s="9" t="s">
        <v>2</v>
      </c>
      <c r="D178" s="2">
        <f>M173</f>
        <v>1.71</v>
      </c>
      <c r="E178" s="9" t="s">
        <v>3</v>
      </c>
      <c r="F178" s="2">
        <f>J177</f>
        <v>0.83811000000000024</v>
      </c>
      <c r="G178" s="9"/>
      <c r="I178" s="9"/>
      <c r="L178" s="9" t="s">
        <v>2</v>
      </c>
      <c r="M178" s="38">
        <f>D178*F178</f>
        <v>1.4331681000000003</v>
      </c>
      <c r="N178" s="38" t="s">
        <v>10</v>
      </c>
      <c r="O178" s="10"/>
      <c r="R178" s="10"/>
      <c r="S178" s="10"/>
      <c r="T178" s="10"/>
      <c r="U178" s="10"/>
      <c r="V178" s="10"/>
      <c r="W178" s="10"/>
      <c r="X178" s="10"/>
      <c r="Y178" s="10"/>
      <c r="Z178" s="10"/>
      <c r="AA178" s="10"/>
      <c r="AB178" s="10"/>
      <c r="AC178" s="10"/>
      <c r="AD178" s="10"/>
      <c r="AE178" s="10"/>
      <c r="AF178" s="10"/>
      <c r="AG178" s="10"/>
    </row>
    <row r="179" spans="1:36">
      <c r="B179" s="59" t="s">
        <v>74</v>
      </c>
      <c r="D179" s="21">
        <f>D180+0.6</f>
        <v>93.569999999999979</v>
      </c>
      <c r="E179" s="60" t="s">
        <v>75</v>
      </c>
      <c r="F179" s="21">
        <f>$M$178</f>
        <v>1.4331681000000003</v>
      </c>
      <c r="G179" s="9" t="s">
        <v>3</v>
      </c>
      <c r="H179" s="2">
        <f>$D$176-D179</f>
        <v>6.9050000000000153</v>
      </c>
      <c r="I179" s="16" t="s">
        <v>2</v>
      </c>
      <c r="J179" s="38">
        <f>F179*H179</f>
        <v>9.8960257305000248</v>
      </c>
      <c r="K179" s="38" t="s">
        <v>5</v>
      </c>
    </row>
    <row r="180" spans="1:36">
      <c r="B180" s="59" t="s">
        <v>74</v>
      </c>
      <c r="D180" s="21">
        <f>D181+1</f>
        <v>92.969999999999985</v>
      </c>
      <c r="E180" s="60" t="s">
        <v>75</v>
      </c>
      <c r="F180" s="21">
        <f>$M$178</f>
        <v>1.4331681000000003</v>
      </c>
      <c r="G180" s="9" t="s">
        <v>3</v>
      </c>
      <c r="H180" s="2">
        <f>$D$176-D180</f>
        <v>7.5050000000000097</v>
      </c>
      <c r="I180" s="16" t="s">
        <v>2</v>
      </c>
      <c r="J180" s="38">
        <f>F180*H180</f>
        <v>10.755926590500016</v>
      </c>
      <c r="K180" s="38" t="s">
        <v>5</v>
      </c>
    </row>
    <row r="181" spans="1:36">
      <c r="B181" s="59" t="s">
        <v>74</v>
      </c>
      <c r="D181" s="113">
        <f>$E$20</f>
        <v>91.969999999999985</v>
      </c>
      <c r="E181" s="60" t="s">
        <v>75</v>
      </c>
      <c r="F181" s="21">
        <f>$M$178</f>
        <v>1.4331681000000003</v>
      </c>
      <c r="G181" s="9" t="s">
        <v>3</v>
      </c>
      <c r="H181" s="2">
        <f>$D$176-D181</f>
        <v>8.5050000000000097</v>
      </c>
      <c r="I181" s="16" t="s">
        <v>2</v>
      </c>
      <c r="J181" s="38">
        <f>F181*H181</f>
        <v>12.189094690500017</v>
      </c>
      <c r="K181" s="38" t="s">
        <v>5</v>
      </c>
    </row>
    <row r="182" spans="1:36">
      <c r="A182" s="3" t="s">
        <v>134</v>
      </c>
      <c r="B182" s="70" t="s">
        <v>131</v>
      </c>
      <c r="C182" s="71"/>
      <c r="D182" s="168">
        <f>E22</f>
        <v>100.77499999999999</v>
      </c>
      <c r="E182" s="72" t="s">
        <v>132</v>
      </c>
      <c r="F182" s="72">
        <f>E16</f>
        <v>96.469999999999985</v>
      </c>
      <c r="G182" s="71" t="s">
        <v>29</v>
      </c>
    </row>
    <row r="183" spans="1:36">
      <c r="B183" s="47" t="s">
        <v>133</v>
      </c>
      <c r="C183" s="9" t="s">
        <v>2</v>
      </c>
      <c r="D183" s="2">
        <v>1.2</v>
      </c>
      <c r="E183" s="9" t="s">
        <v>3</v>
      </c>
      <c r="F183" s="2">
        <f>D182-F182</f>
        <v>4.3050000000000068</v>
      </c>
      <c r="G183" s="9"/>
      <c r="I183" s="9"/>
      <c r="L183" s="9" t="s">
        <v>2</v>
      </c>
      <c r="M183" s="2">
        <f>D183*F183</f>
        <v>5.1660000000000084</v>
      </c>
      <c r="N183" s="2" t="s">
        <v>72</v>
      </c>
      <c r="R183" s="10"/>
      <c r="S183" s="10"/>
      <c r="T183" s="10"/>
      <c r="U183" s="10"/>
      <c r="V183" s="10"/>
      <c r="W183" s="10"/>
      <c r="X183" s="10"/>
      <c r="Y183" s="10"/>
      <c r="Z183" s="10"/>
      <c r="AA183" s="10"/>
      <c r="AB183" s="10"/>
      <c r="AC183" s="10"/>
      <c r="AD183" s="10"/>
      <c r="AE183" s="10"/>
      <c r="AF183" s="10"/>
      <c r="AG183" s="10"/>
    </row>
    <row r="184" spans="1:36">
      <c r="B184" s="47" t="s">
        <v>146</v>
      </c>
      <c r="C184" s="9" t="s">
        <v>2</v>
      </c>
      <c r="D184" s="2">
        <f>(D182+F182)/2</f>
        <v>98.622499999999988</v>
      </c>
      <c r="E184" s="16" t="s">
        <v>16</v>
      </c>
      <c r="F184" s="2">
        <f>$E$16</f>
        <v>96.469999999999985</v>
      </c>
      <c r="G184" s="16" t="s">
        <v>2</v>
      </c>
      <c r="H184" s="2">
        <f>D184-F184</f>
        <v>2.1525000000000034</v>
      </c>
      <c r="I184" s="54" t="s">
        <v>0</v>
      </c>
      <c r="L184" s="9"/>
      <c r="R184" s="10"/>
      <c r="S184" s="10"/>
      <c r="T184" s="10"/>
      <c r="U184" s="10"/>
      <c r="V184" s="10"/>
      <c r="W184" s="10"/>
      <c r="X184" s="10"/>
      <c r="Y184" s="10"/>
      <c r="Z184" s="10"/>
      <c r="AA184" s="10"/>
      <c r="AB184" s="10"/>
      <c r="AC184" s="10"/>
      <c r="AD184" s="10"/>
      <c r="AE184" s="10"/>
      <c r="AF184" s="10"/>
      <c r="AG184" s="10"/>
    </row>
    <row r="185" spans="1:36">
      <c r="B185" s="47" t="s">
        <v>122</v>
      </c>
      <c r="C185" s="9"/>
      <c r="D185" s="2" t="s">
        <v>123</v>
      </c>
      <c r="E185" s="54"/>
      <c r="F185" s="2">
        <f>119+(130-119)*(H184-20)/(25-20)</f>
        <v>79.735500000000002</v>
      </c>
      <c r="G185" s="54" t="s">
        <v>124</v>
      </c>
      <c r="H185" s="16" t="s">
        <v>2</v>
      </c>
      <c r="J185" s="55">
        <f>F185*10/1000</f>
        <v>0.79735500000000004</v>
      </c>
      <c r="K185" s="2" t="s">
        <v>125</v>
      </c>
      <c r="L185" s="9"/>
      <c r="R185" s="10"/>
      <c r="S185" s="10"/>
      <c r="T185" s="10"/>
      <c r="U185" s="10"/>
      <c r="V185" s="10"/>
      <c r="W185" s="10"/>
      <c r="X185" s="10"/>
      <c r="Y185" s="10"/>
      <c r="Z185" s="10"/>
      <c r="AA185" s="10"/>
      <c r="AB185" s="10"/>
      <c r="AC185" s="10"/>
      <c r="AD185" s="10"/>
      <c r="AE185" s="10"/>
      <c r="AF185" s="10"/>
      <c r="AG185" s="10"/>
    </row>
    <row r="186" spans="1:36">
      <c r="B186" s="59" t="s">
        <v>126</v>
      </c>
      <c r="C186" s="9" t="s">
        <v>2</v>
      </c>
      <c r="D186" s="2">
        <f>M183</f>
        <v>5.1660000000000084</v>
      </c>
      <c r="E186" s="9" t="s">
        <v>3</v>
      </c>
      <c r="F186" s="2">
        <f>J185</f>
        <v>0.79735500000000004</v>
      </c>
      <c r="G186" s="9"/>
      <c r="I186" s="9"/>
      <c r="L186" s="9" t="s">
        <v>2</v>
      </c>
      <c r="M186" s="38">
        <f>D186*F186</f>
        <v>4.1191359300000068</v>
      </c>
      <c r="N186" s="38" t="s">
        <v>10</v>
      </c>
      <c r="O186" s="10"/>
      <c r="R186" s="10"/>
      <c r="S186" s="10"/>
      <c r="T186" s="10"/>
      <c r="U186" s="10"/>
      <c r="V186" s="10"/>
      <c r="W186" s="10"/>
      <c r="X186" s="10"/>
      <c r="Y186" s="10"/>
      <c r="Z186" s="10"/>
      <c r="AA186" s="10"/>
      <c r="AB186" s="10"/>
      <c r="AC186" s="10"/>
      <c r="AD186" s="10"/>
      <c r="AE186" s="10"/>
      <c r="AF186" s="10"/>
      <c r="AG186" s="10"/>
    </row>
    <row r="187" spans="1:36">
      <c r="B187" s="59" t="s">
        <v>74</v>
      </c>
      <c r="D187" s="21">
        <f>D188+0.6</f>
        <v>93.569999999999979</v>
      </c>
      <c r="E187" s="60" t="s">
        <v>75</v>
      </c>
      <c r="F187" s="21">
        <f>$M$186</f>
        <v>4.1191359300000068</v>
      </c>
      <c r="G187" s="9" t="s">
        <v>3</v>
      </c>
      <c r="H187" s="2">
        <f>$D$184-D187</f>
        <v>5.0525000000000091</v>
      </c>
      <c r="I187" s="16" t="s">
        <v>2</v>
      </c>
      <c r="J187" s="38">
        <f>F187*H187</f>
        <v>20.811934286325073</v>
      </c>
      <c r="K187" s="38" t="s">
        <v>5</v>
      </c>
    </row>
    <row r="188" spans="1:36">
      <c r="B188" s="59" t="s">
        <v>74</v>
      </c>
      <c r="D188" s="21">
        <f>D189+1</f>
        <v>92.969999999999985</v>
      </c>
      <c r="E188" s="60" t="s">
        <v>75</v>
      </c>
      <c r="F188" s="21">
        <f>$M$178</f>
        <v>1.4331681000000003</v>
      </c>
      <c r="G188" s="9" t="s">
        <v>3</v>
      </c>
      <c r="H188" s="2">
        <f>$D$184-D188</f>
        <v>5.6525000000000034</v>
      </c>
      <c r="I188" s="16" t="s">
        <v>2</v>
      </c>
      <c r="J188" s="38">
        <f>F188*H188</f>
        <v>8.1009826852500062</v>
      </c>
      <c r="K188" s="38" t="s">
        <v>5</v>
      </c>
    </row>
    <row r="189" spans="1:36">
      <c r="B189" s="59" t="s">
        <v>74</v>
      </c>
      <c r="D189" s="113">
        <f>$E$20</f>
        <v>91.969999999999985</v>
      </c>
      <c r="E189" s="60" t="s">
        <v>75</v>
      </c>
      <c r="F189" s="21">
        <f>$M$178</f>
        <v>1.4331681000000003</v>
      </c>
      <c r="G189" s="9" t="s">
        <v>3</v>
      </c>
      <c r="H189" s="2">
        <f>$D$184-D189</f>
        <v>6.6525000000000034</v>
      </c>
      <c r="I189" s="16" t="s">
        <v>2</v>
      </c>
      <c r="J189" s="38">
        <f>F189*H189</f>
        <v>9.5341507852500076</v>
      </c>
      <c r="K189" s="38" t="s">
        <v>5</v>
      </c>
    </row>
    <row r="190" spans="1:36">
      <c r="B190" s="49" t="s">
        <v>135</v>
      </c>
      <c r="C190" s="9"/>
      <c r="E190" s="9"/>
      <c r="G190" s="9"/>
      <c r="I190" s="9"/>
      <c r="K190" s="9"/>
      <c r="L190" s="5"/>
      <c r="M190" s="9"/>
      <c r="O190" s="9"/>
      <c r="T190" s="10"/>
      <c r="U190" s="10"/>
      <c r="V190" s="10"/>
      <c r="W190" s="10"/>
      <c r="X190" s="10"/>
      <c r="Y190" s="10"/>
      <c r="Z190" s="10"/>
      <c r="AA190" s="10"/>
      <c r="AB190" s="10"/>
      <c r="AC190" s="10"/>
      <c r="AD190" s="10"/>
      <c r="AE190" s="10"/>
      <c r="AF190" s="10"/>
      <c r="AG190" s="10"/>
      <c r="AH190" s="10"/>
      <c r="AI190" s="10"/>
      <c r="AJ190" s="10"/>
    </row>
    <row r="191" spans="1:36">
      <c r="B191" s="59" t="s">
        <v>74</v>
      </c>
      <c r="D191" s="21">
        <f>D187</f>
        <v>93.569999999999979</v>
      </c>
      <c r="E191" s="60" t="s">
        <v>75</v>
      </c>
      <c r="F191" s="21">
        <f>J167</f>
        <v>70.38637157784396</v>
      </c>
      <c r="G191" s="9" t="s">
        <v>7</v>
      </c>
      <c r="H191" s="21">
        <f>J179</f>
        <v>9.8960257305000248</v>
      </c>
      <c r="I191" s="9" t="s">
        <v>7</v>
      </c>
      <c r="J191" s="21">
        <f>J187</f>
        <v>20.811934286325073</v>
      </c>
      <c r="K191" s="9" t="s">
        <v>7</v>
      </c>
      <c r="P191" s="8"/>
      <c r="Q191" s="2"/>
    </row>
    <row r="192" spans="1:36">
      <c r="B192" s="59"/>
      <c r="D192" s="21"/>
      <c r="E192" s="9"/>
      <c r="F192" s="21"/>
      <c r="G192" s="9"/>
      <c r="H192" s="22"/>
      <c r="I192" s="57"/>
      <c r="J192" s="21"/>
      <c r="K192" s="16" t="s">
        <v>2</v>
      </c>
      <c r="L192" s="2">
        <f>SUM(F191:R191)</f>
        <v>101.09433159466906</v>
      </c>
      <c r="M192" s="38" t="s">
        <v>5</v>
      </c>
      <c r="N192" s="21"/>
      <c r="O192" s="9"/>
      <c r="P192" s="161"/>
      <c r="Q192" s="57"/>
      <c r="R192" s="21"/>
      <c r="S192" s="16"/>
      <c r="U192" s="38"/>
    </row>
    <row r="193" spans="1:36">
      <c r="B193" s="59" t="s">
        <v>74</v>
      </c>
      <c r="D193" s="21">
        <f>D188</f>
        <v>92.969999999999985</v>
      </c>
      <c r="E193" s="60" t="s">
        <v>75</v>
      </c>
      <c r="F193" s="21">
        <f>J168</f>
        <v>75.930424475343912</v>
      </c>
      <c r="G193" s="9" t="s">
        <v>7</v>
      </c>
      <c r="H193" s="21">
        <f>J180</f>
        <v>10.755926590500016</v>
      </c>
      <c r="I193" s="9" t="s">
        <v>7</v>
      </c>
      <c r="J193" s="21">
        <f>J188</f>
        <v>8.1009826852500062</v>
      </c>
      <c r="K193" s="9" t="s">
        <v>7</v>
      </c>
      <c r="P193" s="8"/>
      <c r="Q193" s="2"/>
    </row>
    <row r="194" spans="1:36">
      <c r="B194" s="59"/>
      <c r="D194" s="21"/>
      <c r="E194" s="9"/>
      <c r="F194" s="21"/>
      <c r="G194" s="9"/>
      <c r="H194" s="22"/>
      <c r="I194" s="57"/>
      <c r="J194" s="21"/>
      <c r="K194" s="16" t="s">
        <v>2</v>
      </c>
      <c r="L194" s="2">
        <f>SUM(F193:R193)</f>
        <v>94.787333751093925</v>
      </c>
      <c r="M194" s="38" t="s">
        <v>5</v>
      </c>
      <c r="N194" s="21"/>
      <c r="O194" s="9"/>
      <c r="P194" s="161"/>
      <c r="Q194" s="57"/>
      <c r="R194" s="21"/>
      <c r="S194" s="16"/>
      <c r="U194" s="38"/>
    </row>
    <row r="195" spans="1:36">
      <c r="B195" s="59" t="s">
        <v>74</v>
      </c>
      <c r="D195" s="21">
        <f>D189</f>
        <v>91.969999999999985</v>
      </c>
      <c r="E195" s="60" t="s">
        <v>75</v>
      </c>
      <c r="F195" s="21">
        <f>J169</f>
        <v>85.170512637843913</v>
      </c>
      <c r="G195" s="9" t="s">
        <v>7</v>
      </c>
      <c r="H195" s="21">
        <f>J181</f>
        <v>12.189094690500017</v>
      </c>
      <c r="I195" s="9" t="s">
        <v>7</v>
      </c>
      <c r="J195" s="21">
        <f>J189</f>
        <v>9.5341507852500076</v>
      </c>
      <c r="K195" s="9" t="s">
        <v>7</v>
      </c>
      <c r="P195" s="8"/>
      <c r="Q195" s="2"/>
    </row>
    <row r="196" spans="1:36">
      <c r="B196" s="59"/>
      <c r="D196" s="21"/>
      <c r="E196" s="9"/>
      <c r="F196" s="21"/>
      <c r="G196" s="9"/>
      <c r="H196" s="22"/>
      <c r="I196" s="57"/>
      <c r="J196" s="21"/>
      <c r="K196" s="16" t="s">
        <v>2</v>
      </c>
      <c r="L196" s="2">
        <f>SUM(F195:R195)</f>
        <v>106.89375811359393</v>
      </c>
      <c r="M196" s="38" t="s">
        <v>5</v>
      </c>
      <c r="O196" s="9"/>
      <c r="P196" s="161"/>
      <c r="Q196" s="57"/>
      <c r="R196" s="21"/>
      <c r="S196" s="16"/>
      <c r="U196" s="38"/>
    </row>
    <row r="197" spans="1:36">
      <c r="B197" s="721" t="s">
        <v>95</v>
      </c>
      <c r="C197" s="721"/>
      <c r="D197" s="721"/>
      <c r="E197" s="721"/>
      <c r="F197" s="721"/>
      <c r="G197" s="721"/>
      <c r="H197" s="721"/>
      <c r="I197" s="9"/>
      <c r="K197" s="9"/>
      <c r="L197" s="5"/>
      <c r="M197" s="9"/>
      <c r="O197" s="9"/>
      <c r="T197" s="10"/>
      <c r="U197" s="10"/>
      <c r="V197" s="10"/>
      <c r="W197" s="10"/>
      <c r="X197" s="10"/>
      <c r="Y197" s="10"/>
      <c r="Z197" s="10"/>
      <c r="AA197" s="10"/>
      <c r="AB197" s="10"/>
      <c r="AC197" s="10"/>
      <c r="AD197" s="10"/>
      <c r="AE197" s="10"/>
      <c r="AF197" s="10"/>
      <c r="AG197" s="10"/>
      <c r="AH197" s="10"/>
      <c r="AI197" s="10"/>
      <c r="AJ197" s="10"/>
    </row>
    <row r="198" spans="1:36">
      <c r="B198" s="169" t="str">
        <f>CONCATENATE("CASE- 1  FOR SERVICE CONDITION AT R. L.",E20," M")</f>
        <v>CASE- 1  FOR SERVICE CONDITION AT R. L.91.97 M</v>
      </c>
      <c r="C198" s="9"/>
      <c r="E198" s="9"/>
      <c r="G198" s="9"/>
      <c r="I198" s="9"/>
      <c r="K198" s="9"/>
      <c r="L198" s="5"/>
      <c r="M198" s="9"/>
      <c r="O198" s="9"/>
      <c r="T198" s="10"/>
      <c r="U198" s="10"/>
      <c r="V198" s="10"/>
      <c r="W198" s="10"/>
      <c r="X198" s="10"/>
      <c r="Y198" s="10"/>
      <c r="Z198" s="10"/>
      <c r="AA198" s="10"/>
      <c r="AB198" s="10"/>
      <c r="AC198" s="10"/>
      <c r="AD198" s="10"/>
      <c r="AE198" s="10"/>
      <c r="AF198" s="10"/>
      <c r="AG198" s="10"/>
      <c r="AH198" s="10"/>
      <c r="AI198" s="10"/>
      <c r="AJ198" s="10"/>
    </row>
    <row r="199" spans="1:36">
      <c r="B199" s="43" t="s">
        <v>91</v>
      </c>
    </row>
    <row r="200" spans="1:36" s="38" customFormat="1">
      <c r="A200" s="11"/>
      <c r="B200" s="50" t="s">
        <v>54</v>
      </c>
      <c r="D200" s="42"/>
      <c r="E200" s="42"/>
      <c r="F200" s="42"/>
      <c r="P200" s="160"/>
      <c r="Q200" s="40"/>
    </row>
    <row r="201" spans="1:36">
      <c r="B201" s="44" t="s">
        <v>55</v>
      </c>
      <c r="C201" s="16" t="s">
        <v>2</v>
      </c>
      <c r="D201" s="42">
        <f>L29</f>
        <v>1463.6159999999998</v>
      </c>
      <c r="E201" s="42" t="s">
        <v>10</v>
      </c>
      <c r="F201" s="42"/>
      <c r="G201" s="38"/>
    </row>
    <row r="202" spans="1:36">
      <c r="B202" s="44" t="s">
        <v>56</v>
      </c>
      <c r="C202" s="16" t="s">
        <v>2</v>
      </c>
      <c r="D202" s="42">
        <f>P56</f>
        <v>2821.2050880000015</v>
      </c>
      <c r="E202" s="42" t="s">
        <v>10</v>
      </c>
      <c r="F202" s="42" t="s">
        <v>93</v>
      </c>
      <c r="G202" s="38"/>
    </row>
    <row r="203" spans="1:36">
      <c r="B203" s="44" t="s">
        <v>56</v>
      </c>
      <c r="C203" s="16" t="s">
        <v>2</v>
      </c>
      <c r="D203" s="42">
        <f>P59</f>
        <v>2271.8354700000018</v>
      </c>
      <c r="E203" s="42" t="s">
        <v>10</v>
      </c>
      <c r="F203" s="42" t="s">
        <v>94</v>
      </c>
      <c r="G203" s="38"/>
    </row>
    <row r="204" spans="1:36" s="38" customFormat="1">
      <c r="A204" s="11"/>
      <c r="B204" s="50" t="s">
        <v>92</v>
      </c>
      <c r="C204" s="16" t="s">
        <v>2</v>
      </c>
      <c r="D204" s="42">
        <f>H62</f>
        <v>788.26634730538922</v>
      </c>
      <c r="E204" s="42" t="s">
        <v>10</v>
      </c>
      <c r="F204" s="42"/>
      <c r="P204" s="160"/>
      <c r="Q204" s="40"/>
    </row>
    <row r="205" spans="1:36" s="38" customFormat="1">
      <c r="A205" s="11"/>
      <c r="B205" s="50" t="s">
        <v>103</v>
      </c>
      <c r="C205" s="16" t="s">
        <v>2</v>
      </c>
      <c r="D205" s="42">
        <f>D201+D202+D204</f>
        <v>5073.0874353053905</v>
      </c>
      <c r="E205" s="42" t="s">
        <v>10</v>
      </c>
      <c r="F205" s="42"/>
      <c r="P205" s="160"/>
      <c r="Q205" s="40"/>
    </row>
    <row r="206" spans="1:36" s="38" customFormat="1">
      <c r="A206" s="11"/>
      <c r="B206" s="50" t="s">
        <v>104</v>
      </c>
      <c r="C206" s="16" t="s">
        <v>2</v>
      </c>
      <c r="D206" s="42">
        <f>D201+D203+D204</f>
        <v>4523.7178173053908</v>
      </c>
      <c r="E206" s="42" t="s">
        <v>10</v>
      </c>
      <c r="F206" s="42"/>
      <c r="P206" s="160"/>
      <c r="Q206" s="40"/>
    </row>
    <row r="207" spans="1:36" s="38" customFormat="1">
      <c r="A207" s="11"/>
      <c r="B207" s="50" t="s">
        <v>136</v>
      </c>
      <c r="C207" s="16" t="s">
        <v>2</v>
      </c>
      <c r="D207" s="42">
        <f>$J$117</f>
        <v>112.56078556340799</v>
      </c>
      <c r="E207" s="63" t="s">
        <v>7</v>
      </c>
      <c r="F207" s="42">
        <f>$H$66</f>
        <v>244.25331736526948</v>
      </c>
      <c r="G207" s="63" t="s">
        <v>2</v>
      </c>
      <c r="H207" s="38">
        <f>D207+F207</f>
        <v>356.81410292867747</v>
      </c>
      <c r="I207" s="38" t="s">
        <v>5</v>
      </c>
      <c r="P207" s="160"/>
      <c r="Q207" s="40"/>
    </row>
    <row r="208" spans="1:36" s="38" customFormat="1">
      <c r="A208" s="11"/>
      <c r="B208" s="50" t="s">
        <v>137</v>
      </c>
      <c r="C208" s="16" t="s">
        <v>2</v>
      </c>
      <c r="D208" s="42">
        <f>$J$158</f>
        <v>112.56078556340799</v>
      </c>
      <c r="E208" s="63" t="s">
        <v>7</v>
      </c>
      <c r="F208" s="42">
        <f>$H$71</f>
        <v>2247.8811952095812</v>
      </c>
      <c r="G208" s="63" t="s">
        <v>2</v>
      </c>
      <c r="H208" s="38">
        <f>D208+F208</f>
        <v>2360.4419807729892</v>
      </c>
      <c r="I208" s="38" t="s">
        <v>5</v>
      </c>
      <c r="P208" s="160"/>
      <c r="Q208" s="40"/>
    </row>
    <row r="209" spans="2:36" ht="14.25">
      <c r="B209" s="47" t="s">
        <v>96</v>
      </c>
      <c r="C209" s="16" t="s">
        <v>2</v>
      </c>
      <c r="D209" s="41">
        <f>D53</f>
        <v>12</v>
      </c>
      <c r="E209" s="55" t="s">
        <v>3</v>
      </c>
      <c r="F209" s="41">
        <f>F53</f>
        <v>3.8</v>
      </c>
      <c r="G209" s="55"/>
      <c r="I209" s="9" t="s">
        <v>2</v>
      </c>
      <c r="J209" s="2">
        <f>D209*F209</f>
        <v>45.599999999999994</v>
      </c>
      <c r="K209" s="54" t="s">
        <v>102</v>
      </c>
      <c r="L209" s="5"/>
      <c r="M209" s="9"/>
      <c r="O209" s="9"/>
      <c r="T209" s="10"/>
      <c r="U209" s="10"/>
      <c r="V209" s="10"/>
      <c r="W209" s="10"/>
      <c r="X209" s="10"/>
      <c r="Y209" s="10"/>
      <c r="Z209" s="10"/>
      <c r="AA209" s="10"/>
      <c r="AB209" s="10"/>
      <c r="AC209" s="10"/>
      <c r="AD209" s="10"/>
      <c r="AE209" s="10"/>
      <c r="AF209" s="10"/>
      <c r="AG209" s="10"/>
      <c r="AH209" s="10"/>
      <c r="AI209" s="10"/>
      <c r="AJ209" s="10"/>
    </row>
    <row r="210" spans="2:36" hidden="1">
      <c r="B210" s="47"/>
      <c r="C210" s="16" t="s">
        <v>2</v>
      </c>
      <c r="D210" s="41"/>
      <c r="E210" s="55"/>
      <c r="F210" s="41"/>
      <c r="G210" s="55"/>
      <c r="I210" s="9"/>
      <c r="K210" s="9"/>
      <c r="L210" s="5"/>
      <c r="M210" s="9"/>
      <c r="O210" s="9"/>
      <c r="T210" s="10"/>
      <c r="U210" s="10"/>
      <c r="V210" s="10"/>
      <c r="W210" s="10"/>
      <c r="X210" s="10"/>
      <c r="Y210" s="10"/>
      <c r="Z210" s="10"/>
      <c r="AA210" s="10"/>
      <c r="AB210" s="10"/>
      <c r="AC210" s="10"/>
      <c r="AD210" s="10"/>
      <c r="AE210" s="10"/>
      <c r="AF210" s="10"/>
      <c r="AG210" s="10"/>
      <c r="AH210" s="10"/>
      <c r="AI210" s="10"/>
      <c r="AJ210" s="10"/>
    </row>
    <row r="211" spans="2:36" ht="15.75">
      <c r="B211" s="47" t="s">
        <v>97</v>
      </c>
      <c r="C211" s="16" t="s">
        <v>2</v>
      </c>
      <c r="D211" s="55" t="s">
        <v>99</v>
      </c>
      <c r="E211" s="55">
        <f>D209</f>
        <v>12</v>
      </c>
      <c r="F211" s="55" t="s">
        <v>3</v>
      </c>
      <c r="G211" s="55">
        <f>F209</f>
        <v>3.8</v>
      </c>
      <c r="H211" s="62" t="s">
        <v>100</v>
      </c>
      <c r="I211" s="9" t="s">
        <v>2</v>
      </c>
      <c r="J211" s="2">
        <f>E211*G211^2/6</f>
        <v>28.88</v>
      </c>
      <c r="K211" s="54" t="s">
        <v>101</v>
      </c>
      <c r="L211" s="5"/>
      <c r="M211" s="9"/>
      <c r="O211" s="9"/>
      <c r="T211" s="10"/>
      <c r="U211" s="10"/>
      <c r="V211" s="10"/>
      <c r="W211" s="10"/>
      <c r="X211" s="10"/>
      <c r="Y211" s="10"/>
      <c r="Z211" s="10"/>
      <c r="AA211" s="10"/>
      <c r="AB211" s="10"/>
      <c r="AC211" s="10"/>
      <c r="AD211" s="10"/>
      <c r="AE211" s="10"/>
      <c r="AF211" s="10"/>
      <c r="AG211" s="10"/>
      <c r="AH211" s="10"/>
      <c r="AI211" s="10"/>
      <c r="AJ211" s="10"/>
    </row>
    <row r="212" spans="2:36" ht="15.75">
      <c r="B212" s="47" t="s">
        <v>98</v>
      </c>
      <c r="C212" s="16" t="s">
        <v>2</v>
      </c>
      <c r="D212" s="55" t="s">
        <v>99</v>
      </c>
      <c r="E212" s="55">
        <f>E211</f>
        <v>12</v>
      </c>
      <c r="F212" s="62" t="s">
        <v>100</v>
      </c>
      <c r="G212" s="55" t="s">
        <v>3</v>
      </c>
      <c r="H212" s="41">
        <f>G211</f>
        <v>3.8</v>
      </c>
      <c r="I212" s="9" t="s">
        <v>2</v>
      </c>
      <c r="J212" s="2">
        <f>E212^2*H212/6</f>
        <v>91.199999999999989</v>
      </c>
      <c r="K212" s="54" t="s">
        <v>101</v>
      </c>
      <c r="L212" s="5"/>
      <c r="M212" s="9"/>
      <c r="O212" s="9"/>
      <c r="T212" s="10"/>
      <c r="U212" s="10"/>
      <c r="V212" s="10"/>
      <c r="W212" s="10"/>
      <c r="X212" s="10"/>
      <c r="Y212" s="10"/>
      <c r="Z212" s="10"/>
      <c r="AA212" s="10"/>
      <c r="AB212" s="10"/>
      <c r="AC212" s="10"/>
      <c r="AD212" s="10"/>
      <c r="AE212" s="10"/>
      <c r="AF212" s="10"/>
      <c r="AG212" s="10"/>
      <c r="AH212" s="10"/>
      <c r="AI212" s="10"/>
      <c r="AJ212" s="10"/>
    </row>
    <row r="213" spans="2:36">
      <c r="B213" s="47" t="s">
        <v>112</v>
      </c>
      <c r="C213" s="9" t="s">
        <v>17</v>
      </c>
      <c r="D213" s="2">
        <f>D206</f>
        <v>4523.7178173053908</v>
      </c>
      <c r="E213" s="9" t="s">
        <v>8</v>
      </c>
      <c r="F213" s="2">
        <f>$J$209</f>
        <v>45.599999999999994</v>
      </c>
      <c r="G213" s="55" t="s">
        <v>106</v>
      </c>
      <c r="H213" s="41">
        <f>$H$207</f>
        <v>356.81410292867747</v>
      </c>
      <c r="I213" s="9" t="s">
        <v>8</v>
      </c>
      <c r="J213" s="2">
        <f>$J$211</f>
        <v>28.88</v>
      </c>
      <c r="K213" s="55" t="s">
        <v>106</v>
      </c>
      <c r="L213" s="2">
        <f>$H$208</f>
        <v>2360.4419807729892</v>
      </c>
      <c r="M213" s="9" t="s">
        <v>8</v>
      </c>
      <c r="N213" s="2">
        <f>$J$212</f>
        <v>91.199999999999989</v>
      </c>
      <c r="O213" s="55" t="s">
        <v>15</v>
      </c>
      <c r="T213" s="10"/>
      <c r="U213" s="10"/>
      <c r="V213" s="10"/>
      <c r="W213" s="10"/>
      <c r="X213" s="10"/>
      <c r="Y213" s="10"/>
      <c r="Z213" s="10"/>
      <c r="AA213" s="10"/>
      <c r="AB213" s="10"/>
      <c r="AC213" s="10"/>
      <c r="AD213" s="10"/>
      <c r="AE213" s="10"/>
      <c r="AF213" s="10"/>
      <c r="AG213" s="10"/>
      <c r="AH213" s="10"/>
      <c r="AI213" s="10"/>
      <c r="AJ213" s="10"/>
    </row>
    <row r="214" spans="2:36">
      <c r="B214" s="47"/>
      <c r="C214" s="9" t="s">
        <v>2</v>
      </c>
      <c r="D214" s="41">
        <f>D213/F213</f>
        <v>99.204338098802438</v>
      </c>
      <c r="E214" s="55" t="s">
        <v>105</v>
      </c>
      <c r="F214" s="41">
        <f>H213/J213</f>
        <v>12.355058965674429</v>
      </c>
      <c r="G214" s="55" t="s">
        <v>105</v>
      </c>
      <c r="H214" s="41">
        <f>L213/N213</f>
        <v>25.882039262861728</v>
      </c>
      <c r="I214" s="9"/>
      <c r="K214" s="9"/>
      <c r="L214" s="5"/>
      <c r="M214" s="9"/>
      <c r="O214" s="9"/>
      <c r="T214" s="10"/>
      <c r="U214" s="10"/>
      <c r="V214" s="10"/>
      <c r="W214" s="10"/>
      <c r="X214" s="10"/>
      <c r="Y214" s="10"/>
      <c r="Z214" s="10"/>
      <c r="AA214" s="10"/>
      <c r="AB214" s="10"/>
      <c r="AC214" s="10"/>
      <c r="AD214" s="10"/>
      <c r="AE214" s="10"/>
      <c r="AF214" s="10"/>
      <c r="AG214" s="10"/>
      <c r="AH214" s="10"/>
      <c r="AI214" s="10"/>
      <c r="AJ214" s="10"/>
    </row>
    <row r="215" spans="2:36" ht="15.75">
      <c r="B215" s="47" t="s">
        <v>109</v>
      </c>
      <c r="C215" s="9" t="s">
        <v>2</v>
      </c>
      <c r="D215" s="41">
        <f>D214</f>
        <v>99.204338098802438</v>
      </c>
      <c r="E215" s="55" t="s">
        <v>7</v>
      </c>
      <c r="F215" s="41">
        <f>F214</f>
        <v>12.355058965674429</v>
      </c>
      <c r="G215" s="55" t="s">
        <v>7</v>
      </c>
      <c r="H215" s="41">
        <f>H214</f>
        <v>25.882039262861728</v>
      </c>
      <c r="I215" s="9"/>
      <c r="J215" s="5"/>
      <c r="K215" s="9"/>
      <c r="N215" s="10"/>
      <c r="O215" s="10"/>
      <c r="P215" s="160"/>
      <c r="Q215" s="40"/>
      <c r="T215" s="10"/>
      <c r="U215" s="10"/>
      <c r="V215" s="10"/>
      <c r="W215" s="10"/>
      <c r="X215" s="10"/>
      <c r="Y215" s="10"/>
      <c r="Z215" s="10"/>
      <c r="AA215" s="10"/>
      <c r="AB215" s="10"/>
      <c r="AC215" s="10"/>
      <c r="AD215" s="10"/>
      <c r="AE215" s="10"/>
      <c r="AF215" s="10"/>
      <c r="AG215" s="10"/>
      <c r="AH215" s="10"/>
      <c r="AI215" s="10"/>
      <c r="AJ215" s="10"/>
    </row>
    <row r="216" spans="2:36" ht="14.25">
      <c r="B216" s="43"/>
      <c r="C216" s="16" t="s">
        <v>2</v>
      </c>
      <c r="D216" s="42">
        <f>D215+F215+H215</f>
        <v>137.44143632733861</v>
      </c>
      <c r="E216" s="42" t="s">
        <v>108</v>
      </c>
      <c r="F216" s="48"/>
      <c r="G216" s="43"/>
      <c r="H216" s="48"/>
      <c r="I216" s="43"/>
      <c r="J216" s="38"/>
    </row>
    <row r="217" spans="2:36">
      <c r="B217" s="47"/>
      <c r="C217" s="9"/>
      <c r="D217" s="229" t="s">
        <v>604</v>
      </c>
      <c r="E217" s="9"/>
      <c r="G217" s="9"/>
      <c r="I217" s="9"/>
      <c r="O217" s="9"/>
      <c r="T217" s="10"/>
      <c r="U217" s="10"/>
      <c r="V217" s="10"/>
      <c r="W217" s="10"/>
      <c r="X217" s="10"/>
      <c r="Y217" s="10"/>
      <c r="Z217" s="10"/>
      <c r="AA217" s="10"/>
      <c r="AB217" s="10"/>
      <c r="AC217" s="10"/>
      <c r="AD217" s="10"/>
      <c r="AE217" s="10"/>
      <c r="AF217" s="10"/>
      <c r="AG217" s="10"/>
      <c r="AH217" s="10"/>
      <c r="AI217" s="10"/>
      <c r="AJ217" s="10"/>
    </row>
    <row r="218" spans="2:36" ht="15.75">
      <c r="B218" s="47" t="s">
        <v>110</v>
      </c>
      <c r="C218" s="9" t="s">
        <v>2</v>
      </c>
      <c r="D218" s="41">
        <f>D215</f>
        <v>99.204338098802438</v>
      </c>
      <c r="E218" s="55" t="s">
        <v>16</v>
      </c>
      <c r="F218" s="41">
        <f>F215</f>
        <v>12.355058965674429</v>
      </c>
      <c r="G218" s="55" t="s">
        <v>16</v>
      </c>
      <c r="H218" s="41">
        <f>H215</f>
        <v>25.882039262861728</v>
      </c>
      <c r="I218" s="9"/>
      <c r="J218" s="5"/>
      <c r="K218" s="9"/>
      <c r="N218" s="10"/>
      <c r="O218" s="10"/>
      <c r="P218" s="160"/>
      <c r="Q218" s="40"/>
      <c r="T218" s="10"/>
      <c r="U218" s="10"/>
      <c r="V218" s="10"/>
      <c r="W218" s="10"/>
      <c r="X218" s="10"/>
      <c r="Y218" s="10"/>
      <c r="Z218" s="10"/>
      <c r="AA218" s="10"/>
      <c r="AB218" s="10"/>
      <c r="AC218" s="10"/>
      <c r="AD218" s="10"/>
      <c r="AE218" s="10"/>
      <c r="AF218" s="10"/>
      <c r="AG218" s="10"/>
      <c r="AH218" s="10"/>
      <c r="AI218" s="10"/>
      <c r="AJ218" s="10"/>
    </row>
    <row r="219" spans="2:36" ht="14.25">
      <c r="B219" s="43"/>
      <c r="C219" s="16" t="s">
        <v>2</v>
      </c>
      <c r="D219" s="42">
        <f>D218-F218-H218</f>
        <v>60.967239870266283</v>
      </c>
      <c r="E219" s="42" t="s">
        <v>108</v>
      </c>
      <c r="F219" s="48"/>
      <c r="G219" s="43"/>
      <c r="H219" s="48"/>
      <c r="I219" s="43"/>
      <c r="J219" s="38"/>
    </row>
    <row r="220" spans="2:36">
      <c r="B220" s="47"/>
      <c r="C220" s="9"/>
      <c r="D220" s="229" t="s">
        <v>111</v>
      </c>
      <c r="J220" s="38"/>
      <c r="U220" s="10"/>
      <c r="V220" s="10"/>
      <c r="W220" s="10"/>
      <c r="X220" s="10"/>
      <c r="Y220" s="10"/>
      <c r="Z220" s="10"/>
      <c r="AA220" s="10"/>
      <c r="AB220" s="10"/>
      <c r="AC220" s="10"/>
      <c r="AD220" s="10"/>
      <c r="AE220" s="10"/>
      <c r="AF220" s="10"/>
      <c r="AG220" s="10"/>
      <c r="AH220" s="10"/>
      <c r="AI220" s="10"/>
      <c r="AJ220" s="10"/>
    </row>
    <row r="221" spans="2:36">
      <c r="B221" s="49"/>
      <c r="C221" s="9"/>
      <c r="J221" s="38"/>
      <c r="U221" s="10"/>
      <c r="V221" s="10"/>
      <c r="W221" s="10"/>
      <c r="X221" s="10"/>
      <c r="Y221" s="10"/>
      <c r="Z221" s="10"/>
      <c r="AA221" s="10"/>
      <c r="AB221" s="10"/>
      <c r="AC221" s="10"/>
      <c r="AD221" s="10"/>
      <c r="AE221" s="10"/>
      <c r="AF221" s="10"/>
      <c r="AG221" s="10"/>
      <c r="AH221" s="10"/>
      <c r="AI221" s="10"/>
      <c r="AJ221" s="10"/>
    </row>
    <row r="222" spans="2:36">
      <c r="B222" s="47" t="s">
        <v>113</v>
      </c>
      <c r="C222" s="9" t="s">
        <v>17</v>
      </c>
      <c r="D222" s="2">
        <f>D205</f>
        <v>5073.0874353053905</v>
      </c>
      <c r="E222" s="9" t="s">
        <v>8</v>
      </c>
      <c r="F222" s="2">
        <f>$J$209</f>
        <v>45.599999999999994</v>
      </c>
      <c r="G222" s="55" t="s">
        <v>106</v>
      </c>
      <c r="H222" s="41">
        <f>$H$207</f>
        <v>356.81410292867747</v>
      </c>
      <c r="I222" s="9" t="s">
        <v>8</v>
      </c>
      <c r="J222" s="2">
        <f>$J$211</f>
        <v>28.88</v>
      </c>
      <c r="K222" s="55" t="s">
        <v>106</v>
      </c>
      <c r="L222" s="2">
        <f>$H$208</f>
        <v>2360.4419807729892</v>
      </c>
      <c r="M222" s="9" t="s">
        <v>8</v>
      </c>
      <c r="N222" s="2">
        <f>$J$212</f>
        <v>91.199999999999989</v>
      </c>
      <c r="O222" s="55" t="s">
        <v>15</v>
      </c>
      <c r="T222" s="10"/>
      <c r="U222" s="10"/>
      <c r="V222" s="10"/>
      <c r="W222" s="10"/>
      <c r="X222" s="10"/>
      <c r="Y222" s="10"/>
      <c r="Z222" s="10"/>
      <c r="AA222" s="10"/>
      <c r="AB222" s="10"/>
      <c r="AC222" s="10"/>
      <c r="AD222" s="10"/>
      <c r="AE222" s="10"/>
      <c r="AF222" s="10"/>
      <c r="AG222" s="10"/>
      <c r="AH222" s="10"/>
      <c r="AI222" s="10"/>
      <c r="AJ222" s="10"/>
    </row>
    <row r="223" spans="2:36">
      <c r="B223" s="47"/>
      <c r="C223" s="9" t="s">
        <v>2</v>
      </c>
      <c r="D223" s="41">
        <f>D222/F222</f>
        <v>111.2519174409077</v>
      </c>
      <c r="E223" s="55" t="s">
        <v>105</v>
      </c>
      <c r="F223" s="41">
        <f>H222/J222</f>
        <v>12.355058965674429</v>
      </c>
      <c r="G223" s="55" t="s">
        <v>105</v>
      </c>
      <c r="H223" s="41">
        <f>L222/N222</f>
        <v>25.882039262861728</v>
      </c>
      <c r="I223" s="9"/>
      <c r="K223" s="9"/>
      <c r="L223" s="5"/>
      <c r="M223" s="9"/>
      <c r="O223" s="9"/>
      <c r="T223" s="10"/>
      <c r="U223" s="10"/>
      <c r="V223" s="10"/>
      <c r="W223" s="10"/>
      <c r="X223" s="10"/>
      <c r="Y223" s="10"/>
      <c r="Z223" s="10"/>
      <c r="AA223" s="10"/>
      <c r="AB223" s="10"/>
      <c r="AC223" s="10"/>
      <c r="AD223" s="10"/>
      <c r="AE223" s="10"/>
      <c r="AF223" s="10"/>
      <c r="AG223" s="10"/>
      <c r="AH223" s="10"/>
      <c r="AI223" s="10"/>
      <c r="AJ223" s="10"/>
    </row>
    <row r="224" spans="2:36" ht="15.75">
      <c r="B224" s="47" t="s">
        <v>109</v>
      </c>
      <c r="C224" s="9" t="s">
        <v>2</v>
      </c>
      <c r="D224" s="41">
        <f>D223</f>
        <v>111.2519174409077</v>
      </c>
      <c r="E224" s="55" t="s">
        <v>7</v>
      </c>
      <c r="F224" s="41">
        <f>F223</f>
        <v>12.355058965674429</v>
      </c>
      <c r="G224" s="55" t="s">
        <v>7</v>
      </c>
      <c r="H224" s="41">
        <f>H223</f>
        <v>25.882039262861728</v>
      </c>
      <c r="I224" s="9"/>
      <c r="J224" s="5"/>
      <c r="K224" s="9"/>
      <c r="N224" s="10"/>
      <c r="O224" s="10"/>
      <c r="P224" s="160"/>
      <c r="Q224" s="40"/>
      <c r="T224" s="10"/>
      <c r="U224" s="10"/>
      <c r="V224" s="10"/>
      <c r="W224" s="10"/>
      <c r="X224" s="10"/>
      <c r="Y224" s="10"/>
      <c r="Z224" s="10"/>
      <c r="AA224" s="10"/>
      <c r="AB224" s="10"/>
      <c r="AC224" s="10"/>
      <c r="AD224" s="10"/>
      <c r="AE224" s="10"/>
      <c r="AF224" s="10"/>
      <c r="AG224" s="10"/>
      <c r="AH224" s="10"/>
      <c r="AI224" s="10"/>
      <c r="AJ224" s="10"/>
    </row>
    <row r="225" spans="1:36" ht="14.25">
      <c r="B225" s="43"/>
      <c r="C225" s="16" t="s">
        <v>2</v>
      </c>
      <c r="D225" s="42">
        <f>D224+F224+H224-12</f>
        <v>137.48901566944386</v>
      </c>
      <c r="E225" s="42" t="s">
        <v>108</v>
      </c>
      <c r="F225" s="48"/>
      <c r="G225" s="43"/>
      <c r="H225" s="48"/>
      <c r="I225" s="43"/>
      <c r="J225" s="38"/>
    </row>
    <row r="226" spans="1:36">
      <c r="B226" s="47"/>
      <c r="C226" s="9"/>
      <c r="D226" s="229" t="s">
        <v>604</v>
      </c>
      <c r="E226" s="9"/>
      <c r="G226" s="9"/>
      <c r="I226" s="9"/>
      <c r="O226" s="9"/>
      <c r="T226" s="10"/>
      <c r="U226" s="10"/>
      <c r="V226" s="10"/>
      <c r="W226" s="10"/>
      <c r="X226" s="10"/>
      <c r="Y226" s="10"/>
      <c r="Z226" s="10"/>
      <c r="AA226" s="10"/>
      <c r="AB226" s="10"/>
      <c r="AC226" s="10"/>
      <c r="AD226" s="10"/>
      <c r="AE226" s="10"/>
      <c r="AF226" s="10"/>
      <c r="AG226" s="10"/>
      <c r="AH226" s="10"/>
      <c r="AI226" s="10"/>
      <c r="AJ226" s="10"/>
    </row>
    <row r="227" spans="1:36" ht="15.75">
      <c r="B227" s="47" t="s">
        <v>110</v>
      </c>
      <c r="C227" s="9" t="s">
        <v>2</v>
      </c>
      <c r="D227" s="41">
        <f>D224</f>
        <v>111.2519174409077</v>
      </c>
      <c r="E227" s="55" t="s">
        <v>16</v>
      </c>
      <c r="F227" s="41">
        <f>F224</f>
        <v>12.355058965674429</v>
      </c>
      <c r="G227" s="55" t="s">
        <v>16</v>
      </c>
      <c r="H227" s="41">
        <f>H224</f>
        <v>25.882039262861728</v>
      </c>
      <c r="I227" s="9"/>
      <c r="J227" s="5"/>
      <c r="K227" s="9"/>
      <c r="N227" s="10"/>
      <c r="O227" s="10"/>
      <c r="P227" s="160"/>
      <c r="Q227" s="40"/>
      <c r="T227" s="10"/>
      <c r="U227" s="10"/>
      <c r="V227" s="10"/>
      <c r="W227" s="10"/>
      <c r="X227" s="10"/>
      <c r="Y227" s="10"/>
      <c r="Z227" s="10"/>
      <c r="AA227" s="10"/>
      <c r="AB227" s="10"/>
      <c r="AC227" s="10"/>
      <c r="AD227" s="10"/>
      <c r="AE227" s="10"/>
      <c r="AF227" s="10"/>
      <c r="AG227" s="10"/>
      <c r="AH227" s="10"/>
      <c r="AI227" s="10"/>
      <c r="AJ227" s="10"/>
    </row>
    <row r="228" spans="1:36" ht="14.25">
      <c r="B228" s="43"/>
      <c r="C228" s="16" t="s">
        <v>2</v>
      </c>
      <c r="D228" s="42">
        <f>D227-F227-H227</f>
        <v>73.014819212371549</v>
      </c>
      <c r="E228" s="42" t="s">
        <v>108</v>
      </c>
      <c r="F228" s="48"/>
      <c r="G228" s="43"/>
      <c r="H228" s="48"/>
      <c r="I228" s="43"/>
      <c r="J228" s="38"/>
    </row>
    <row r="229" spans="1:36">
      <c r="B229" s="47"/>
      <c r="C229" s="9"/>
      <c r="D229" s="229" t="s">
        <v>111</v>
      </c>
      <c r="J229" s="38"/>
      <c r="U229" s="10"/>
      <c r="V229" s="10"/>
      <c r="W229" s="10"/>
      <c r="X229" s="10"/>
      <c r="Y229" s="10"/>
      <c r="Z229" s="10"/>
      <c r="AA229" s="10"/>
      <c r="AB229" s="10"/>
      <c r="AC229" s="10"/>
      <c r="AD229" s="10"/>
      <c r="AE229" s="10"/>
      <c r="AF229" s="10"/>
      <c r="AG229" s="10"/>
      <c r="AH229" s="10"/>
      <c r="AI229" s="10"/>
      <c r="AJ229" s="10"/>
    </row>
    <row r="230" spans="1:36">
      <c r="B230" s="47"/>
      <c r="C230" s="9"/>
      <c r="D230" s="63"/>
      <c r="J230" s="38"/>
      <c r="U230" s="10"/>
      <c r="V230" s="10"/>
      <c r="W230" s="10"/>
      <c r="X230" s="10"/>
      <c r="Y230" s="10"/>
      <c r="Z230" s="10"/>
      <c r="AA230" s="10"/>
      <c r="AB230" s="10"/>
      <c r="AC230" s="10"/>
      <c r="AD230" s="10"/>
      <c r="AE230" s="10"/>
      <c r="AF230" s="10"/>
      <c r="AG230" s="10"/>
      <c r="AH230" s="10"/>
      <c r="AI230" s="10"/>
      <c r="AJ230" s="10"/>
    </row>
    <row r="231" spans="1:36">
      <c r="B231" s="169" t="str">
        <f>CONCATENATE("CASE- 2  FOR IDLE CONDITION AT R. L.",E20," M")</f>
        <v>CASE- 2  FOR IDLE CONDITION AT R. L.91.97 M</v>
      </c>
      <c r="C231" s="9"/>
      <c r="E231" s="9"/>
      <c r="F231" s="67" t="s">
        <v>241</v>
      </c>
      <c r="G231" s="9"/>
      <c r="I231" s="9"/>
      <c r="K231" s="9"/>
      <c r="L231" s="5"/>
      <c r="M231" s="9"/>
      <c r="O231" s="9"/>
      <c r="P231" s="160"/>
      <c r="Q231" s="40"/>
      <c r="T231" s="10"/>
      <c r="U231" s="10"/>
      <c r="V231" s="10"/>
      <c r="W231" s="10"/>
      <c r="X231" s="10"/>
      <c r="Y231" s="10"/>
      <c r="Z231" s="10"/>
      <c r="AA231" s="10"/>
      <c r="AB231" s="10"/>
      <c r="AC231" s="10"/>
      <c r="AD231" s="10"/>
      <c r="AE231" s="10"/>
      <c r="AF231" s="10"/>
      <c r="AG231" s="10"/>
      <c r="AH231" s="10"/>
      <c r="AI231" s="10"/>
      <c r="AJ231" s="10"/>
    </row>
    <row r="232" spans="1:36" hidden="1">
      <c r="B232" s="47"/>
      <c r="C232" s="9"/>
      <c r="E232" s="9"/>
      <c r="G232" s="9"/>
      <c r="I232" s="9"/>
      <c r="K232" s="9"/>
      <c r="L232" s="5"/>
      <c r="M232" s="9"/>
      <c r="O232" s="9"/>
      <c r="P232" s="160"/>
      <c r="Q232" s="40"/>
      <c r="T232" s="10"/>
      <c r="U232" s="10"/>
      <c r="V232" s="10"/>
      <c r="W232" s="10"/>
      <c r="X232" s="10"/>
      <c r="Y232" s="10"/>
      <c r="Z232" s="10"/>
      <c r="AA232" s="10"/>
      <c r="AB232" s="10"/>
      <c r="AC232" s="10"/>
      <c r="AD232" s="10"/>
      <c r="AE232" s="10"/>
      <c r="AF232" s="10"/>
      <c r="AG232" s="10"/>
      <c r="AH232" s="10"/>
      <c r="AI232" s="10"/>
      <c r="AJ232" s="10"/>
    </row>
    <row r="233" spans="1:36">
      <c r="B233" s="44" t="s">
        <v>55</v>
      </c>
      <c r="C233" s="16" t="s">
        <v>2</v>
      </c>
      <c r="D233" s="42">
        <f>D201</f>
        <v>1463.6159999999998</v>
      </c>
      <c r="E233" s="42" t="s">
        <v>10</v>
      </c>
      <c r="F233" s="42" t="s">
        <v>242</v>
      </c>
      <c r="G233" s="38"/>
    </row>
    <row r="234" spans="1:36">
      <c r="B234" s="44" t="s">
        <v>56</v>
      </c>
      <c r="C234" s="16" t="s">
        <v>2</v>
      </c>
      <c r="D234" s="42">
        <f>D202</f>
        <v>2821.2050880000015</v>
      </c>
      <c r="E234" s="42" t="s">
        <v>10</v>
      </c>
      <c r="F234" s="42" t="s">
        <v>93</v>
      </c>
      <c r="G234" s="38"/>
    </row>
    <row r="235" spans="1:36">
      <c r="B235" s="44" t="s">
        <v>56</v>
      </c>
      <c r="C235" s="16" t="s">
        <v>2</v>
      </c>
      <c r="D235" s="42">
        <f>D203</f>
        <v>2271.8354700000018</v>
      </c>
      <c r="E235" s="42" t="s">
        <v>10</v>
      </c>
      <c r="F235" s="42" t="s">
        <v>94</v>
      </c>
      <c r="G235" s="38"/>
    </row>
    <row r="236" spans="1:36" s="38" customFormat="1">
      <c r="A236" s="11"/>
      <c r="B236" s="50" t="s">
        <v>92</v>
      </c>
      <c r="C236" s="16" t="s">
        <v>2</v>
      </c>
      <c r="D236" s="42">
        <v>0</v>
      </c>
      <c r="E236" s="42" t="s">
        <v>10</v>
      </c>
      <c r="F236" s="42"/>
      <c r="P236" s="160"/>
      <c r="Q236" s="40"/>
    </row>
    <row r="237" spans="1:36" s="38" customFormat="1">
      <c r="A237" s="11"/>
      <c r="B237" s="50" t="s">
        <v>103</v>
      </c>
      <c r="C237" s="16" t="s">
        <v>2</v>
      </c>
      <c r="D237" s="42">
        <f>D233+D234+D236</f>
        <v>4284.8210880000015</v>
      </c>
      <c r="E237" s="42" t="s">
        <v>10</v>
      </c>
      <c r="F237" s="42"/>
      <c r="P237" s="160"/>
      <c r="Q237" s="40"/>
    </row>
    <row r="238" spans="1:36" s="38" customFormat="1">
      <c r="A238" s="11"/>
      <c r="B238" s="50" t="s">
        <v>104</v>
      </c>
      <c r="C238" s="16" t="s">
        <v>2</v>
      </c>
      <c r="D238" s="42">
        <f>D233+D235+D236</f>
        <v>3735.4514700000018</v>
      </c>
      <c r="E238" s="42" t="s">
        <v>10</v>
      </c>
      <c r="F238" s="42"/>
      <c r="P238" s="160"/>
      <c r="Q238" s="40"/>
    </row>
    <row r="239" spans="1:36">
      <c r="B239" s="47" t="s">
        <v>112</v>
      </c>
      <c r="C239" s="9" t="s">
        <v>17</v>
      </c>
      <c r="D239" s="2">
        <f>D238</f>
        <v>3735.4514700000018</v>
      </c>
      <c r="E239" s="9" t="s">
        <v>8</v>
      </c>
      <c r="F239" s="2">
        <f>$J$209</f>
        <v>45.599999999999994</v>
      </c>
      <c r="G239" s="55" t="s">
        <v>106</v>
      </c>
      <c r="H239" s="41">
        <f>$J$117</f>
        <v>112.56078556340799</v>
      </c>
      <c r="I239" s="9" t="s">
        <v>8</v>
      </c>
      <c r="J239" s="2">
        <f>$J$211</f>
        <v>28.88</v>
      </c>
      <c r="K239" s="55" t="s">
        <v>106</v>
      </c>
      <c r="L239" s="2">
        <f>$J$158</f>
        <v>112.56078556340799</v>
      </c>
      <c r="M239" s="9" t="s">
        <v>8</v>
      </c>
      <c r="N239" s="2">
        <f>$J$212</f>
        <v>91.199999999999989</v>
      </c>
      <c r="O239" s="55" t="s">
        <v>15</v>
      </c>
      <c r="T239" s="10"/>
      <c r="U239" s="10"/>
      <c r="V239" s="10"/>
      <c r="W239" s="10"/>
      <c r="X239" s="10"/>
      <c r="Y239" s="10"/>
      <c r="Z239" s="10"/>
      <c r="AA239" s="10"/>
      <c r="AB239" s="10"/>
      <c r="AC239" s="10"/>
      <c r="AD239" s="10"/>
      <c r="AE239" s="10"/>
      <c r="AF239" s="10"/>
      <c r="AG239" s="10"/>
      <c r="AH239" s="10"/>
      <c r="AI239" s="10"/>
      <c r="AJ239" s="10"/>
    </row>
    <row r="240" spans="1:36">
      <c r="B240" s="47"/>
      <c r="C240" s="9" t="s">
        <v>2</v>
      </c>
      <c r="D240" s="41">
        <f>D239/F239</f>
        <v>81.917795394736885</v>
      </c>
      <c r="E240" s="55" t="s">
        <v>105</v>
      </c>
      <c r="F240" s="41">
        <f>H239/J239</f>
        <v>3.8975341261567866</v>
      </c>
      <c r="G240" s="55" t="s">
        <v>105</v>
      </c>
      <c r="H240" s="41">
        <f>L239/N239</f>
        <v>1.2342191399496492</v>
      </c>
      <c r="I240" s="9"/>
      <c r="K240" s="9"/>
      <c r="L240" s="5"/>
      <c r="M240" s="9"/>
      <c r="O240" s="9"/>
      <c r="T240" s="10"/>
      <c r="U240" s="10"/>
      <c r="V240" s="10"/>
      <c r="W240" s="10"/>
      <c r="X240" s="10"/>
      <c r="Y240" s="10"/>
      <c r="Z240" s="10"/>
      <c r="AA240" s="10"/>
      <c r="AB240" s="10"/>
      <c r="AC240" s="10"/>
      <c r="AD240" s="10"/>
      <c r="AE240" s="10"/>
      <c r="AF240" s="10"/>
      <c r="AG240" s="10"/>
      <c r="AH240" s="10"/>
      <c r="AI240" s="10"/>
      <c r="AJ240" s="10"/>
    </row>
    <row r="241" spans="2:36" ht="15.75">
      <c r="B241" s="47" t="s">
        <v>109</v>
      </c>
      <c r="C241" s="9" t="s">
        <v>2</v>
      </c>
      <c r="D241" s="41">
        <f>D240</f>
        <v>81.917795394736885</v>
      </c>
      <c r="E241" s="55" t="s">
        <v>7</v>
      </c>
      <c r="F241" s="41">
        <f>F240</f>
        <v>3.8975341261567866</v>
      </c>
      <c r="G241" s="55" t="s">
        <v>7</v>
      </c>
      <c r="H241" s="41">
        <f>H240</f>
        <v>1.2342191399496492</v>
      </c>
      <c r="I241" s="9"/>
      <c r="J241" s="5"/>
      <c r="K241" s="9"/>
      <c r="N241" s="10"/>
      <c r="O241" s="10"/>
      <c r="P241" s="160"/>
      <c r="Q241" s="40"/>
      <c r="T241" s="10"/>
      <c r="U241" s="10"/>
      <c r="V241" s="10"/>
      <c r="W241" s="10"/>
      <c r="X241" s="10"/>
      <c r="Y241" s="10"/>
      <c r="Z241" s="10"/>
      <c r="AA241" s="10"/>
      <c r="AB241" s="10"/>
      <c r="AC241" s="10"/>
      <c r="AD241" s="10"/>
      <c r="AE241" s="10"/>
      <c r="AF241" s="10"/>
      <c r="AG241" s="10"/>
      <c r="AH241" s="10"/>
      <c r="AI241" s="10"/>
      <c r="AJ241" s="10"/>
    </row>
    <row r="242" spans="2:36" ht="14.25">
      <c r="B242" s="43"/>
      <c r="C242" s="16" t="s">
        <v>2</v>
      </c>
      <c r="D242" s="42">
        <f>D241+F241+H241</f>
        <v>87.049548660843314</v>
      </c>
      <c r="E242" s="42" t="s">
        <v>108</v>
      </c>
      <c r="F242" s="48"/>
      <c r="G242" s="43"/>
      <c r="H242" s="48"/>
      <c r="I242" s="43"/>
      <c r="J242" s="38"/>
    </row>
    <row r="243" spans="2:36">
      <c r="B243" s="47"/>
      <c r="C243" s="9"/>
      <c r="D243" s="229" t="s">
        <v>604</v>
      </c>
      <c r="E243" s="9"/>
      <c r="G243" s="9"/>
      <c r="I243" s="9"/>
      <c r="O243" s="9"/>
      <c r="T243" s="10"/>
      <c r="U243" s="10"/>
      <c r="V243" s="10"/>
      <c r="W243" s="10"/>
      <c r="X243" s="10"/>
      <c r="Y243" s="10"/>
      <c r="Z243" s="10"/>
      <c r="AA243" s="10"/>
      <c r="AB243" s="10"/>
      <c r="AC243" s="10"/>
      <c r="AD243" s="10"/>
      <c r="AE243" s="10"/>
      <c r="AF243" s="10"/>
      <c r="AG243" s="10"/>
      <c r="AH243" s="10"/>
      <c r="AI243" s="10"/>
      <c r="AJ243" s="10"/>
    </row>
    <row r="244" spans="2:36" ht="15.75">
      <c r="B244" s="47" t="s">
        <v>110</v>
      </c>
      <c r="C244" s="9" t="s">
        <v>2</v>
      </c>
      <c r="D244" s="41">
        <f>D241</f>
        <v>81.917795394736885</v>
      </c>
      <c r="E244" s="55" t="s">
        <v>16</v>
      </c>
      <c r="F244" s="41">
        <f>F241</f>
        <v>3.8975341261567866</v>
      </c>
      <c r="G244" s="55" t="s">
        <v>16</v>
      </c>
      <c r="H244" s="41">
        <f>H241</f>
        <v>1.2342191399496492</v>
      </c>
      <c r="I244" s="9"/>
      <c r="J244" s="5"/>
      <c r="K244" s="9"/>
      <c r="N244" s="10"/>
      <c r="O244" s="10"/>
      <c r="P244" s="160"/>
      <c r="Q244" s="40"/>
      <c r="T244" s="10"/>
      <c r="U244" s="10"/>
      <c r="V244" s="10"/>
      <c r="W244" s="10"/>
      <c r="X244" s="10"/>
      <c r="Y244" s="10"/>
      <c r="Z244" s="10"/>
      <c r="AA244" s="10"/>
      <c r="AB244" s="10"/>
      <c r="AC244" s="10"/>
      <c r="AD244" s="10"/>
      <c r="AE244" s="10"/>
      <c r="AF244" s="10"/>
      <c r="AG244" s="10"/>
      <c r="AH244" s="10"/>
      <c r="AI244" s="10"/>
      <c r="AJ244" s="10"/>
    </row>
    <row r="245" spans="2:36" ht="14.25">
      <c r="B245" s="43"/>
      <c r="C245" s="16" t="s">
        <v>2</v>
      </c>
      <c r="D245" s="42">
        <f>D244-F244-H244</f>
        <v>76.786042128630456</v>
      </c>
      <c r="E245" s="42" t="s">
        <v>108</v>
      </c>
      <c r="F245" s="48"/>
      <c r="G245" s="43"/>
      <c r="H245" s="48"/>
      <c r="I245" s="43"/>
      <c r="J245" s="38"/>
    </row>
    <row r="246" spans="2:36">
      <c r="B246" s="47"/>
      <c r="C246" s="9"/>
      <c r="D246" s="229" t="s">
        <v>111</v>
      </c>
      <c r="J246" s="38"/>
      <c r="U246" s="10"/>
      <c r="V246" s="10"/>
      <c r="W246" s="10"/>
      <c r="X246" s="10"/>
      <c r="Y246" s="10"/>
      <c r="Z246" s="10"/>
      <c r="AA246" s="10"/>
      <c r="AB246" s="10"/>
      <c r="AC246" s="10"/>
      <c r="AD246" s="10"/>
      <c r="AE246" s="10"/>
      <c r="AF246" s="10"/>
      <c r="AG246" s="10"/>
      <c r="AH246" s="10"/>
      <c r="AI246" s="10"/>
      <c r="AJ246" s="10"/>
    </row>
    <row r="247" spans="2:36">
      <c r="B247" s="49"/>
      <c r="C247" s="9"/>
      <c r="J247" s="38"/>
      <c r="U247" s="10"/>
      <c r="V247" s="10"/>
      <c r="W247" s="10"/>
      <c r="X247" s="10"/>
      <c r="Y247" s="10"/>
      <c r="Z247" s="10"/>
      <c r="AA247" s="10"/>
      <c r="AB247" s="10"/>
      <c r="AC247" s="10"/>
      <c r="AD247" s="10"/>
      <c r="AE247" s="10"/>
      <c r="AF247" s="10"/>
      <c r="AG247" s="10"/>
      <c r="AH247" s="10"/>
      <c r="AI247" s="10"/>
      <c r="AJ247" s="10"/>
    </row>
    <row r="248" spans="2:36">
      <c r="B248" s="47" t="s">
        <v>113</v>
      </c>
      <c r="C248" s="9" t="s">
        <v>17</v>
      </c>
      <c r="D248" s="2">
        <f>D237</f>
        <v>4284.8210880000015</v>
      </c>
      <c r="E248" s="9" t="s">
        <v>8</v>
      </c>
      <c r="F248" s="2">
        <f>$J$209</f>
        <v>45.599999999999994</v>
      </c>
      <c r="G248" s="55" t="s">
        <v>106</v>
      </c>
      <c r="H248" s="41">
        <f>$J$117</f>
        <v>112.56078556340799</v>
      </c>
      <c r="I248" s="9" t="s">
        <v>8</v>
      </c>
      <c r="J248" s="2">
        <f>$J$211</f>
        <v>28.88</v>
      </c>
      <c r="K248" s="55" t="s">
        <v>106</v>
      </c>
      <c r="L248" s="2">
        <f>$J$158</f>
        <v>112.56078556340799</v>
      </c>
      <c r="M248" s="9" t="s">
        <v>8</v>
      </c>
      <c r="N248" s="2">
        <f>$J$212</f>
        <v>91.199999999999989</v>
      </c>
      <c r="O248" s="55" t="s">
        <v>15</v>
      </c>
      <c r="T248" s="10"/>
      <c r="U248" s="10"/>
      <c r="V248" s="10"/>
      <c r="W248" s="10"/>
      <c r="X248" s="10"/>
      <c r="Y248" s="10"/>
      <c r="Z248" s="10"/>
      <c r="AA248" s="10"/>
      <c r="AB248" s="10"/>
      <c r="AC248" s="10"/>
      <c r="AD248" s="10"/>
      <c r="AE248" s="10"/>
      <c r="AF248" s="10"/>
      <c r="AG248" s="10"/>
      <c r="AH248" s="10"/>
      <c r="AI248" s="10"/>
      <c r="AJ248" s="10"/>
    </row>
    <row r="249" spans="2:36">
      <c r="B249" s="47"/>
      <c r="C249" s="9" t="s">
        <v>2</v>
      </c>
      <c r="D249" s="41">
        <f>D248/F248</f>
        <v>93.965374736842151</v>
      </c>
      <c r="E249" s="55" t="s">
        <v>105</v>
      </c>
      <c r="F249" s="41">
        <f>H248/J248</f>
        <v>3.8975341261567866</v>
      </c>
      <c r="G249" s="55" t="s">
        <v>105</v>
      </c>
      <c r="H249" s="41">
        <f>L248/N248</f>
        <v>1.2342191399496492</v>
      </c>
      <c r="I249" s="9"/>
      <c r="K249" s="9"/>
      <c r="L249" s="5"/>
      <c r="M249" s="9"/>
      <c r="O249" s="9"/>
      <c r="T249" s="10"/>
      <c r="U249" s="10"/>
      <c r="V249" s="10"/>
      <c r="W249" s="10"/>
      <c r="X249" s="10"/>
      <c r="Y249" s="10"/>
      <c r="Z249" s="10"/>
      <c r="AA249" s="10"/>
      <c r="AB249" s="10"/>
      <c r="AC249" s="10"/>
      <c r="AD249" s="10"/>
      <c r="AE249" s="10"/>
      <c r="AF249" s="10"/>
      <c r="AG249" s="10"/>
      <c r="AH249" s="10"/>
      <c r="AI249" s="10"/>
      <c r="AJ249" s="10"/>
    </row>
    <row r="250" spans="2:36" ht="15.75">
      <c r="B250" s="47" t="s">
        <v>109</v>
      </c>
      <c r="C250" s="9" t="s">
        <v>2</v>
      </c>
      <c r="D250" s="41">
        <f>D249</f>
        <v>93.965374736842151</v>
      </c>
      <c r="E250" s="55" t="s">
        <v>7</v>
      </c>
      <c r="F250" s="41">
        <f>F249</f>
        <v>3.8975341261567866</v>
      </c>
      <c r="G250" s="55" t="s">
        <v>7</v>
      </c>
      <c r="H250" s="41">
        <f>H249</f>
        <v>1.2342191399496492</v>
      </c>
      <c r="I250" s="9"/>
      <c r="J250" s="5"/>
      <c r="K250" s="9"/>
      <c r="N250" s="10"/>
      <c r="O250" s="10"/>
      <c r="P250" s="160"/>
      <c r="Q250" s="40"/>
      <c r="T250" s="10"/>
      <c r="U250" s="10"/>
      <c r="V250" s="10"/>
      <c r="W250" s="10"/>
      <c r="X250" s="10"/>
      <c r="Y250" s="10"/>
      <c r="Z250" s="10"/>
      <c r="AA250" s="10"/>
      <c r="AB250" s="10"/>
      <c r="AC250" s="10"/>
      <c r="AD250" s="10"/>
      <c r="AE250" s="10"/>
      <c r="AF250" s="10"/>
      <c r="AG250" s="10"/>
      <c r="AH250" s="10"/>
      <c r="AI250" s="10"/>
      <c r="AJ250" s="10"/>
    </row>
    <row r="251" spans="2:36" ht="14.25">
      <c r="B251" s="43"/>
      <c r="C251" s="16" t="s">
        <v>2</v>
      </c>
      <c r="D251" s="42">
        <f>D250+F250+H250</f>
        <v>99.09712800294858</v>
      </c>
      <c r="E251" s="42" t="s">
        <v>108</v>
      </c>
      <c r="F251" s="48"/>
      <c r="G251" s="43"/>
      <c r="H251" s="48"/>
      <c r="I251" s="43"/>
      <c r="J251" s="38"/>
    </row>
    <row r="252" spans="2:36">
      <c r="B252" s="47"/>
      <c r="C252" s="9"/>
      <c r="D252" s="229" t="s">
        <v>604</v>
      </c>
      <c r="E252" s="9"/>
      <c r="G252" s="9"/>
      <c r="I252" s="9"/>
      <c r="O252" s="9"/>
      <c r="T252" s="10"/>
      <c r="U252" s="10"/>
      <c r="V252" s="10"/>
      <c r="W252" s="10"/>
      <c r="X252" s="10"/>
      <c r="Y252" s="10"/>
      <c r="Z252" s="10"/>
      <c r="AA252" s="10"/>
      <c r="AB252" s="10"/>
      <c r="AC252" s="10"/>
      <c r="AD252" s="10"/>
      <c r="AE252" s="10"/>
      <c r="AF252" s="10"/>
      <c r="AG252" s="10"/>
      <c r="AH252" s="10"/>
      <c r="AI252" s="10"/>
      <c r="AJ252" s="10"/>
    </row>
    <row r="253" spans="2:36" ht="15.75">
      <c r="B253" s="47" t="s">
        <v>110</v>
      </c>
      <c r="C253" s="9" t="s">
        <v>2</v>
      </c>
      <c r="D253" s="41">
        <f>D250</f>
        <v>93.965374736842151</v>
      </c>
      <c r="E253" s="55" t="s">
        <v>16</v>
      </c>
      <c r="F253" s="41">
        <f>F250</f>
        <v>3.8975341261567866</v>
      </c>
      <c r="G253" s="55" t="s">
        <v>16</v>
      </c>
      <c r="H253" s="41">
        <f>H250</f>
        <v>1.2342191399496492</v>
      </c>
      <c r="I253" s="9"/>
      <c r="J253" s="5"/>
      <c r="K253" s="9"/>
      <c r="N253" s="10"/>
      <c r="O253" s="10"/>
      <c r="P253" s="160"/>
      <c r="Q253" s="40"/>
      <c r="T253" s="10"/>
      <c r="U253" s="10"/>
      <c r="V253" s="10"/>
      <c r="W253" s="10"/>
      <c r="X253" s="10"/>
      <c r="Y253" s="10"/>
      <c r="Z253" s="10"/>
      <c r="AA253" s="10"/>
      <c r="AB253" s="10"/>
      <c r="AC253" s="10"/>
      <c r="AD253" s="10"/>
      <c r="AE253" s="10"/>
      <c r="AF253" s="10"/>
      <c r="AG253" s="10"/>
      <c r="AH253" s="10"/>
      <c r="AI253" s="10"/>
      <c r="AJ253" s="10"/>
    </row>
    <row r="254" spans="2:36" ht="14.25">
      <c r="B254" s="43"/>
      <c r="C254" s="16" t="s">
        <v>2</v>
      </c>
      <c r="D254" s="42">
        <f>D253-F253-H253</f>
        <v>88.833621470735721</v>
      </c>
      <c r="E254" s="42" t="s">
        <v>108</v>
      </c>
      <c r="F254" s="48"/>
      <c r="G254" s="43"/>
      <c r="H254" s="48"/>
      <c r="I254" s="43"/>
      <c r="J254" s="38"/>
    </row>
    <row r="255" spans="2:36">
      <c r="B255" s="47"/>
      <c r="C255" s="9"/>
      <c r="D255" s="229" t="s">
        <v>111</v>
      </c>
      <c r="J255" s="38"/>
      <c r="U255" s="10"/>
      <c r="V255" s="10"/>
      <c r="W255" s="10"/>
      <c r="X255" s="10"/>
      <c r="Y255" s="10"/>
      <c r="Z255" s="10"/>
      <c r="AA255" s="10"/>
      <c r="AB255" s="10"/>
      <c r="AC255" s="10"/>
      <c r="AD255" s="10"/>
      <c r="AE255" s="10"/>
      <c r="AF255" s="10"/>
      <c r="AG255" s="10"/>
      <c r="AH255" s="10"/>
      <c r="AI255" s="10"/>
      <c r="AJ255" s="10"/>
    </row>
    <row r="256" spans="2:36">
      <c r="B256" s="49"/>
      <c r="C256" s="9"/>
      <c r="J256" s="38"/>
      <c r="P256" s="160"/>
      <c r="Q256" s="40"/>
      <c r="U256" s="10"/>
      <c r="V256" s="10"/>
      <c r="W256" s="10"/>
      <c r="X256" s="10"/>
      <c r="Y256" s="10"/>
      <c r="Z256" s="10"/>
      <c r="AA256" s="10"/>
      <c r="AB256" s="10"/>
      <c r="AC256" s="10"/>
      <c r="AD256" s="10"/>
      <c r="AE256" s="10"/>
      <c r="AF256" s="10"/>
      <c r="AG256" s="10"/>
      <c r="AH256" s="10"/>
      <c r="AI256" s="10"/>
      <c r="AJ256" s="10"/>
    </row>
    <row r="257" spans="1:36">
      <c r="B257" s="169" t="str">
        <f>CONCATENATE("CASE- 3 FOR WIND FORCE AT SERVICE CONDITION AT R. L.",E20," M")</f>
        <v>CASE- 3 FOR WIND FORCE AT SERVICE CONDITION AT R. L.91.97 M</v>
      </c>
      <c r="C257" s="9"/>
      <c r="E257" s="9"/>
      <c r="G257" s="9"/>
      <c r="I257" s="9"/>
      <c r="K257" s="9"/>
      <c r="L257" s="5"/>
      <c r="M257" s="9"/>
      <c r="O257" s="9"/>
      <c r="P257" s="160"/>
      <c r="Q257" s="40"/>
      <c r="T257" s="10"/>
      <c r="U257" s="10"/>
      <c r="V257" s="10"/>
      <c r="W257" s="10"/>
      <c r="X257" s="10"/>
      <c r="Y257" s="10"/>
      <c r="Z257" s="10"/>
      <c r="AA257" s="10"/>
      <c r="AB257" s="10"/>
      <c r="AC257" s="10"/>
      <c r="AD257" s="10"/>
      <c r="AE257" s="10"/>
      <c r="AF257" s="10"/>
      <c r="AG257" s="10"/>
      <c r="AH257" s="10"/>
      <c r="AI257" s="10"/>
      <c r="AJ257" s="10"/>
    </row>
    <row r="258" spans="1:36" hidden="1">
      <c r="B258" s="47"/>
      <c r="C258" s="9"/>
      <c r="E258" s="9"/>
      <c r="G258" s="9"/>
      <c r="I258" s="9"/>
      <c r="K258" s="9"/>
      <c r="L258" s="5"/>
      <c r="M258" s="9"/>
      <c r="O258" s="9"/>
      <c r="P258" s="160"/>
      <c r="Q258" s="40"/>
      <c r="T258" s="10"/>
      <c r="U258" s="10"/>
      <c r="V258" s="10"/>
      <c r="W258" s="10"/>
      <c r="X258" s="10"/>
      <c r="Y258" s="10"/>
      <c r="Z258" s="10"/>
      <c r="AA258" s="10"/>
      <c r="AB258" s="10"/>
      <c r="AC258" s="10"/>
      <c r="AD258" s="10"/>
      <c r="AE258" s="10"/>
      <c r="AF258" s="10"/>
      <c r="AG258" s="10"/>
      <c r="AH258" s="10"/>
      <c r="AI258" s="10"/>
      <c r="AJ258" s="10"/>
    </row>
    <row r="259" spans="1:36">
      <c r="B259" s="44" t="s">
        <v>55</v>
      </c>
      <c r="C259" s="16" t="s">
        <v>2</v>
      </c>
      <c r="D259" s="42">
        <f t="shared" ref="D259:D264" si="3">D201</f>
        <v>1463.6159999999998</v>
      </c>
      <c r="E259" s="42" t="s">
        <v>10</v>
      </c>
      <c r="F259" s="42"/>
      <c r="G259" s="38"/>
    </row>
    <row r="260" spans="1:36">
      <c r="B260" s="44" t="s">
        <v>56</v>
      </c>
      <c r="C260" s="16" t="s">
        <v>2</v>
      </c>
      <c r="D260" s="42">
        <f t="shared" si="3"/>
        <v>2821.2050880000015</v>
      </c>
      <c r="E260" s="42" t="s">
        <v>10</v>
      </c>
      <c r="F260" s="42" t="s">
        <v>93</v>
      </c>
      <c r="G260" s="38"/>
    </row>
    <row r="261" spans="1:36">
      <c r="B261" s="44" t="s">
        <v>56</v>
      </c>
      <c r="C261" s="16" t="s">
        <v>2</v>
      </c>
      <c r="D261" s="42">
        <f t="shared" si="3"/>
        <v>2271.8354700000018</v>
      </c>
      <c r="E261" s="42" t="s">
        <v>10</v>
      </c>
      <c r="F261" s="42" t="s">
        <v>94</v>
      </c>
      <c r="G261" s="38"/>
    </row>
    <row r="262" spans="1:36" s="38" customFormat="1">
      <c r="A262" s="11"/>
      <c r="B262" s="50" t="s">
        <v>92</v>
      </c>
      <c r="C262" s="16" t="s">
        <v>2</v>
      </c>
      <c r="D262" s="42">
        <f t="shared" si="3"/>
        <v>788.26634730538922</v>
      </c>
      <c r="E262" s="42" t="s">
        <v>10</v>
      </c>
      <c r="F262" s="42"/>
      <c r="P262" s="160"/>
      <c r="Q262" s="40"/>
    </row>
    <row r="263" spans="1:36" s="38" customFormat="1">
      <c r="A263" s="11"/>
      <c r="B263" s="50" t="s">
        <v>103</v>
      </c>
      <c r="C263" s="16" t="s">
        <v>2</v>
      </c>
      <c r="D263" s="42">
        <f t="shared" si="3"/>
        <v>5073.0874353053905</v>
      </c>
      <c r="E263" s="42" t="s">
        <v>10</v>
      </c>
      <c r="F263" s="42"/>
      <c r="P263" s="160"/>
      <c r="Q263" s="40"/>
    </row>
    <row r="264" spans="1:36" s="38" customFormat="1">
      <c r="A264" s="11"/>
      <c r="B264" s="50" t="s">
        <v>104</v>
      </c>
      <c r="C264" s="16" t="s">
        <v>2</v>
      </c>
      <c r="D264" s="42">
        <f t="shared" si="3"/>
        <v>4523.7178173053908</v>
      </c>
      <c r="E264" s="42" t="s">
        <v>10</v>
      </c>
      <c r="F264" s="42"/>
      <c r="P264" s="160"/>
      <c r="Q264" s="40"/>
    </row>
    <row r="265" spans="1:36" s="38" customFormat="1">
      <c r="A265" s="11"/>
      <c r="B265" s="50" t="s">
        <v>136</v>
      </c>
      <c r="C265" s="16" t="s">
        <v>2</v>
      </c>
      <c r="D265" s="42">
        <f>$J$117</f>
        <v>112.56078556340799</v>
      </c>
      <c r="E265" s="63" t="s">
        <v>7</v>
      </c>
      <c r="F265" s="42">
        <f>$H$66</f>
        <v>244.25331736526948</v>
      </c>
      <c r="G265" s="63"/>
      <c r="H265" s="42"/>
      <c r="I265" s="63" t="s">
        <v>2</v>
      </c>
      <c r="J265" s="38">
        <f>D265+F265</f>
        <v>356.81410292867747</v>
      </c>
      <c r="K265" s="38" t="s">
        <v>5</v>
      </c>
      <c r="P265" s="160"/>
      <c r="Q265" s="40"/>
    </row>
    <row r="266" spans="1:36" s="38" customFormat="1">
      <c r="A266" s="11"/>
      <c r="B266" s="50" t="s">
        <v>137</v>
      </c>
      <c r="C266" s="16" t="s">
        <v>2</v>
      </c>
      <c r="D266" s="42">
        <f>$J$158</f>
        <v>112.56078556340799</v>
      </c>
      <c r="E266" s="63" t="s">
        <v>7</v>
      </c>
      <c r="F266" s="38">
        <f>$L$196</f>
        <v>106.89375811359393</v>
      </c>
      <c r="G266" s="63" t="s">
        <v>7</v>
      </c>
      <c r="H266" s="42">
        <f>$H$71</f>
        <v>2247.8811952095812</v>
      </c>
      <c r="I266" s="63" t="s">
        <v>2</v>
      </c>
      <c r="J266" s="38">
        <f>D266+F266+H266</f>
        <v>2467.3357388865829</v>
      </c>
      <c r="K266" s="38" t="s">
        <v>5</v>
      </c>
      <c r="P266" s="160"/>
      <c r="Q266" s="40"/>
    </row>
    <row r="267" spans="1:36">
      <c r="B267" s="47" t="s">
        <v>112</v>
      </c>
      <c r="C267" s="9" t="s">
        <v>17</v>
      </c>
      <c r="D267" s="2">
        <f>D264</f>
        <v>4523.7178173053908</v>
      </c>
      <c r="E267" s="9" t="s">
        <v>8</v>
      </c>
      <c r="F267" s="2">
        <f>$J$209</f>
        <v>45.599999999999994</v>
      </c>
      <c r="G267" s="55" t="s">
        <v>106</v>
      </c>
      <c r="H267" s="41">
        <f>$J$265</f>
        <v>356.81410292867747</v>
      </c>
      <c r="I267" s="9" t="s">
        <v>8</v>
      </c>
      <c r="J267" s="2">
        <f>$J$211</f>
        <v>28.88</v>
      </c>
      <c r="K267" s="55" t="s">
        <v>106</v>
      </c>
      <c r="L267" s="2">
        <f>$J$266</f>
        <v>2467.3357388865829</v>
      </c>
      <c r="M267" s="9" t="s">
        <v>8</v>
      </c>
      <c r="N267" s="2">
        <f>$J$212</f>
        <v>91.199999999999989</v>
      </c>
      <c r="O267" s="55" t="s">
        <v>15</v>
      </c>
      <c r="R267" s="10"/>
      <c r="T267" s="10"/>
      <c r="U267" s="10"/>
      <c r="V267" s="10"/>
      <c r="W267" s="10"/>
      <c r="X267" s="10"/>
      <c r="Y267" s="10"/>
      <c r="Z267" s="10"/>
      <c r="AA267" s="10"/>
      <c r="AB267" s="10"/>
      <c r="AC267" s="10"/>
      <c r="AD267" s="10"/>
      <c r="AE267" s="10"/>
      <c r="AF267" s="10"/>
      <c r="AG267" s="10"/>
      <c r="AH267" s="10"/>
      <c r="AI267" s="10"/>
      <c r="AJ267" s="10"/>
    </row>
    <row r="268" spans="1:36">
      <c r="B268" s="47"/>
      <c r="C268" s="9" t="s">
        <v>2</v>
      </c>
      <c r="D268" s="41">
        <f>D267/F267</f>
        <v>99.204338098802438</v>
      </c>
      <c r="E268" s="55" t="s">
        <v>105</v>
      </c>
      <c r="F268" s="41">
        <f>H267/J267</f>
        <v>12.355058965674429</v>
      </c>
      <c r="G268" s="55" t="s">
        <v>105</v>
      </c>
      <c r="H268" s="41">
        <f>L267/N267</f>
        <v>27.054119943931834</v>
      </c>
      <c r="I268" s="9"/>
      <c r="K268" s="9"/>
      <c r="L268" s="5"/>
      <c r="M268" s="9"/>
      <c r="O268" s="9"/>
      <c r="R268" s="10"/>
      <c r="T268" s="10"/>
      <c r="U268" s="10"/>
      <c r="V268" s="10"/>
      <c r="W268" s="10"/>
      <c r="X268" s="10"/>
      <c r="Y268" s="10"/>
      <c r="Z268" s="10"/>
      <c r="AA268" s="10"/>
      <c r="AB268" s="10"/>
      <c r="AC268" s="10"/>
      <c r="AD268" s="10"/>
      <c r="AE268" s="10"/>
      <c r="AF268" s="10"/>
      <c r="AG268" s="10"/>
      <c r="AH268" s="10"/>
      <c r="AI268" s="10"/>
      <c r="AJ268" s="10"/>
    </row>
    <row r="269" spans="1:36" ht="15.75">
      <c r="B269" s="47" t="s">
        <v>109</v>
      </c>
      <c r="C269" s="9" t="s">
        <v>2</v>
      </c>
      <c r="D269" s="41">
        <f>D268</f>
        <v>99.204338098802438</v>
      </c>
      <c r="E269" s="55" t="s">
        <v>7</v>
      </c>
      <c r="F269" s="41">
        <f>F268</f>
        <v>12.355058965674429</v>
      </c>
      <c r="G269" s="55" t="s">
        <v>7</v>
      </c>
      <c r="H269" s="41">
        <f>H268</f>
        <v>27.054119943931834</v>
      </c>
      <c r="I269" s="9"/>
      <c r="J269" s="5"/>
      <c r="K269" s="9"/>
      <c r="N269" s="10"/>
      <c r="O269" s="10"/>
      <c r="P269" s="160"/>
      <c r="Q269" s="40"/>
      <c r="R269" s="10"/>
      <c r="T269" s="10"/>
      <c r="U269" s="10"/>
      <c r="V269" s="10"/>
      <c r="W269" s="10"/>
      <c r="X269" s="10"/>
      <c r="Y269" s="10"/>
      <c r="Z269" s="10"/>
      <c r="AA269" s="10"/>
      <c r="AB269" s="10"/>
      <c r="AC269" s="10"/>
      <c r="AD269" s="10"/>
      <c r="AE269" s="10"/>
      <c r="AF269" s="10"/>
      <c r="AG269" s="10"/>
      <c r="AH269" s="10"/>
      <c r="AI269" s="10"/>
      <c r="AJ269" s="10"/>
    </row>
    <row r="270" spans="1:36" ht="14.25">
      <c r="B270" s="43"/>
      <c r="C270" s="16" t="s">
        <v>2</v>
      </c>
      <c r="D270" s="42">
        <f>D269+F269+H269</f>
        <v>138.61351700840871</v>
      </c>
      <c r="E270" s="42" t="s">
        <v>108</v>
      </c>
      <c r="F270" s="48"/>
      <c r="G270" s="43"/>
      <c r="H270" s="48"/>
      <c r="I270" s="43"/>
      <c r="J270" s="38"/>
      <c r="R270" s="10"/>
    </row>
    <row r="271" spans="1:36">
      <c r="B271" s="47"/>
      <c r="C271" s="9"/>
      <c r="D271" s="229" t="s">
        <v>604</v>
      </c>
      <c r="E271" s="9"/>
      <c r="G271" s="9"/>
      <c r="I271" s="9"/>
      <c r="O271" s="9"/>
      <c r="R271" s="10"/>
      <c r="T271" s="10"/>
      <c r="U271" s="10"/>
      <c r="V271" s="10"/>
      <c r="W271" s="10"/>
      <c r="X271" s="10"/>
      <c r="Y271" s="10"/>
      <c r="Z271" s="10"/>
      <c r="AA271" s="10"/>
      <c r="AB271" s="10"/>
      <c r="AC271" s="10"/>
      <c r="AD271" s="10"/>
      <c r="AE271" s="10"/>
      <c r="AF271" s="10"/>
      <c r="AG271" s="10"/>
      <c r="AH271" s="10"/>
      <c r="AI271" s="10"/>
      <c r="AJ271" s="10"/>
    </row>
    <row r="272" spans="1:36" ht="15.75">
      <c r="B272" s="47" t="s">
        <v>110</v>
      </c>
      <c r="C272" s="9" t="s">
        <v>2</v>
      </c>
      <c r="D272" s="41">
        <f>D269</f>
        <v>99.204338098802438</v>
      </c>
      <c r="E272" s="55" t="s">
        <v>16</v>
      </c>
      <c r="F272" s="41">
        <f>F269</f>
        <v>12.355058965674429</v>
      </c>
      <c r="G272" s="55" t="s">
        <v>16</v>
      </c>
      <c r="H272" s="41">
        <f>H269</f>
        <v>27.054119943931834</v>
      </c>
      <c r="I272" s="9"/>
      <c r="J272" s="5"/>
      <c r="K272" s="9"/>
      <c r="N272" s="10"/>
      <c r="O272" s="10"/>
      <c r="P272" s="160"/>
      <c r="Q272" s="40"/>
      <c r="R272" s="10"/>
      <c r="T272" s="10"/>
      <c r="U272" s="10"/>
      <c r="V272" s="10"/>
      <c r="W272" s="10"/>
      <c r="X272" s="10"/>
      <c r="Y272" s="10"/>
      <c r="Z272" s="10"/>
      <c r="AA272" s="10"/>
      <c r="AB272" s="10"/>
      <c r="AC272" s="10"/>
      <c r="AD272" s="10"/>
      <c r="AE272" s="10"/>
      <c r="AF272" s="10"/>
      <c r="AG272" s="10"/>
      <c r="AH272" s="10"/>
      <c r="AI272" s="10"/>
      <c r="AJ272" s="10"/>
    </row>
    <row r="273" spans="2:36" ht="14.25">
      <c r="B273" s="43"/>
      <c r="C273" s="16" t="s">
        <v>2</v>
      </c>
      <c r="D273" s="42">
        <f>D272-F272-H272</f>
        <v>59.79515918919617</v>
      </c>
      <c r="E273" s="42" t="s">
        <v>108</v>
      </c>
      <c r="F273" s="48"/>
      <c r="G273" s="43"/>
      <c r="H273" s="48"/>
      <c r="I273" s="43"/>
      <c r="J273" s="38"/>
      <c r="R273" s="10"/>
    </row>
    <row r="274" spans="2:36">
      <c r="B274" s="47"/>
      <c r="C274" s="9"/>
      <c r="D274" s="229" t="s">
        <v>111</v>
      </c>
      <c r="J274" s="38"/>
      <c r="R274" s="10"/>
      <c r="U274" s="10"/>
      <c r="V274" s="10"/>
      <c r="W274" s="10"/>
      <c r="X274" s="10"/>
      <c r="Y274" s="10"/>
      <c r="Z274" s="10"/>
      <c r="AA274" s="10"/>
      <c r="AB274" s="10"/>
      <c r="AC274" s="10"/>
      <c r="AD274" s="10"/>
      <c r="AE274" s="10"/>
      <c r="AF274" s="10"/>
      <c r="AG274" s="10"/>
      <c r="AH274" s="10"/>
      <c r="AI274" s="10"/>
      <c r="AJ274" s="10"/>
    </row>
    <row r="275" spans="2:36">
      <c r="B275" s="49"/>
      <c r="C275" s="9"/>
      <c r="J275" s="38"/>
      <c r="R275" s="10"/>
      <c r="U275" s="10"/>
      <c r="V275" s="10"/>
      <c r="W275" s="10"/>
      <c r="X275" s="10"/>
      <c r="Y275" s="10"/>
      <c r="Z275" s="10"/>
      <c r="AA275" s="10"/>
      <c r="AB275" s="10"/>
      <c r="AC275" s="10"/>
      <c r="AD275" s="10"/>
      <c r="AE275" s="10"/>
      <c r="AF275" s="10"/>
      <c r="AG275" s="10"/>
      <c r="AH275" s="10"/>
      <c r="AI275" s="10"/>
      <c r="AJ275" s="10"/>
    </row>
    <row r="276" spans="2:36">
      <c r="B276" s="47" t="s">
        <v>113</v>
      </c>
      <c r="C276" s="9" t="s">
        <v>17</v>
      </c>
      <c r="D276" s="2">
        <f>D263</f>
        <v>5073.0874353053905</v>
      </c>
      <c r="E276" s="9" t="s">
        <v>8</v>
      </c>
      <c r="F276" s="2">
        <f>$J$209</f>
        <v>45.599999999999994</v>
      </c>
      <c r="G276" s="55" t="s">
        <v>106</v>
      </c>
      <c r="H276" s="41">
        <f>$J$265</f>
        <v>356.81410292867747</v>
      </c>
      <c r="I276" s="9" t="s">
        <v>8</v>
      </c>
      <c r="J276" s="2">
        <f>$J$211</f>
        <v>28.88</v>
      </c>
      <c r="K276" s="55" t="s">
        <v>106</v>
      </c>
      <c r="L276" s="2">
        <f>$J$266</f>
        <v>2467.3357388865829</v>
      </c>
      <c r="M276" s="9" t="s">
        <v>8</v>
      </c>
      <c r="N276" s="2">
        <f>$J$212</f>
        <v>91.199999999999989</v>
      </c>
      <c r="O276" s="55" t="s">
        <v>15</v>
      </c>
      <c r="R276" s="10"/>
      <c r="T276" s="10"/>
      <c r="U276" s="10"/>
      <c r="V276" s="10"/>
      <c r="W276" s="10"/>
      <c r="X276" s="10"/>
      <c r="Y276" s="10"/>
      <c r="Z276" s="10"/>
      <c r="AA276" s="10"/>
      <c r="AB276" s="10"/>
      <c r="AC276" s="10"/>
      <c r="AD276" s="10"/>
      <c r="AE276" s="10"/>
      <c r="AF276" s="10"/>
      <c r="AG276" s="10"/>
      <c r="AH276" s="10"/>
      <c r="AI276" s="10"/>
      <c r="AJ276" s="10"/>
    </row>
    <row r="277" spans="2:36">
      <c r="B277" s="47"/>
      <c r="C277" s="9" t="s">
        <v>2</v>
      </c>
      <c r="D277" s="41">
        <f>D276/F276</f>
        <v>111.2519174409077</v>
      </c>
      <c r="E277" s="55" t="s">
        <v>105</v>
      </c>
      <c r="F277" s="41">
        <f>H276/J276</f>
        <v>12.355058965674429</v>
      </c>
      <c r="G277" s="55" t="s">
        <v>105</v>
      </c>
      <c r="H277" s="41">
        <f>L276/N276</f>
        <v>27.054119943931834</v>
      </c>
      <c r="I277" s="9"/>
      <c r="K277" s="9"/>
      <c r="L277" s="5"/>
      <c r="M277" s="9"/>
      <c r="O277" s="9"/>
      <c r="R277" s="10"/>
      <c r="T277" s="10"/>
      <c r="U277" s="10"/>
      <c r="V277" s="10"/>
      <c r="W277" s="10"/>
      <c r="X277" s="10"/>
      <c r="Y277" s="10"/>
      <c r="Z277" s="10"/>
      <c r="AA277" s="10"/>
      <c r="AB277" s="10"/>
      <c r="AC277" s="10"/>
      <c r="AD277" s="10"/>
      <c r="AE277" s="10"/>
      <c r="AF277" s="10"/>
      <c r="AG277" s="10"/>
      <c r="AH277" s="10"/>
      <c r="AI277" s="10"/>
      <c r="AJ277" s="10"/>
    </row>
    <row r="278" spans="2:36" ht="15.75">
      <c r="B278" s="47" t="s">
        <v>109</v>
      </c>
      <c r="C278" s="9" t="s">
        <v>2</v>
      </c>
      <c r="D278" s="41">
        <f>D277</f>
        <v>111.2519174409077</v>
      </c>
      <c r="E278" s="55" t="s">
        <v>7</v>
      </c>
      <c r="F278" s="41">
        <f>F277</f>
        <v>12.355058965674429</v>
      </c>
      <c r="G278" s="55" t="s">
        <v>7</v>
      </c>
      <c r="H278" s="41">
        <f>H277</f>
        <v>27.054119943931834</v>
      </c>
      <c r="I278" s="9"/>
      <c r="J278" s="5"/>
      <c r="K278" s="9"/>
      <c r="N278" s="10"/>
      <c r="O278" s="10"/>
      <c r="P278" s="160"/>
      <c r="Q278" s="40"/>
      <c r="R278" s="10"/>
      <c r="T278" s="10"/>
      <c r="U278" s="10"/>
      <c r="V278" s="10"/>
      <c r="W278" s="10"/>
      <c r="X278" s="10"/>
      <c r="Y278" s="10"/>
      <c r="Z278" s="10"/>
      <c r="AA278" s="10"/>
      <c r="AB278" s="10"/>
      <c r="AC278" s="10"/>
      <c r="AD278" s="10"/>
      <c r="AE278" s="10"/>
      <c r="AF278" s="10"/>
      <c r="AG278" s="10"/>
      <c r="AH278" s="10"/>
      <c r="AI278" s="10"/>
      <c r="AJ278" s="10"/>
    </row>
    <row r="279" spans="2:36" ht="14.25">
      <c r="B279" s="43"/>
      <c r="C279" s="16" t="s">
        <v>2</v>
      </c>
      <c r="D279" s="42">
        <f>D278+F278+H278-12</f>
        <v>138.66109635051396</v>
      </c>
      <c r="E279" s="42" t="s">
        <v>108</v>
      </c>
      <c r="F279" s="48"/>
      <c r="G279" s="43"/>
      <c r="H279" s="48"/>
      <c r="I279" s="43"/>
      <c r="J279" s="38"/>
      <c r="R279" s="10"/>
    </row>
    <row r="280" spans="2:36">
      <c r="B280" s="47"/>
      <c r="C280" s="9"/>
      <c r="D280" s="229" t="s">
        <v>604</v>
      </c>
      <c r="E280" s="9"/>
      <c r="G280" s="9"/>
      <c r="I280" s="9"/>
      <c r="O280" s="9"/>
      <c r="R280" s="10"/>
      <c r="T280" s="10"/>
      <c r="U280" s="10"/>
      <c r="V280" s="10"/>
      <c r="W280" s="10"/>
      <c r="X280" s="10"/>
      <c r="Y280" s="10"/>
      <c r="Z280" s="10"/>
      <c r="AA280" s="10"/>
      <c r="AB280" s="10"/>
      <c r="AC280" s="10"/>
      <c r="AD280" s="10"/>
      <c r="AE280" s="10"/>
      <c r="AF280" s="10"/>
      <c r="AG280" s="10"/>
      <c r="AH280" s="10"/>
      <c r="AI280" s="10"/>
      <c r="AJ280" s="10"/>
    </row>
    <row r="281" spans="2:36" ht="15.75">
      <c r="B281" s="47" t="s">
        <v>110</v>
      </c>
      <c r="C281" s="9" t="s">
        <v>2</v>
      </c>
      <c r="D281" s="41">
        <f>D278</f>
        <v>111.2519174409077</v>
      </c>
      <c r="E281" s="55" t="s">
        <v>16</v>
      </c>
      <c r="F281" s="41">
        <f>F278</f>
        <v>12.355058965674429</v>
      </c>
      <c r="G281" s="55" t="s">
        <v>16</v>
      </c>
      <c r="H281" s="41">
        <f>H278</f>
        <v>27.054119943931834</v>
      </c>
      <c r="I281" s="9"/>
      <c r="J281" s="5"/>
      <c r="K281" s="9"/>
      <c r="N281" s="10"/>
      <c r="O281" s="10"/>
      <c r="P281" s="160"/>
      <c r="Q281" s="40"/>
      <c r="R281" s="10"/>
      <c r="T281" s="10"/>
      <c r="U281" s="10"/>
      <c r="V281" s="10"/>
      <c r="W281" s="10"/>
      <c r="X281" s="10"/>
      <c r="Y281" s="10"/>
      <c r="Z281" s="10"/>
      <c r="AA281" s="10"/>
      <c r="AB281" s="10"/>
      <c r="AC281" s="10"/>
      <c r="AD281" s="10"/>
      <c r="AE281" s="10"/>
      <c r="AF281" s="10"/>
      <c r="AG281" s="10"/>
      <c r="AH281" s="10"/>
      <c r="AI281" s="10"/>
      <c r="AJ281" s="10"/>
    </row>
    <row r="282" spans="2:36" ht="14.25">
      <c r="B282" s="43"/>
      <c r="C282" s="16" t="s">
        <v>2</v>
      </c>
      <c r="D282" s="42">
        <f>D281-F281-H281</f>
        <v>71.842738531301436</v>
      </c>
      <c r="E282" s="42" t="s">
        <v>108</v>
      </c>
      <c r="F282" s="48"/>
      <c r="G282" s="43"/>
      <c r="H282" s="48"/>
      <c r="I282" s="43"/>
      <c r="J282" s="38"/>
      <c r="R282" s="10"/>
    </row>
    <row r="283" spans="2:36">
      <c r="B283" s="47"/>
      <c r="C283" s="9"/>
      <c r="D283" s="229" t="s">
        <v>111</v>
      </c>
      <c r="J283" s="38"/>
      <c r="U283" s="10"/>
      <c r="V283" s="10"/>
      <c r="W283" s="10"/>
      <c r="X283" s="10"/>
      <c r="Y283" s="10"/>
      <c r="Z283" s="10"/>
      <c r="AA283" s="10"/>
      <c r="AB283" s="10"/>
      <c r="AC283" s="10"/>
      <c r="AD283" s="10"/>
      <c r="AE283" s="10"/>
      <c r="AF283" s="10"/>
      <c r="AG283" s="10"/>
      <c r="AH283" s="10"/>
      <c r="AI283" s="10"/>
      <c r="AJ283" s="10"/>
    </row>
    <row r="284" spans="2:36">
      <c r="B284" s="47"/>
      <c r="C284" s="9"/>
      <c r="E284" s="9"/>
      <c r="G284" s="9"/>
      <c r="I284" s="9"/>
      <c r="K284" s="9"/>
      <c r="L284" s="5"/>
      <c r="M284" s="9"/>
      <c r="O284" s="9"/>
      <c r="P284" s="160"/>
      <c r="Q284" s="40"/>
      <c r="T284" s="10"/>
      <c r="U284" s="10"/>
      <c r="V284" s="10"/>
      <c r="W284" s="10"/>
      <c r="X284" s="10"/>
      <c r="Y284" s="10"/>
      <c r="Z284" s="10"/>
      <c r="AA284" s="10"/>
      <c r="AB284" s="10"/>
      <c r="AC284" s="10"/>
      <c r="AD284" s="10"/>
      <c r="AE284" s="10"/>
      <c r="AF284" s="10"/>
      <c r="AG284" s="10"/>
      <c r="AH284" s="10"/>
      <c r="AI284" s="10"/>
      <c r="AJ284" s="10"/>
    </row>
    <row r="285" spans="2:36">
      <c r="B285" s="169" t="str">
        <f>CONCATENATE("CASE- 4 FOR WIND FORCE AT IDLE CONDITION AT R. L.",E20," M")</f>
        <v>CASE- 4 FOR WIND FORCE AT IDLE CONDITION AT R. L.91.97 M</v>
      </c>
      <c r="C285" s="9"/>
      <c r="E285" s="9"/>
      <c r="G285" s="67" t="s">
        <v>243</v>
      </c>
      <c r="I285" s="9"/>
      <c r="K285" s="9"/>
      <c r="L285" s="5"/>
      <c r="M285" s="9"/>
      <c r="O285" s="9"/>
      <c r="P285" s="160"/>
      <c r="Q285" s="40"/>
      <c r="T285" s="10"/>
      <c r="U285" s="10"/>
      <c r="V285" s="10"/>
      <c r="W285" s="10"/>
      <c r="X285" s="10"/>
      <c r="Y285" s="10"/>
      <c r="Z285" s="10"/>
      <c r="AA285" s="10"/>
      <c r="AB285" s="10"/>
      <c r="AC285" s="10"/>
      <c r="AD285" s="10"/>
      <c r="AE285" s="10"/>
      <c r="AF285" s="10"/>
      <c r="AG285" s="10"/>
      <c r="AH285" s="10"/>
      <c r="AI285" s="10"/>
      <c r="AJ285" s="10"/>
    </row>
    <row r="286" spans="2:36" hidden="1">
      <c r="B286" s="47"/>
      <c r="C286" s="9"/>
      <c r="E286" s="9"/>
      <c r="G286" s="9"/>
      <c r="I286" s="9"/>
      <c r="K286" s="9"/>
      <c r="L286" s="5"/>
      <c r="M286" s="9"/>
      <c r="O286" s="9"/>
      <c r="P286" s="160"/>
      <c r="Q286" s="40"/>
      <c r="T286" s="10"/>
      <c r="U286" s="10"/>
      <c r="V286" s="10"/>
      <c r="W286" s="10"/>
      <c r="X286" s="10"/>
      <c r="Y286" s="10"/>
      <c r="Z286" s="10"/>
      <c r="AA286" s="10"/>
      <c r="AB286" s="10"/>
      <c r="AC286" s="10"/>
      <c r="AD286" s="10"/>
      <c r="AE286" s="10"/>
      <c r="AF286" s="10"/>
      <c r="AG286" s="10"/>
      <c r="AH286" s="10"/>
      <c r="AI286" s="10"/>
      <c r="AJ286" s="10"/>
    </row>
    <row r="287" spans="2:36">
      <c r="B287" s="44" t="s">
        <v>55</v>
      </c>
      <c r="C287" s="16" t="s">
        <v>2</v>
      </c>
      <c r="D287" s="42">
        <f>D259</f>
        <v>1463.6159999999998</v>
      </c>
      <c r="E287" s="42" t="s">
        <v>10</v>
      </c>
      <c r="F287" s="42"/>
      <c r="G287" s="38"/>
    </row>
    <row r="288" spans="2:36">
      <c r="B288" s="44" t="s">
        <v>56</v>
      </c>
      <c r="C288" s="16" t="s">
        <v>2</v>
      </c>
      <c r="D288" s="42">
        <f>D260</f>
        <v>2821.2050880000015</v>
      </c>
      <c r="E288" s="42" t="s">
        <v>10</v>
      </c>
      <c r="F288" s="42" t="s">
        <v>93</v>
      </c>
      <c r="G288" s="38"/>
    </row>
    <row r="289" spans="1:36">
      <c r="B289" s="44" t="s">
        <v>56</v>
      </c>
      <c r="C289" s="16" t="s">
        <v>2</v>
      </c>
      <c r="D289" s="42">
        <f>D261</f>
        <v>2271.8354700000018</v>
      </c>
      <c r="E289" s="42" t="s">
        <v>10</v>
      </c>
      <c r="F289" s="42" t="s">
        <v>94</v>
      </c>
      <c r="G289" s="38"/>
    </row>
    <row r="290" spans="1:36" s="38" customFormat="1">
      <c r="A290" s="11"/>
      <c r="B290" s="50" t="s">
        <v>92</v>
      </c>
      <c r="C290" s="16" t="s">
        <v>2</v>
      </c>
      <c r="D290" s="42">
        <v>0</v>
      </c>
      <c r="E290" s="42" t="s">
        <v>10</v>
      </c>
      <c r="F290" s="42"/>
      <c r="P290" s="160"/>
      <c r="Q290" s="40"/>
    </row>
    <row r="291" spans="1:36" s="38" customFormat="1">
      <c r="A291" s="11"/>
      <c r="B291" s="50" t="s">
        <v>103</v>
      </c>
      <c r="C291" s="16" t="s">
        <v>2</v>
      </c>
      <c r="D291" s="42">
        <f>D287+D288</f>
        <v>4284.8210880000015</v>
      </c>
      <c r="E291" s="42" t="s">
        <v>10</v>
      </c>
      <c r="F291" s="42"/>
      <c r="P291" s="160"/>
      <c r="Q291" s="40"/>
    </row>
    <row r="292" spans="1:36" s="38" customFormat="1">
      <c r="A292" s="11"/>
      <c r="B292" s="50" t="s">
        <v>104</v>
      </c>
      <c r="C292" s="16" t="s">
        <v>2</v>
      </c>
      <c r="D292" s="42">
        <f>D289+D287</f>
        <v>3735.4514700000018</v>
      </c>
      <c r="E292" s="42" t="s">
        <v>10</v>
      </c>
      <c r="F292" s="42"/>
      <c r="P292" s="160"/>
      <c r="Q292" s="40"/>
    </row>
    <row r="293" spans="1:36" s="38" customFormat="1">
      <c r="A293" s="11"/>
      <c r="B293" s="50" t="s">
        <v>136</v>
      </c>
      <c r="C293" s="16" t="s">
        <v>2</v>
      </c>
      <c r="D293" s="41">
        <f>$J$117</f>
        <v>112.56078556340799</v>
      </c>
      <c r="E293" s="42" t="s">
        <v>5</v>
      </c>
      <c r="F293" s="42"/>
      <c r="P293" s="160"/>
      <c r="Q293" s="40"/>
      <c r="R293" s="40"/>
    </row>
    <row r="294" spans="1:36" s="38" customFormat="1">
      <c r="A294" s="11"/>
      <c r="B294" s="50" t="s">
        <v>137</v>
      </c>
      <c r="C294" s="16" t="s">
        <v>2</v>
      </c>
      <c r="D294" s="42">
        <f>$J$158</f>
        <v>112.56078556340799</v>
      </c>
      <c r="E294" s="63" t="s">
        <v>7</v>
      </c>
      <c r="F294" s="38">
        <f>$L$196</f>
        <v>106.89375811359393</v>
      </c>
      <c r="G294" s="63" t="s">
        <v>2</v>
      </c>
      <c r="H294" s="38">
        <f>D294+F294</f>
        <v>219.45454367700194</v>
      </c>
      <c r="I294" s="38" t="s">
        <v>5</v>
      </c>
      <c r="P294" s="160"/>
      <c r="Q294" s="40"/>
      <c r="R294" s="40"/>
    </row>
    <row r="295" spans="1:36">
      <c r="B295" s="47" t="s">
        <v>112</v>
      </c>
      <c r="C295" s="9" t="s">
        <v>17</v>
      </c>
      <c r="D295" s="2">
        <f>D292</f>
        <v>3735.4514700000018</v>
      </c>
      <c r="E295" s="9" t="s">
        <v>8</v>
      </c>
      <c r="F295" s="2">
        <f>$J$209</f>
        <v>45.599999999999994</v>
      </c>
      <c r="G295" s="55" t="s">
        <v>106</v>
      </c>
      <c r="H295" s="41">
        <f>$J$117</f>
        <v>112.56078556340799</v>
      </c>
      <c r="I295" s="9" t="s">
        <v>8</v>
      </c>
      <c r="J295" s="2">
        <f>$J$211</f>
        <v>28.88</v>
      </c>
      <c r="K295" s="55" t="s">
        <v>106</v>
      </c>
      <c r="L295" s="2">
        <f>H294</f>
        <v>219.45454367700194</v>
      </c>
      <c r="M295" s="9" t="s">
        <v>8</v>
      </c>
      <c r="N295" s="2">
        <f>$J$212</f>
        <v>91.199999999999989</v>
      </c>
      <c r="O295" s="55" t="s">
        <v>15</v>
      </c>
      <c r="R295" s="10"/>
      <c r="T295" s="10"/>
      <c r="U295" s="10"/>
      <c r="V295" s="10"/>
      <c r="W295" s="10"/>
      <c r="X295" s="10"/>
      <c r="Y295" s="10"/>
      <c r="Z295" s="10"/>
      <c r="AA295" s="10"/>
      <c r="AB295" s="10"/>
      <c r="AC295" s="10"/>
      <c r="AD295" s="10"/>
      <c r="AE295" s="10"/>
      <c r="AF295" s="10"/>
      <c r="AG295" s="10"/>
      <c r="AH295" s="10"/>
      <c r="AI295" s="10"/>
      <c r="AJ295" s="10"/>
    </row>
    <row r="296" spans="1:36">
      <c r="B296" s="47"/>
      <c r="C296" s="9" t="s">
        <v>2</v>
      </c>
      <c r="D296" s="41">
        <f>D295/F295</f>
        <v>81.917795394736885</v>
      </c>
      <c r="E296" s="55" t="s">
        <v>105</v>
      </c>
      <c r="F296" s="41">
        <f>H295/J295</f>
        <v>3.8975341261567866</v>
      </c>
      <c r="G296" s="55" t="s">
        <v>105</v>
      </c>
      <c r="H296" s="41">
        <f>L295/N295</f>
        <v>2.4062998210197586</v>
      </c>
      <c r="I296" s="9"/>
      <c r="K296" s="9"/>
      <c r="L296" s="5"/>
      <c r="M296" s="9"/>
      <c r="O296" s="9"/>
      <c r="R296" s="10"/>
      <c r="T296" s="10"/>
      <c r="U296" s="10"/>
      <c r="V296" s="10"/>
      <c r="W296" s="10"/>
      <c r="X296" s="10"/>
      <c r="Y296" s="10"/>
      <c r="Z296" s="10"/>
      <c r="AA296" s="10"/>
      <c r="AB296" s="10"/>
      <c r="AC296" s="10"/>
      <c r="AD296" s="10"/>
      <c r="AE296" s="10"/>
      <c r="AF296" s="10"/>
      <c r="AG296" s="10"/>
      <c r="AH296" s="10"/>
      <c r="AI296" s="10"/>
      <c r="AJ296" s="10"/>
    </row>
    <row r="297" spans="1:36" ht="15.75">
      <c r="B297" s="47" t="s">
        <v>109</v>
      </c>
      <c r="C297" s="9" t="s">
        <v>2</v>
      </c>
      <c r="D297" s="41">
        <f>D296</f>
        <v>81.917795394736885</v>
      </c>
      <c r="E297" s="55" t="s">
        <v>7</v>
      </c>
      <c r="F297" s="41">
        <f>F296</f>
        <v>3.8975341261567866</v>
      </c>
      <c r="G297" s="55" t="s">
        <v>7</v>
      </c>
      <c r="H297" s="41">
        <f>H296</f>
        <v>2.4062998210197586</v>
      </c>
      <c r="I297" s="9"/>
      <c r="J297" s="5"/>
      <c r="K297" s="9"/>
      <c r="N297" s="10"/>
      <c r="O297" s="10"/>
      <c r="P297" s="160"/>
      <c r="Q297" s="40"/>
      <c r="R297" s="10"/>
      <c r="T297" s="10"/>
      <c r="U297" s="10"/>
      <c r="V297" s="10"/>
      <c r="W297" s="10"/>
      <c r="X297" s="10"/>
      <c r="Y297" s="10"/>
      <c r="Z297" s="10"/>
      <c r="AA297" s="10"/>
      <c r="AB297" s="10"/>
      <c r="AC297" s="10"/>
      <c r="AD297" s="10"/>
      <c r="AE297" s="10"/>
      <c r="AF297" s="10"/>
      <c r="AG297" s="10"/>
      <c r="AH297" s="10"/>
      <c r="AI297" s="10"/>
      <c r="AJ297" s="10"/>
    </row>
    <row r="298" spans="1:36" ht="15" thickBot="1">
      <c r="B298" s="43"/>
      <c r="C298" s="16" t="s">
        <v>2</v>
      </c>
      <c r="D298" s="42">
        <f>D297+F297+H297</f>
        <v>88.221629341913427</v>
      </c>
      <c r="E298" s="42" t="s">
        <v>108</v>
      </c>
      <c r="F298" s="48"/>
      <c r="G298" s="43"/>
      <c r="H298" s="48"/>
      <c r="I298" s="43"/>
      <c r="J298" s="10">
        <f>D304</f>
        <v>83.409029699873912</v>
      </c>
      <c r="K298" s="10"/>
      <c r="L298" s="10"/>
      <c r="M298" s="10"/>
      <c r="N298" s="10">
        <f>D307</f>
        <v>80.426561089599858</v>
      </c>
      <c r="R298" s="10"/>
    </row>
    <row r="299" spans="1:36">
      <c r="B299" s="47"/>
      <c r="C299" s="9"/>
      <c r="D299" s="152" t="s">
        <v>604</v>
      </c>
      <c r="E299" s="9"/>
      <c r="G299" s="9"/>
      <c r="I299" s="9"/>
      <c r="J299" s="10"/>
      <c r="K299" s="76"/>
      <c r="L299" s="77"/>
      <c r="M299" s="78"/>
      <c r="N299" s="10"/>
      <c r="O299" s="9"/>
      <c r="R299" s="10"/>
      <c r="T299" s="10"/>
      <c r="U299" s="10"/>
      <c r="V299" s="10"/>
      <c r="W299" s="10"/>
      <c r="X299" s="10"/>
      <c r="Y299" s="10"/>
      <c r="Z299" s="10"/>
      <c r="AA299" s="10"/>
      <c r="AB299" s="10"/>
      <c r="AC299" s="10"/>
      <c r="AD299" s="10"/>
      <c r="AE299" s="10"/>
      <c r="AF299" s="10"/>
      <c r="AG299" s="10"/>
      <c r="AH299" s="10"/>
      <c r="AI299" s="10"/>
      <c r="AJ299" s="10"/>
    </row>
    <row r="300" spans="1:36" ht="15.75">
      <c r="B300" s="47" t="s">
        <v>110</v>
      </c>
      <c r="C300" s="9" t="s">
        <v>2</v>
      </c>
      <c r="D300" s="41">
        <f>D297</f>
        <v>81.917795394736885</v>
      </c>
      <c r="E300" s="55" t="s">
        <v>16</v>
      </c>
      <c r="F300" s="41">
        <f>F297</f>
        <v>3.8975341261567866</v>
      </c>
      <c r="G300" s="55" t="s">
        <v>16</v>
      </c>
      <c r="H300" s="41">
        <f>H297</f>
        <v>2.4062998210197586</v>
      </c>
      <c r="I300" s="9"/>
      <c r="J300" s="74"/>
      <c r="K300" s="79"/>
      <c r="L300" s="10"/>
      <c r="M300" s="80"/>
      <c r="N300" s="10"/>
      <c r="O300" s="10"/>
      <c r="P300" s="160"/>
      <c r="Q300" s="40"/>
      <c r="R300" s="10"/>
      <c r="T300" s="10"/>
      <c r="U300" s="10"/>
      <c r="V300" s="10"/>
      <c r="W300" s="10"/>
      <c r="X300" s="10"/>
      <c r="Y300" s="10"/>
      <c r="Z300" s="10"/>
      <c r="AA300" s="10"/>
      <c r="AB300" s="10"/>
      <c r="AC300" s="10"/>
      <c r="AD300" s="10"/>
      <c r="AE300" s="10"/>
      <c r="AF300" s="10"/>
      <c r="AG300" s="10"/>
      <c r="AH300" s="10"/>
      <c r="AI300" s="10"/>
      <c r="AJ300" s="10"/>
    </row>
    <row r="301" spans="1:36" ht="14.25">
      <c r="B301" s="43"/>
      <c r="C301" s="16" t="s">
        <v>2</v>
      </c>
      <c r="D301" s="42">
        <f>D300-F300-H300</f>
        <v>75.613961447560342</v>
      </c>
      <c r="E301" s="42" t="s">
        <v>108</v>
      </c>
      <c r="F301" s="48"/>
      <c r="G301" s="43"/>
      <c r="H301" s="48"/>
      <c r="I301" s="43"/>
      <c r="J301" s="40"/>
      <c r="K301" s="81"/>
      <c r="L301" s="10"/>
      <c r="M301" s="80"/>
      <c r="N301" s="10"/>
      <c r="R301" s="10"/>
    </row>
    <row r="302" spans="1:36">
      <c r="B302" s="47"/>
      <c r="C302" s="9"/>
      <c r="D302" s="63" t="s">
        <v>111</v>
      </c>
      <c r="J302" s="38"/>
      <c r="K302" s="81"/>
      <c r="M302" s="80"/>
      <c r="U302" s="10"/>
      <c r="V302" s="10"/>
      <c r="W302" s="10"/>
      <c r="X302" s="10"/>
      <c r="Y302" s="10"/>
      <c r="Z302" s="10"/>
      <c r="AA302" s="10"/>
      <c r="AB302" s="10"/>
      <c r="AC302" s="10"/>
      <c r="AD302" s="10"/>
      <c r="AE302" s="10"/>
      <c r="AF302" s="10"/>
      <c r="AG302" s="10"/>
      <c r="AH302" s="10"/>
      <c r="AI302" s="10"/>
      <c r="AJ302" s="10"/>
    </row>
    <row r="303" spans="1:36" ht="16.5" thickBot="1">
      <c r="B303" s="47" t="s">
        <v>143</v>
      </c>
      <c r="C303" s="9" t="s">
        <v>2</v>
      </c>
      <c r="D303" s="41">
        <f>D297</f>
        <v>81.917795394736885</v>
      </c>
      <c r="E303" s="55" t="s">
        <v>7</v>
      </c>
      <c r="F303" s="41">
        <f>F297</f>
        <v>3.8975341261567866</v>
      </c>
      <c r="G303" s="55" t="s">
        <v>16</v>
      </c>
      <c r="H303" s="41">
        <f>H297</f>
        <v>2.4062998210197586</v>
      </c>
      <c r="I303" s="9"/>
      <c r="J303" s="74"/>
      <c r="K303" s="82"/>
      <c r="L303" s="65"/>
      <c r="M303" s="66"/>
      <c r="N303" s="10"/>
      <c r="O303" s="10"/>
      <c r="P303" s="160"/>
      <c r="Q303" s="40"/>
      <c r="R303" s="10"/>
      <c r="T303" s="10"/>
      <c r="U303" s="10"/>
      <c r="V303" s="10"/>
      <c r="W303" s="10"/>
      <c r="X303" s="10"/>
      <c r="Y303" s="10"/>
      <c r="Z303" s="10"/>
      <c r="AA303" s="10"/>
      <c r="AB303" s="10"/>
      <c r="AC303" s="10"/>
      <c r="AD303" s="10"/>
      <c r="AE303" s="10"/>
      <c r="AF303" s="10"/>
      <c r="AG303" s="10"/>
      <c r="AH303" s="10"/>
      <c r="AI303" s="10"/>
      <c r="AJ303" s="10"/>
    </row>
    <row r="304" spans="1:36" ht="14.25">
      <c r="B304" s="43"/>
      <c r="C304" s="16" t="s">
        <v>2</v>
      </c>
      <c r="D304" s="42">
        <f>D303+F303-H303</f>
        <v>83.409029699873912</v>
      </c>
      <c r="E304" s="42" t="s">
        <v>108</v>
      </c>
      <c r="F304" s="48"/>
      <c r="G304" s="43"/>
      <c r="H304" s="48"/>
      <c r="I304" s="43"/>
      <c r="J304" s="10">
        <f>D301</f>
        <v>75.613961447560342</v>
      </c>
      <c r="K304" s="75"/>
      <c r="L304" s="10"/>
      <c r="M304" s="10"/>
      <c r="N304" s="10">
        <f>D298</f>
        <v>88.221629341913427</v>
      </c>
      <c r="R304" s="10"/>
    </row>
    <row r="305" spans="2:36">
      <c r="B305" s="47"/>
      <c r="C305" s="9"/>
      <c r="D305" s="152" t="s">
        <v>604</v>
      </c>
      <c r="E305" s="9"/>
      <c r="G305" s="9"/>
      <c r="I305" s="9"/>
      <c r="K305" s="719" t="s">
        <v>145</v>
      </c>
      <c r="L305" s="719"/>
      <c r="M305" s="719"/>
      <c r="O305" s="9"/>
      <c r="R305" s="10"/>
      <c r="T305" s="10"/>
      <c r="U305" s="10"/>
      <c r="V305" s="10"/>
      <c r="W305" s="10"/>
      <c r="X305" s="10"/>
      <c r="Y305" s="10"/>
      <c r="Z305" s="10"/>
      <c r="AA305" s="10"/>
      <c r="AB305" s="10"/>
      <c r="AC305" s="10"/>
      <c r="AD305" s="10"/>
      <c r="AE305" s="10"/>
      <c r="AF305" s="10"/>
      <c r="AG305" s="10"/>
      <c r="AH305" s="10"/>
      <c r="AI305" s="10"/>
      <c r="AJ305" s="10"/>
    </row>
    <row r="306" spans="2:36" ht="15.75">
      <c r="B306" s="47" t="s">
        <v>144</v>
      </c>
      <c r="C306" s="9" t="s">
        <v>2</v>
      </c>
      <c r="D306" s="41">
        <f>D303</f>
        <v>81.917795394736885</v>
      </c>
      <c r="E306" s="55" t="s">
        <v>16</v>
      </c>
      <c r="F306" s="41">
        <f>F303</f>
        <v>3.8975341261567866</v>
      </c>
      <c r="G306" s="41" t="s">
        <v>7</v>
      </c>
      <c r="H306" s="41">
        <f>H303</f>
        <v>2.4062998210197586</v>
      </c>
      <c r="I306" s="9"/>
      <c r="J306" s="5"/>
      <c r="K306" s="9"/>
      <c r="N306" s="10"/>
      <c r="O306" s="10"/>
      <c r="P306" s="160"/>
      <c r="Q306" s="40"/>
      <c r="R306" s="10"/>
      <c r="T306" s="10"/>
      <c r="U306" s="10"/>
      <c r="V306" s="10"/>
      <c r="W306" s="10"/>
      <c r="X306" s="10"/>
      <c r="Y306" s="10"/>
      <c r="Z306" s="10"/>
      <c r="AA306" s="10"/>
      <c r="AB306" s="10"/>
      <c r="AC306" s="10"/>
      <c r="AD306" s="10"/>
      <c r="AE306" s="10"/>
      <c r="AF306" s="10"/>
      <c r="AG306" s="10"/>
      <c r="AH306" s="10"/>
      <c r="AI306" s="10"/>
      <c r="AJ306" s="10"/>
    </row>
    <row r="307" spans="2:36" ht="14.25">
      <c r="B307" s="43"/>
      <c r="C307" s="16" t="s">
        <v>2</v>
      </c>
      <c r="D307" s="42">
        <f>D306-F306+H306</f>
        <v>80.426561089599858</v>
      </c>
      <c r="E307" s="42" t="s">
        <v>108</v>
      </c>
      <c r="F307" s="48"/>
      <c r="G307" s="43"/>
      <c r="H307" s="48"/>
      <c r="I307" s="43"/>
      <c r="J307" s="38"/>
      <c r="R307" s="10"/>
    </row>
    <row r="308" spans="2:36">
      <c r="B308" s="49"/>
      <c r="C308" s="9"/>
      <c r="D308" s="229" t="s">
        <v>111</v>
      </c>
      <c r="J308" s="38"/>
      <c r="R308" s="10"/>
      <c r="U308" s="10"/>
      <c r="V308" s="10"/>
      <c r="W308" s="10"/>
      <c r="X308" s="10"/>
      <c r="Y308" s="10"/>
      <c r="Z308" s="10"/>
      <c r="AA308" s="10"/>
      <c r="AB308" s="10"/>
      <c r="AC308" s="10"/>
      <c r="AD308" s="10"/>
      <c r="AE308" s="10"/>
      <c r="AF308" s="10"/>
      <c r="AG308" s="10"/>
      <c r="AH308" s="10"/>
      <c r="AI308" s="10"/>
      <c r="AJ308" s="10"/>
    </row>
    <row r="309" spans="2:36">
      <c r="B309" s="47" t="s">
        <v>113</v>
      </c>
      <c r="C309" s="9" t="s">
        <v>17</v>
      </c>
      <c r="D309" s="2">
        <f>D291</f>
        <v>4284.8210880000015</v>
      </c>
      <c r="E309" s="9" t="s">
        <v>8</v>
      </c>
      <c r="F309" s="2">
        <f>$J$209</f>
        <v>45.599999999999994</v>
      </c>
      <c r="G309" s="55" t="s">
        <v>106</v>
      </c>
      <c r="H309" s="41">
        <f>$J$117</f>
        <v>112.56078556340799</v>
      </c>
      <c r="I309" s="9" t="s">
        <v>8</v>
      </c>
      <c r="J309" s="2">
        <f>$J$211</f>
        <v>28.88</v>
      </c>
      <c r="K309" s="55" t="s">
        <v>106</v>
      </c>
      <c r="L309" s="2">
        <f>L295</f>
        <v>219.45454367700194</v>
      </c>
      <c r="M309" s="9" t="s">
        <v>8</v>
      </c>
      <c r="N309" s="2">
        <f>$J$212</f>
        <v>91.199999999999989</v>
      </c>
      <c r="O309" s="55" t="s">
        <v>15</v>
      </c>
      <c r="R309" s="10"/>
      <c r="T309" s="10"/>
      <c r="U309" s="10"/>
      <c r="V309" s="10"/>
      <c r="W309" s="10"/>
      <c r="X309" s="10"/>
      <c r="Y309" s="10"/>
      <c r="Z309" s="10"/>
      <c r="AA309" s="10"/>
      <c r="AB309" s="10"/>
      <c r="AC309" s="10"/>
      <c r="AD309" s="10"/>
      <c r="AE309" s="10"/>
      <c r="AF309" s="10"/>
      <c r="AG309" s="10"/>
      <c r="AH309" s="10"/>
      <c r="AI309" s="10"/>
      <c r="AJ309" s="10"/>
    </row>
    <row r="310" spans="2:36">
      <c r="B310" s="47"/>
      <c r="C310" s="9" t="s">
        <v>2</v>
      </c>
      <c r="D310" s="41">
        <f>D309/F309</f>
        <v>93.965374736842151</v>
      </c>
      <c r="E310" s="55" t="s">
        <v>105</v>
      </c>
      <c r="F310" s="41">
        <f>H309/J309</f>
        <v>3.8975341261567866</v>
      </c>
      <c r="G310" s="55" t="s">
        <v>105</v>
      </c>
      <c r="H310" s="41">
        <f>L309/N309</f>
        <v>2.4062998210197586</v>
      </c>
      <c r="I310" s="9"/>
      <c r="K310" s="9"/>
      <c r="L310" s="5"/>
      <c r="M310" s="9"/>
      <c r="O310" s="9"/>
      <c r="R310" s="10"/>
      <c r="T310" s="10"/>
      <c r="U310" s="10"/>
      <c r="V310" s="10"/>
      <c r="W310" s="10"/>
      <c r="X310" s="10"/>
      <c r="Y310" s="10"/>
      <c r="Z310" s="10"/>
      <c r="AA310" s="10"/>
      <c r="AB310" s="10"/>
      <c r="AC310" s="10"/>
      <c r="AD310" s="10"/>
      <c r="AE310" s="10"/>
      <c r="AF310" s="10"/>
      <c r="AG310" s="10"/>
      <c r="AH310" s="10"/>
      <c r="AI310" s="10"/>
      <c r="AJ310" s="10"/>
    </row>
    <row r="311" spans="2:36" ht="16.5" thickBot="1">
      <c r="B311" s="47" t="s">
        <v>109</v>
      </c>
      <c r="C311" s="9" t="s">
        <v>2</v>
      </c>
      <c r="D311" s="41">
        <f>D310</f>
        <v>93.965374736842151</v>
      </c>
      <c r="E311" s="55" t="s">
        <v>7</v>
      </c>
      <c r="F311" s="41">
        <f>F310</f>
        <v>3.8975341261567866</v>
      </c>
      <c r="G311" s="55" t="s">
        <v>7</v>
      </c>
      <c r="H311" s="41">
        <f>H310</f>
        <v>2.4062998210197586</v>
      </c>
      <c r="I311" s="9"/>
      <c r="J311" s="10">
        <f>D311-F311+H311</f>
        <v>92.474140431705123</v>
      </c>
      <c r="K311" s="10"/>
      <c r="L311" s="10"/>
      <c r="M311" s="10"/>
      <c r="N311" s="10">
        <f>D311+F311-H311</f>
        <v>95.456609041979178</v>
      </c>
      <c r="O311" s="10"/>
      <c r="P311" s="160"/>
      <c r="Q311" s="40"/>
      <c r="R311" s="10"/>
      <c r="T311" s="10"/>
      <c r="U311" s="10"/>
      <c r="V311" s="10"/>
      <c r="W311" s="10"/>
      <c r="X311" s="10"/>
      <c r="Y311" s="10"/>
      <c r="Z311" s="10"/>
      <c r="AA311" s="10"/>
      <c r="AB311" s="10"/>
      <c r="AC311" s="10"/>
      <c r="AD311" s="10"/>
      <c r="AE311" s="10"/>
      <c r="AF311" s="10"/>
      <c r="AG311" s="10"/>
      <c r="AH311" s="10"/>
      <c r="AI311" s="10"/>
      <c r="AJ311" s="10"/>
    </row>
    <row r="312" spans="2:36" ht="14.25">
      <c r="B312" s="43"/>
      <c r="C312" s="16" t="s">
        <v>2</v>
      </c>
      <c r="D312" s="42">
        <f>D311+F311+H311</f>
        <v>100.26920868401869</v>
      </c>
      <c r="E312" s="42" t="s">
        <v>108</v>
      </c>
      <c r="F312" s="48"/>
      <c r="G312" s="43"/>
      <c r="H312" s="48"/>
      <c r="I312" s="43"/>
      <c r="J312" s="10"/>
      <c r="K312" s="76"/>
      <c r="L312" s="77"/>
      <c r="M312" s="78"/>
      <c r="N312" s="10"/>
      <c r="R312" s="10"/>
    </row>
    <row r="313" spans="2:36">
      <c r="B313" s="47"/>
      <c r="C313" s="9"/>
      <c r="D313" s="152" t="s">
        <v>604</v>
      </c>
      <c r="E313" s="9"/>
      <c r="G313" s="9"/>
      <c r="I313" s="9"/>
      <c r="J313" s="74"/>
      <c r="K313" s="79"/>
      <c r="L313" s="10"/>
      <c r="M313" s="80"/>
      <c r="N313" s="10"/>
      <c r="O313" s="9"/>
      <c r="R313" s="10"/>
      <c r="T313" s="10"/>
      <c r="U313" s="10"/>
      <c r="V313" s="10"/>
      <c r="W313" s="10"/>
      <c r="X313" s="10"/>
      <c r="Y313" s="10"/>
      <c r="Z313" s="10"/>
      <c r="AA313" s="10"/>
      <c r="AB313" s="10"/>
      <c r="AC313" s="10"/>
      <c r="AD313" s="10"/>
      <c r="AE313" s="10"/>
      <c r="AF313" s="10"/>
      <c r="AG313" s="10"/>
      <c r="AH313" s="10"/>
      <c r="AI313" s="10"/>
      <c r="AJ313" s="10"/>
    </row>
    <row r="314" spans="2:36" ht="15.75">
      <c r="B314" s="47" t="s">
        <v>110</v>
      </c>
      <c r="C314" s="9" t="s">
        <v>2</v>
      </c>
      <c r="D314" s="41">
        <f>D311</f>
        <v>93.965374736842151</v>
      </c>
      <c r="E314" s="55" t="s">
        <v>16</v>
      </c>
      <c r="F314" s="41">
        <f>F311</f>
        <v>3.8975341261567866</v>
      </c>
      <c r="G314" s="55" t="s">
        <v>16</v>
      </c>
      <c r="H314" s="41">
        <f>H311</f>
        <v>2.4062998210197586</v>
      </c>
      <c r="I314" s="9"/>
      <c r="J314" s="40"/>
      <c r="K314" s="81"/>
      <c r="L314" s="10"/>
      <c r="M314" s="80"/>
      <c r="N314" s="10"/>
      <c r="O314" s="10"/>
      <c r="P314" s="160"/>
      <c r="Q314" s="40"/>
      <c r="R314" s="10"/>
      <c r="T314" s="10"/>
      <c r="U314" s="10"/>
      <c r="V314" s="10"/>
      <c r="W314" s="10"/>
      <c r="X314" s="10"/>
      <c r="Y314" s="10"/>
      <c r="Z314" s="10"/>
      <c r="AA314" s="10"/>
      <c r="AB314" s="10"/>
      <c r="AC314" s="10"/>
      <c r="AD314" s="10"/>
      <c r="AE314" s="10"/>
      <c r="AF314" s="10"/>
      <c r="AG314" s="10"/>
      <c r="AH314" s="10"/>
      <c r="AI314" s="10"/>
      <c r="AJ314" s="10"/>
    </row>
    <row r="315" spans="2:36" ht="15" thickBot="1">
      <c r="B315" s="43"/>
      <c r="C315" s="16" t="s">
        <v>2</v>
      </c>
      <c r="D315" s="42">
        <f>D314-F314-H314</f>
        <v>87.661540789665608</v>
      </c>
      <c r="E315" s="42" t="s">
        <v>108</v>
      </c>
      <c r="F315" s="48"/>
      <c r="G315" s="43"/>
      <c r="H315" s="48"/>
      <c r="I315" s="43"/>
      <c r="J315" s="74"/>
      <c r="K315" s="82"/>
      <c r="L315" s="65"/>
      <c r="M315" s="66"/>
      <c r="N315" s="10"/>
      <c r="R315" s="10"/>
    </row>
    <row r="316" spans="2:36">
      <c r="B316" s="47"/>
      <c r="C316" s="9"/>
      <c r="D316" s="229" t="s">
        <v>111</v>
      </c>
      <c r="J316" s="10">
        <f>D315</f>
        <v>87.661540789665608</v>
      </c>
      <c r="K316" s="75"/>
      <c r="L316" s="10"/>
      <c r="M316" s="10"/>
      <c r="N316" s="10">
        <f>D312</f>
        <v>100.26920868401869</v>
      </c>
      <c r="U316" s="10"/>
      <c r="V316" s="10"/>
      <c r="W316" s="10"/>
      <c r="X316" s="10"/>
      <c r="Y316" s="10"/>
      <c r="Z316" s="10"/>
      <c r="AA316" s="10"/>
      <c r="AB316" s="10"/>
      <c r="AC316" s="10"/>
      <c r="AD316" s="10"/>
      <c r="AE316" s="10"/>
      <c r="AF316" s="10"/>
      <c r="AG316" s="10"/>
      <c r="AH316" s="10"/>
      <c r="AI316" s="10"/>
      <c r="AJ316" s="10"/>
    </row>
    <row r="317" spans="2:36">
      <c r="D317" s="21"/>
      <c r="E317" s="21"/>
      <c r="F317" s="21"/>
      <c r="K317" s="719" t="s">
        <v>145</v>
      </c>
      <c r="L317" s="719"/>
      <c r="M317" s="719"/>
    </row>
    <row r="318" spans="2:36">
      <c r="B318" s="47"/>
      <c r="C318" s="9"/>
      <c r="D318" s="63"/>
      <c r="J318" s="38"/>
      <c r="R318" s="10"/>
      <c r="U318" s="10"/>
      <c r="V318" s="10"/>
      <c r="W318" s="10"/>
      <c r="X318" s="10"/>
      <c r="Y318" s="10"/>
      <c r="Z318" s="10"/>
      <c r="AA318" s="10"/>
      <c r="AB318" s="10"/>
      <c r="AC318" s="10"/>
      <c r="AD318" s="10"/>
      <c r="AE318" s="10"/>
      <c r="AF318" s="10"/>
      <c r="AG318" s="10"/>
      <c r="AH318" s="10"/>
      <c r="AI318" s="10"/>
      <c r="AJ318" s="10"/>
    </row>
    <row r="319" spans="2:36">
      <c r="B319" s="169" t="str">
        <f>CONCATENATE("CASE- 5 FOR ONE SPAN DISLODGED CONDITION AT R. L.",E20," M")</f>
        <v>CASE- 5 FOR ONE SPAN DISLODGED CONDITION AT R. L.91.97 M</v>
      </c>
      <c r="C319" s="9"/>
      <c r="E319" s="9"/>
      <c r="G319" s="9"/>
      <c r="I319" s="9"/>
      <c r="K319" s="9"/>
      <c r="L319" s="5"/>
      <c r="M319" s="9"/>
      <c r="O319" s="9"/>
      <c r="P319" s="160"/>
      <c r="Q319" s="40"/>
      <c r="T319" s="10"/>
      <c r="U319" s="10"/>
      <c r="V319" s="10"/>
      <c r="W319" s="10"/>
      <c r="X319" s="10"/>
      <c r="Y319" s="10"/>
      <c r="Z319" s="10"/>
      <c r="AA319" s="10"/>
      <c r="AB319" s="10"/>
      <c r="AC319" s="10"/>
      <c r="AD319" s="10"/>
      <c r="AE319" s="10"/>
      <c r="AF319" s="10"/>
      <c r="AG319" s="10"/>
      <c r="AH319" s="10"/>
      <c r="AI319" s="10"/>
      <c r="AJ319" s="10"/>
    </row>
    <row r="320" spans="2:36" hidden="1">
      <c r="B320" s="47"/>
      <c r="C320" s="9"/>
      <c r="E320" s="9"/>
      <c r="G320" s="9"/>
      <c r="I320" s="9"/>
      <c r="K320" s="9"/>
      <c r="L320" s="5"/>
      <c r="M320" s="9"/>
      <c r="O320" s="9"/>
      <c r="P320" s="160"/>
      <c r="Q320" s="40"/>
      <c r="T320" s="10"/>
      <c r="U320" s="10"/>
      <c r="V320" s="10"/>
      <c r="W320" s="10"/>
      <c r="X320" s="10"/>
      <c r="Y320" s="10"/>
      <c r="Z320" s="10"/>
      <c r="AA320" s="10"/>
      <c r="AB320" s="10"/>
      <c r="AC320" s="10"/>
      <c r="AD320" s="10"/>
      <c r="AE320" s="10"/>
      <c r="AF320" s="10"/>
      <c r="AG320" s="10"/>
      <c r="AH320" s="10"/>
      <c r="AI320" s="10"/>
      <c r="AJ320" s="10"/>
    </row>
    <row r="321" spans="1:36">
      <c r="B321" s="44" t="s">
        <v>55</v>
      </c>
      <c r="C321" s="16" t="s">
        <v>2</v>
      </c>
      <c r="D321" s="42">
        <f>D287/2</f>
        <v>731.80799999999988</v>
      </c>
      <c r="E321" s="42" t="s">
        <v>10</v>
      </c>
      <c r="F321" s="42"/>
      <c r="G321" s="38"/>
    </row>
    <row r="322" spans="1:36">
      <c r="B322" s="44" t="s">
        <v>56</v>
      </c>
      <c r="C322" s="16" t="s">
        <v>2</v>
      </c>
      <c r="D322" s="42">
        <f>D288</f>
        <v>2821.2050880000015</v>
      </c>
      <c r="E322" s="42" t="s">
        <v>10</v>
      </c>
      <c r="F322" s="42" t="s">
        <v>93</v>
      </c>
      <c r="G322" s="38"/>
    </row>
    <row r="323" spans="1:36">
      <c r="B323" s="44" t="s">
        <v>56</v>
      </c>
      <c r="C323" s="16" t="s">
        <v>2</v>
      </c>
      <c r="D323" s="42">
        <f>D289</f>
        <v>2271.8354700000018</v>
      </c>
      <c r="E323" s="42" t="s">
        <v>10</v>
      </c>
      <c r="F323" s="42" t="s">
        <v>94</v>
      </c>
      <c r="G323" s="38"/>
    </row>
    <row r="324" spans="1:36" s="38" customFormat="1">
      <c r="A324" s="11"/>
      <c r="B324" s="50" t="s">
        <v>92</v>
      </c>
      <c r="C324" s="16" t="s">
        <v>2</v>
      </c>
      <c r="D324" s="42">
        <v>0</v>
      </c>
      <c r="E324" s="42" t="s">
        <v>10</v>
      </c>
      <c r="F324" s="42"/>
      <c r="P324" s="160"/>
      <c r="Q324" s="40"/>
    </row>
    <row r="325" spans="1:36" s="38" customFormat="1">
      <c r="A325" s="11"/>
      <c r="B325" s="50" t="s">
        <v>103</v>
      </c>
      <c r="C325" s="16" t="s">
        <v>2</v>
      </c>
      <c r="D325" s="42">
        <f>D321+D322</f>
        <v>3553.0130880000015</v>
      </c>
      <c r="E325" s="42" t="s">
        <v>10</v>
      </c>
      <c r="F325" s="42"/>
      <c r="P325" s="160"/>
      <c r="Q325" s="40"/>
    </row>
    <row r="326" spans="1:36" s="38" customFormat="1">
      <c r="A326" s="11"/>
      <c r="B326" s="50" t="s">
        <v>104</v>
      </c>
      <c r="C326" s="16" t="s">
        <v>2</v>
      </c>
      <c r="D326" s="42">
        <f>D323+D321</f>
        <v>3003.6434700000018</v>
      </c>
      <c r="E326" s="42" t="s">
        <v>10</v>
      </c>
      <c r="F326" s="42"/>
      <c r="P326" s="160"/>
      <c r="Q326" s="40"/>
    </row>
    <row r="327" spans="1:36" s="38" customFormat="1">
      <c r="A327" s="11"/>
      <c r="B327" s="50" t="s">
        <v>136</v>
      </c>
      <c r="C327" s="16" t="s">
        <v>2</v>
      </c>
      <c r="D327" s="42">
        <f>D293</f>
        <v>112.56078556340799</v>
      </c>
      <c r="E327" s="42" t="s">
        <v>5</v>
      </c>
      <c r="F327" s="42"/>
      <c r="P327" s="160"/>
      <c r="Q327" s="40"/>
      <c r="R327" s="40"/>
    </row>
    <row r="328" spans="1:36" s="38" customFormat="1">
      <c r="A328" s="11"/>
      <c r="B328" s="50" t="s">
        <v>137</v>
      </c>
      <c r="C328" s="16" t="s">
        <v>2</v>
      </c>
      <c r="D328" s="42">
        <f>D294</f>
        <v>112.56078556340799</v>
      </c>
      <c r="E328" s="53" t="s">
        <v>7</v>
      </c>
      <c r="F328" s="42">
        <f>F294</f>
        <v>106.89375811359393</v>
      </c>
      <c r="G328" s="63" t="s">
        <v>2</v>
      </c>
      <c r="H328" s="38">
        <f>D328+F328</f>
        <v>219.45454367700194</v>
      </c>
      <c r="I328" s="38" t="s">
        <v>5</v>
      </c>
      <c r="P328" s="160"/>
      <c r="Q328" s="40"/>
      <c r="R328" s="40"/>
    </row>
    <row r="329" spans="1:36">
      <c r="B329" s="47" t="s">
        <v>112</v>
      </c>
      <c r="C329" s="9" t="s">
        <v>17</v>
      </c>
      <c r="D329" s="2">
        <f>D326</f>
        <v>3003.6434700000018</v>
      </c>
      <c r="E329" s="9" t="s">
        <v>8</v>
      </c>
      <c r="F329" s="2">
        <f>$J$209</f>
        <v>45.599999999999994</v>
      </c>
      <c r="G329" s="55" t="s">
        <v>106</v>
      </c>
      <c r="H329" s="41">
        <f>$J$117</f>
        <v>112.56078556340799</v>
      </c>
      <c r="I329" s="9" t="s">
        <v>8</v>
      </c>
      <c r="J329" s="2">
        <f>$J$211</f>
        <v>28.88</v>
      </c>
      <c r="K329" s="55" t="s">
        <v>106</v>
      </c>
      <c r="L329" s="2">
        <f>H328</f>
        <v>219.45454367700194</v>
      </c>
      <c r="M329" s="9" t="s">
        <v>8</v>
      </c>
      <c r="N329" s="2">
        <f>$J$212</f>
        <v>91.199999999999989</v>
      </c>
      <c r="O329" s="55" t="s">
        <v>15</v>
      </c>
      <c r="R329" s="10"/>
      <c r="T329" s="10"/>
      <c r="U329" s="10"/>
      <c r="V329" s="10"/>
      <c r="W329" s="10"/>
      <c r="X329" s="10"/>
      <c r="Y329" s="10"/>
      <c r="Z329" s="10"/>
      <c r="AA329" s="10"/>
      <c r="AB329" s="10"/>
      <c r="AC329" s="10"/>
      <c r="AD329" s="10"/>
      <c r="AE329" s="10"/>
      <c r="AF329" s="10"/>
      <c r="AG329" s="10"/>
      <c r="AH329" s="10"/>
      <c r="AI329" s="10"/>
      <c r="AJ329" s="10"/>
    </row>
    <row r="330" spans="1:36">
      <c r="B330" s="47"/>
      <c r="C330" s="9" t="s">
        <v>2</v>
      </c>
      <c r="D330" s="41">
        <f>D329/F329</f>
        <v>65.869374342105317</v>
      </c>
      <c r="E330" s="55" t="s">
        <v>105</v>
      </c>
      <c r="F330" s="41">
        <f>H329/J329</f>
        <v>3.8975341261567866</v>
      </c>
      <c r="G330" s="55" t="s">
        <v>105</v>
      </c>
      <c r="H330" s="41">
        <f>L329/N329</f>
        <v>2.4062998210197586</v>
      </c>
      <c r="I330" s="9"/>
      <c r="K330" s="9"/>
      <c r="L330" s="5"/>
      <c r="M330" s="9"/>
      <c r="O330" s="9"/>
      <c r="R330" s="10"/>
      <c r="T330" s="10"/>
      <c r="U330" s="10"/>
      <c r="V330" s="10"/>
      <c r="W330" s="10"/>
      <c r="X330" s="10"/>
      <c r="Y330" s="10"/>
      <c r="Z330" s="10"/>
      <c r="AA330" s="10"/>
      <c r="AB330" s="10"/>
      <c r="AC330" s="10"/>
      <c r="AD330" s="10"/>
      <c r="AE330" s="10"/>
      <c r="AF330" s="10"/>
      <c r="AG330" s="10"/>
      <c r="AH330" s="10"/>
      <c r="AI330" s="10"/>
      <c r="AJ330" s="10"/>
    </row>
    <row r="331" spans="1:36" ht="15.75">
      <c r="B331" s="47" t="s">
        <v>109</v>
      </c>
      <c r="C331" s="9" t="s">
        <v>2</v>
      </c>
      <c r="D331" s="41">
        <f>D330</f>
        <v>65.869374342105317</v>
      </c>
      <c r="E331" s="55" t="s">
        <v>7</v>
      </c>
      <c r="F331" s="41">
        <f>F330</f>
        <v>3.8975341261567866</v>
      </c>
      <c r="G331" s="55" t="s">
        <v>7</v>
      </c>
      <c r="H331" s="41">
        <f>H330</f>
        <v>2.4062998210197586</v>
      </c>
      <c r="I331" s="9"/>
      <c r="J331" s="5"/>
      <c r="K331" s="9"/>
      <c r="N331" s="10"/>
      <c r="O331" s="10"/>
      <c r="P331" s="160"/>
      <c r="Q331" s="40"/>
      <c r="R331" s="10"/>
      <c r="T331" s="10"/>
      <c r="U331" s="10"/>
      <c r="V331" s="10"/>
      <c r="W331" s="10"/>
      <c r="X331" s="10"/>
      <c r="Y331" s="10"/>
      <c r="Z331" s="10"/>
      <c r="AA331" s="10"/>
      <c r="AB331" s="10"/>
      <c r="AC331" s="10"/>
      <c r="AD331" s="10"/>
      <c r="AE331" s="10"/>
      <c r="AF331" s="10"/>
      <c r="AG331" s="10"/>
      <c r="AH331" s="10"/>
      <c r="AI331" s="10"/>
      <c r="AJ331" s="10"/>
    </row>
    <row r="332" spans="1:36" ht="15" thickBot="1">
      <c r="B332" s="43"/>
      <c r="C332" s="16" t="s">
        <v>2</v>
      </c>
      <c r="D332" s="42">
        <f>D331+F331+H331</f>
        <v>72.17320828928186</v>
      </c>
      <c r="E332" s="42" t="s">
        <v>108</v>
      </c>
      <c r="F332" s="48"/>
      <c r="G332" s="43"/>
      <c r="H332" s="48"/>
      <c r="I332" s="43"/>
      <c r="J332" s="10">
        <f>D340</f>
        <v>64.37814003696829</v>
      </c>
      <c r="K332" s="10"/>
      <c r="L332" s="10"/>
      <c r="M332" s="10"/>
      <c r="N332" s="10">
        <f>D337</f>
        <v>67.360608647242344</v>
      </c>
      <c r="R332" s="10"/>
    </row>
    <row r="333" spans="1:36">
      <c r="B333" s="47"/>
      <c r="C333" s="9"/>
      <c r="D333" s="229" t="s">
        <v>604</v>
      </c>
      <c r="E333" s="9"/>
      <c r="G333" s="9"/>
      <c r="I333" s="9"/>
      <c r="J333" s="10"/>
      <c r="K333" s="76"/>
      <c r="L333" s="77"/>
      <c r="M333" s="78"/>
      <c r="N333" s="10"/>
      <c r="O333" s="9"/>
      <c r="R333" s="10"/>
      <c r="T333" s="10"/>
      <c r="U333" s="10"/>
      <c r="V333" s="10"/>
      <c r="W333" s="10"/>
      <c r="X333" s="10"/>
      <c r="Y333" s="10"/>
      <c r="Z333" s="10"/>
      <c r="AA333" s="10"/>
      <c r="AB333" s="10"/>
      <c r="AC333" s="10"/>
      <c r="AD333" s="10"/>
      <c r="AE333" s="10"/>
      <c r="AF333" s="10"/>
      <c r="AG333" s="10"/>
      <c r="AH333" s="10"/>
      <c r="AI333" s="10"/>
      <c r="AJ333" s="10"/>
    </row>
    <row r="334" spans="1:36" ht="15.75">
      <c r="B334" s="47" t="s">
        <v>110</v>
      </c>
      <c r="C334" s="9" t="s">
        <v>2</v>
      </c>
      <c r="D334" s="41">
        <f>D331</f>
        <v>65.869374342105317</v>
      </c>
      <c r="E334" s="55" t="s">
        <v>16</v>
      </c>
      <c r="F334" s="41">
        <f>F331</f>
        <v>3.8975341261567866</v>
      </c>
      <c r="G334" s="55" t="s">
        <v>16</v>
      </c>
      <c r="H334" s="41">
        <f>H331</f>
        <v>2.4062998210197586</v>
      </c>
      <c r="I334" s="9"/>
      <c r="J334" s="74"/>
      <c r="K334" s="79"/>
      <c r="L334" s="10"/>
      <c r="M334" s="80"/>
      <c r="N334" s="10"/>
      <c r="O334" s="10"/>
      <c r="P334" s="160"/>
      <c r="Q334" s="40"/>
      <c r="R334" s="10"/>
      <c r="T334" s="10"/>
      <c r="U334" s="10"/>
      <c r="V334" s="10"/>
      <c r="W334" s="10"/>
      <c r="X334" s="10"/>
      <c r="Y334" s="10"/>
      <c r="Z334" s="10"/>
      <c r="AA334" s="10"/>
      <c r="AB334" s="10"/>
      <c r="AC334" s="10"/>
      <c r="AD334" s="10"/>
      <c r="AE334" s="10"/>
      <c r="AF334" s="10"/>
      <c r="AG334" s="10"/>
      <c r="AH334" s="10"/>
      <c r="AI334" s="10"/>
      <c r="AJ334" s="10"/>
    </row>
    <row r="335" spans="1:36" ht="14.25">
      <c r="B335" s="43"/>
      <c r="C335" s="16" t="s">
        <v>2</v>
      </c>
      <c r="D335" s="42">
        <f>D334-F334-H334</f>
        <v>59.565540394928775</v>
      </c>
      <c r="E335" s="42" t="s">
        <v>108</v>
      </c>
      <c r="F335" s="48"/>
      <c r="G335" s="43"/>
      <c r="H335" s="48"/>
      <c r="I335" s="43"/>
      <c r="J335" s="40"/>
      <c r="K335" s="81"/>
      <c r="L335" s="10"/>
      <c r="M335" s="80"/>
      <c r="N335" s="10"/>
      <c r="R335" s="10"/>
    </row>
    <row r="336" spans="1:36" ht="16.5" thickBot="1">
      <c r="B336" s="47" t="s">
        <v>143</v>
      </c>
      <c r="C336" s="9" t="s">
        <v>2</v>
      </c>
      <c r="D336" s="41">
        <f>D331</f>
        <v>65.869374342105317</v>
      </c>
      <c r="E336" s="55" t="s">
        <v>7</v>
      </c>
      <c r="F336" s="41">
        <f>F331</f>
        <v>3.8975341261567866</v>
      </c>
      <c r="G336" s="55" t="s">
        <v>16</v>
      </c>
      <c r="H336" s="41">
        <f>H331</f>
        <v>2.4062998210197586</v>
      </c>
      <c r="I336" s="9"/>
      <c r="J336" s="74"/>
      <c r="K336" s="82"/>
      <c r="L336" s="65"/>
      <c r="M336" s="66"/>
      <c r="N336" s="10"/>
      <c r="O336" s="10"/>
      <c r="P336" s="160"/>
      <c r="Q336" s="40"/>
      <c r="R336" s="10"/>
      <c r="T336" s="10"/>
      <c r="U336" s="10"/>
      <c r="V336" s="10"/>
      <c r="W336" s="10"/>
      <c r="X336" s="10"/>
      <c r="Y336" s="10"/>
      <c r="Z336" s="10"/>
      <c r="AA336" s="10"/>
      <c r="AB336" s="10"/>
      <c r="AC336" s="10"/>
      <c r="AD336" s="10"/>
      <c r="AE336" s="10"/>
      <c r="AF336" s="10"/>
      <c r="AG336" s="10"/>
      <c r="AH336" s="10"/>
      <c r="AI336" s="10"/>
      <c r="AJ336" s="10"/>
    </row>
    <row r="337" spans="2:36" ht="14.25">
      <c r="B337" s="43"/>
      <c r="C337" s="16" t="s">
        <v>2</v>
      </c>
      <c r="D337" s="42">
        <f>D336+F336-H336</f>
        <v>67.360608647242344</v>
      </c>
      <c r="E337" s="42" t="s">
        <v>108</v>
      </c>
      <c r="F337" s="48"/>
      <c r="G337" s="43"/>
      <c r="H337" s="48"/>
      <c r="I337" s="43"/>
      <c r="J337" s="10">
        <f>D335</f>
        <v>59.565540394928775</v>
      </c>
      <c r="K337" s="75"/>
      <c r="L337" s="10"/>
      <c r="M337" s="10"/>
      <c r="N337" s="10">
        <f>D332</f>
        <v>72.17320828928186</v>
      </c>
      <c r="R337" s="10"/>
    </row>
    <row r="338" spans="2:36">
      <c r="B338" s="47"/>
      <c r="C338" s="9"/>
      <c r="E338" s="9"/>
      <c r="G338" s="9"/>
      <c r="I338" s="9"/>
      <c r="K338" s="719" t="s">
        <v>145</v>
      </c>
      <c r="L338" s="719"/>
      <c r="M338" s="719"/>
      <c r="O338" s="9"/>
      <c r="R338" s="10"/>
      <c r="T338" s="10"/>
      <c r="U338" s="10"/>
      <c r="V338" s="10"/>
      <c r="W338" s="10"/>
      <c r="X338" s="10"/>
      <c r="Y338" s="10"/>
      <c r="Z338" s="10"/>
      <c r="AA338" s="10"/>
      <c r="AB338" s="10"/>
      <c r="AC338" s="10"/>
      <c r="AD338" s="10"/>
      <c r="AE338" s="10"/>
      <c r="AF338" s="10"/>
      <c r="AG338" s="10"/>
      <c r="AH338" s="10"/>
      <c r="AI338" s="10"/>
      <c r="AJ338" s="10"/>
    </row>
    <row r="339" spans="2:36" ht="15.75">
      <c r="B339" s="47" t="s">
        <v>144</v>
      </c>
      <c r="C339" s="9" t="s">
        <v>2</v>
      </c>
      <c r="D339" s="41">
        <f>D336</f>
        <v>65.869374342105317</v>
      </c>
      <c r="E339" s="55" t="s">
        <v>16</v>
      </c>
      <c r="F339" s="41">
        <f>F336</f>
        <v>3.8975341261567866</v>
      </c>
      <c r="G339" s="41" t="s">
        <v>7</v>
      </c>
      <c r="H339" s="41">
        <f>H336</f>
        <v>2.4062998210197586</v>
      </c>
      <c r="I339" s="9"/>
      <c r="J339" s="5"/>
      <c r="K339" s="9"/>
      <c r="N339" s="10"/>
      <c r="O339" s="10"/>
      <c r="P339" s="160"/>
      <c r="Q339" s="40"/>
      <c r="R339" s="10"/>
      <c r="T339" s="10"/>
      <c r="U339" s="10"/>
      <c r="V339" s="10"/>
      <c r="W339" s="10"/>
      <c r="X339" s="10"/>
      <c r="Y339" s="10"/>
      <c r="Z339" s="10"/>
      <c r="AA339" s="10"/>
      <c r="AB339" s="10"/>
      <c r="AC339" s="10"/>
      <c r="AD339" s="10"/>
      <c r="AE339" s="10"/>
      <c r="AF339" s="10"/>
      <c r="AG339" s="10"/>
      <c r="AH339" s="10"/>
      <c r="AI339" s="10"/>
      <c r="AJ339" s="10"/>
    </row>
    <row r="340" spans="2:36" ht="14.25">
      <c r="B340" s="43"/>
      <c r="C340" s="16" t="s">
        <v>2</v>
      </c>
      <c r="D340" s="42">
        <f>D339-F339+H339</f>
        <v>64.37814003696829</v>
      </c>
      <c r="E340" s="42" t="s">
        <v>108</v>
      </c>
      <c r="F340" s="48"/>
      <c r="G340" s="43"/>
      <c r="H340" s="48"/>
      <c r="I340" s="43"/>
      <c r="J340" s="38"/>
      <c r="R340" s="10"/>
    </row>
    <row r="341" spans="2:36">
      <c r="B341" s="47"/>
      <c r="C341" s="9"/>
      <c r="D341" s="63"/>
      <c r="J341" s="38"/>
      <c r="R341" s="10"/>
      <c r="U341" s="10"/>
      <c r="V341" s="10"/>
      <c r="W341" s="10"/>
      <c r="X341" s="10"/>
      <c r="Y341" s="10"/>
      <c r="Z341" s="10"/>
      <c r="AA341" s="10"/>
      <c r="AB341" s="10"/>
      <c r="AC341" s="10"/>
      <c r="AD341" s="10"/>
      <c r="AE341" s="10"/>
      <c r="AF341" s="10"/>
      <c r="AG341" s="10"/>
      <c r="AH341" s="10"/>
      <c r="AI341" s="10"/>
      <c r="AJ341" s="10"/>
    </row>
    <row r="342" spans="2:36">
      <c r="B342" s="49"/>
      <c r="C342" s="9"/>
      <c r="J342" s="38"/>
      <c r="R342" s="10"/>
      <c r="U342" s="10"/>
      <c r="V342" s="10"/>
      <c r="W342" s="10"/>
      <c r="X342" s="10"/>
      <c r="Y342" s="10"/>
      <c r="Z342" s="10"/>
      <c r="AA342" s="10"/>
      <c r="AB342" s="10"/>
      <c r="AC342" s="10"/>
      <c r="AD342" s="10"/>
      <c r="AE342" s="10"/>
      <c r="AF342" s="10"/>
      <c r="AG342" s="10"/>
      <c r="AH342" s="10"/>
      <c r="AI342" s="10"/>
      <c r="AJ342" s="10"/>
    </row>
    <row r="343" spans="2:36">
      <c r="B343" s="47" t="s">
        <v>113</v>
      </c>
      <c r="C343" s="9" t="s">
        <v>17</v>
      </c>
      <c r="D343" s="2">
        <f>D325</f>
        <v>3553.0130880000015</v>
      </c>
      <c r="E343" s="9" t="s">
        <v>8</v>
      </c>
      <c r="F343" s="2">
        <f>$J$209</f>
        <v>45.599999999999994</v>
      </c>
      <c r="G343" s="55" t="s">
        <v>106</v>
      </c>
      <c r="H343" s="41">
        <f>$J$117</f>
        <v>112.56078556340799</v>
      </c>
      <c r="I343" s="9" t="s">
        <v>8</v>
      </c>
      <c r="J343" s="2">
        <f>$J$211</f>
        <v>28.88</v>
      </c>
      <c r="K343" s="55" t="s">
        <v>106</v>
      </c>
      <c r="L343" s="2">
        <f>H342</f>
        <v>0</v>
      </c>
      <c r="M343" s="9" t="s">
        <v>8</v>
      </c>
      <c r="N343" s="2">
        <f>$J$212</f>
        <v>91.199999999999989</v>
      </c>
      <c r="O343" s="55" t="s">
        <v>15</v>
      </c>
      <c r="R343" s="10"/>
      <c r="T343" s="10"/>
      <c r="U343" s="10"/>
      <c r="V343" s="10"/>
      <c r="W343" s="10"/>
      <c r="X343" s="10"/>
      <c r="Y343" s="10"/>
      <c r="Z343" s="10"/>
      <c r="AA343" s="10"/>
      <c r="AB343" s="10"/>
      <c r="AC343" s="10"/>
      <c r="AD343" s="10"/>
      <c r="AE343" s="10"/>
      <c r="AF343" s="10"/>
      <c r="AG343" s="10"/>
      <c r="AH343" s="10"/>
      <c r="AI343" s="10"/>
      <c r="AJ343" s="10"/>
    </row>
    <row r="344" spans="2:36">
      <c r="B344" s="47"/>
      <c r="C344" s="9" t="s">
        <v>2</v>
      </c>
      <c r="D344" s="41">
        <f>D343/F343</f>
        <v>77.916953684210569</v>
      </c>
      <c r="E344" s="55" t="s">
        <v>105</v>
      </c>
      <c r="F344" s="41">
        <f>H343/J343</f>
        <v>3.8975341261567866</v>
      </c>
      <c r="G344" s="55" t="s">
        <v>105</v>
      </c>
      <c r="H344" s="41">
        <f>L343/N343</f>
        <v>0</v>
      </c>
      <c r="I344" s="9"/>
      <c r="K344" s="9"/>
      <c r="L344" s="5"/>
      <c r="M344" s="9"/>
      <c r="O344" s="9"/>
      <c r="R344" s="10"/>
      <c r="T344" s="10"/>
      <c r="U344" s="10"/>
      <c r="V344" s="10"/>
      <c r="W344" s="10"/>
      <c r="X344" s="10"/>
      <c r="Y344" s="10"/>
      <c r="Z344" s="10"/>
      <c r="AA344" s="10"/>
      <c r="AB344" s="10"/>
      <c r="AC344" s="10"/>
      <c r="AD344" s="10"/>
      <c r="AE344" s="10"/>
      <c r="AF344" s="10"/>
      <c r="AG344" s="10"/>
      <c r="AH344" s="10"/>
      <c r="AI344" s="10"/>
      <c r="AJ344" s="10"/>
    </row>
    <row r="345" spans="2:36" ht="15.75">
      <c r="B345" s="47" t="s">
        <v>109</v>
      </c>
      <c r="C345" s="9" t="s">
        <v>2</v>
      </c>
      <c r="D345" s="41">
        <f>D344</f>
        <v>77.916953684210569</v>
      </c>
      <c r="E345" s="55" t="s">
        <v>7</v>
      </c>
      <c r="F345" s="41">
        <f>F344</f>
        <v>3.8975341261567866</v>
      </c>
      <c r="G345" s="55" t="s">
        <v>7</v>
      </c>
      <c r="H345" s="41">
        <f>H344</f>
        <v>0</v>
      </c>
      <c r="I345" s="9"/>
      <c r="J345" s="5"/>
      <c r="K345" s="9"/>
      <c r="N345" s="10"/>
      <c r="O345" s="10"/>
      <c r="P345" s="160"/>
      <c r="Q345" s="40"/>
      <c r="R345" s="10"/>
      <c r="T345" s="10"/>
      <c r="U345" s="10"/>
      <c r="V345" s="10"/>
      <c r="W345" s="10"/>
      <c r="X345" s="10"/>
      <c r="Y345" s="10"/>
      <c r="Z345" s="10"/>
      <c r="AA345" s="10"/>
      <c r="AB345" s="10"/>
      <c r="AC345" s="10"/>
      <c r="AD345" s="10"/>
      <c r="AE345" s="10"/>
      <c r="AF345" s="10"/>
      <c r="AG345" s="10"/>
      <c r="AH345" s="10"/>
      <c r="AI345" s="10"/>
      <c r="AJ345" s="10"/>
    </row>
    <row r="346" spans="2:36" ht="15" thickBot="1">
      <c r="B346" s="43"/>
      <c r="C346" s="16" t="s">
        <v>2</v>
      </c>
      <c r="D346" s="42">
        <f>D345+F345+H345</f>
        <v>81.814487810367353</v>
      </c>
      <c r="E346" s="42" t="s">
        <v>108</v>
      </c>
      <c r="F346" s="48"/>
      <c r="G346" s="43"/>
      <c r="H346" s="48"/>
      <c r="I346" s="43"/>
      <c r="J346" s="10">
        <f>D354</f>
        <v>74.019419558053784</v>
      </c>
      <c r="K346" s="10"/>
      <c r="L346" s="10"/>
      <c r="M346" s="10"/>
      <c r="N346" s="10">
        <f>D351</f>
        <v>81.814487810367353</v>
      </c>
      <c r="R346" s="10"/>
    </row>
    <row r="347" spans="2:36">
      <c r="B347" s="47"/>
      <c r="C347" s="9"/>
      <c r="E347" s="9"/>
      <c r="G347" s="9"/>
      <c r="I347" s="9"/>
      <c r="J347" s="10"/>
      <c r="K347" s="76"/>
      <c r="L347" s="77"/>
      <c r="M347" s="78"/>
      <c r="N347" s="10"/>
      <c r="O347" s="9"/>
      <c r="R347" s="10"/>
      <c r="T347" s="10"/>
      <c r="U347" s="10"/>
      <c r="V347" s="10"/>
      <c r="W347" s="10"/>
      <c r="X347" s="10"/>
      <c r="Y347" s="10"/>
      <c r="Z347" s="10"/>
      <c r="AA347" s="10"/>
      <c r="AB347" s="10"/>
      <c r="AC347" s="10"/>
      <c r="AD347" s="10"/>
      <c r="AE347" s="10"/>
      <c r="AF347" s="10"/>
      <c r="AG347" s="10"/>
      <c r="AH347" s="10"/>
      <c r="AI347" s="10"/>
      <c r="AJ347" s="10"/>
    </row>
    <row r="348" spans="2:36" ht="15.75">
      <c r="B348" s="47" t="s">
        <v>110</v>
      </c>
      <c r="C348" s="9" t="s">
        <v>2</v>
      </c>
      <c r="D348" s="41">
        <f>D345</f>
        <v>77.916953684210569</v>
      </c>
      <c r="E348" s="55" t="s">
        <v>16</v>
      </c>
      <c r="F348" s="41">
        <f>F345</f>
        <v>3.8975341261567866</v>
      </c>
      <c r="G348" s="55" t="s">
        <v>16</v>
      </c>
      <c r="H348" s="41">
        <f>H345</f>
        <v>0</v>
      </c>
      <c r="I348" s="9"/>
      <c r="J348" s="74"/>
      <c r="K348" s="79"/>
      <c r="L348" s="10"/>
      <c r="M348" s="80"/>
      <c r="N348" s="10"/>
      <c r="O348" s="10"/>
      <c r="P348" s="160"/>
      <c r="Q348" s="40"/>
      <c r="R348" s="10"/>
      <c r="T348" s="10"/>
      <c r="U348" s="10"/>
      <c r="V348" s="10"/>
      <c r="W348" s="10"/>
      <c r="X348" s="10"/>
      <c r="Y348" s="10"/>
      <c r="Z348" s="10"/>
      <c r="AA348" s="10"/>
      <c r="AB348" s="10"/>
      <c r="AC348" s="10"/>
      <c r="AD348" s="10"/>
      <c r="AE348" s="10"/>
      <c r="AF348" s="10"/>
      <c r="AG348" s="10"/>
      <c r="AH348" s="10"/>
      <c r="AI348" s="10"/>
      <c r="AJ348" s="10"/>
    </row>
    <row r="349" spans="2:36" ht="14.25">
      <c r="B349" s="43"/>
      <c r="C349" s="16" t="s">
        <v>2</v>
      </c>
      <c r="D349" s="42">
        <f>D348-F348-H348</f>
        <v>74.019419558053784</v>
      </c>
      <c r="E349" s="42" t="s">
        <v>108</v>
      </c>
      <c r="F349" s="48"/>
      <c r="G349" s="43"/>
      <c r="H349" s="48"/>
      <c r="I349" s="43"/>
      <c r="J349" s="40"/>
      <c r="K349" s="81"/>
      <c r="L349" s="10"/>
      <c r="M349" s="80"/>
      <c r="N349" s="10"/>
      <c r="R349" s="10"/>
    </row>
    <row r="350" spans="2:36" ht="16.5" thickBot="1">
      <c r="B350" s="47" t="s">
        <v>143</v>
      </c>
      <c r="C350" s="9" t="s">
        <v>2</v>
      </c>
      <c r="D350" s="41">
        <f>D345</f>
        <v>77.916953684210569</v>
      </c>
      <c r="E350" s="55" t="s">
        <v>7</v>
      </c>
      <c r="F350" s="41">
        <f>F345</f>
        <v>3.8975341261567866</v>
      </c>
      <c r="G350" s="55" t="s">
        <v>16</v>
      </c>
      <c r="H350" s="41">
        <f>H345</f>
        <v>0</v>
      </c>
      <c r="I350" s="9"/>
      <c r="J350" s="74"/>
      <c r="K350" s="82"/>
      <c r="L350" s="65"/>
      <c r="M350" s="66"/>
      <c r="N350" s="10"/>
      <c r="O350" s="10"/>
      <c r="P350" s="160"/>
      <c r="Q350" s="40"/>
      <c r="R350" s="10"/>
      <c r="T350" s="10"/>
      <c r="U350" s="10"/>
      <c r="V350" s="10"/>
      <c r="W350" s="10"/>
      <c r="X350" s="10"/>
      <c r="Y350" s="10"/>
      <c r="Z350" s="10"/>
      <c r="AA350" s="10"/>
      <c r="AB350" s="10"/>
      <c r="AC350" s="10"/>
      <c r="AD350" s="10"/>
      <c r="AE350" s="10"/>
      <c r="AF350" s="10"/>
      <c r="AG350" s="10"/>
      <c r="AH350" s="10"/>
      <c r="AI350" s="10"/>
      <c r="AJ350" s="10"/>
    </row>
    <row r="351" spans="2:36" ht="14.25">
      <c r="B351" s="43"/>
      <c r="C351" s="16" t="s">
        <v>2</v>
      </c>
      <c r="D351" s="42">
        <f>D350+F350-H350</f>
        <v>81.814487810367353</v>
      </c>
      <c r="E351" s="42" t="s">
        <v>108</v>
      </c>
      <c r="F351" s="48"/>
      <c r="G351" s="43"/>
      <c r="H351" s="48"/>
      <c r="I351" s="43"/>
      <c r="J351" s="10">
        <f>D349</f>
        <v>74.019419558053784</v>
      </c>
      <c r="K351" s="75"/>
      <c r="L351" s="10"/>
      <c r="M351" s="10"/>
      <c r="N351" s="10">
        <f>D346</f>
        <v>81.814487810367353</v>
      </c>
      <c r="R351" s="10"/>
    </row>
    <row r="352" spans="2:36">
      <c r="B352" s="47"/>
      <c r="C352" s="9"/>
      <c r="E352" s="9"/>
      <c r="G352" s="9"/>
      <c r="I352" s="9"/>
      <c r="K352" s="719" t="s">
        <v>145</v>
      </c>
      <c r="L352" s="719"/>
      <c r="M352" s="719"/>
      <c r="O352" s="9"/>
      <c r="R352" s="10"/>
      <c r="T352" s="10"/>
      <c r="U352" s="10"/>
      <c r="V352" s="10"/>
      <c r="W352" s="10"/>
      <c r="X352" s="10"/>
      <c r="Y352" s="10"/>
      <c r="Z352" s="10"/>
      <c r="AA352" s="10"/>
      <c r="AB352" s="10"/>
      <c r="AC352" s="10"/>
      <c r="AD352" s="10"/>
      <c r="AE352" s="10"/>
      <c r="AF352" s="10"/>
      <c r="AG352" s="10"/>
      <c r="AH352" s="10"/>
      <c r="AI352" s="10"/>
      <c r="AJ352" s="10"/>
    </row>
    <row r="353" spans="1:36" ht="15.75">
      <c r="B353" s="47" t="s">
        <v>144</v>
      </c>
      <c r="C353" s="9" t="s">
        <v>2</v>
      </c>
      <c r="D353" s="41">
        <f>D350</f>
        <v>77.916953684210569</v>
      </c>
      <c r="E353" s="55" t="s">
        <v>16</v>
      </c>
      <c r="F353" s="41">
        <f>F350</f>
        <v>3.8975341261567866</v>
      </c>
      <c r="G353" s="41" t="s">
        <v>7</v>
      </c>
      <c r="H353" s="41">
        <f>H350</f>
        <v>0</v>
      </c>
      <c r="I353" s="9"/>
      <c r="J353" s="5"/>
      <c r="K353" s="9"/>
      <c r="N353" s="10"/>
      <c r="O353" s="10"/>
      <c r="P353" s="160"/>
      <c r="Q353" s="40"/>
      <c r="R353" s="10"/>
      <c r="T353" s="10"/>
      <c r="U353" s="10"/>
      <c r="V353" s="10"/>
      <c r="W353" s="10"/>
      <c r="X353" s="10"/>
      <c r="Y353" s="10"/>
      <c r="Z353" s="10"/>
      <c r="AA353" s="10"/>
      <c r="AB353" s="10"/>
      <c r="AC353" s="10"/>
      <c r="AD353" s="10"/>
      <c r="AE353" s="10"/>
      <c r="AF353" s="10"/>
      <c r="AG353" s="10"/>
      <c r="AH353" s="10"/>
      <c r="AI353" s="10"/>
      <c r="AJ353" s="10"/>
    </row>
    <row r="354" spans="1:36" ht="14.25">
      <c r="B354" s="43"/>
      <c r="C354" s="16" t="s">
        <v>2</v>
      </c>
      <c r="D354" s="42">
        <f>D353-F353+H353</f>
        <v>74.019419558053784</v>
      </c>
      <c r="E354" s="42" t="s">
        <v>108</v>
      </c>
      <c r="F354" s="48"/>
      <c r="G354" s="43"/>
      <c r="H354" s="48"/>
      <c r="I354" s="43"/>
      <c r="J354" s="38"/>
      <c r="R354" s="10"/>
    </row>
    <row r="355" spans="1:36">
      <c r="D355" s="21"/>
      <c r="E355" s="21"/>
      <c r="F355" s="21"/>
    </row>
    <row r="356" spans="1:36">
      <c r="B356" s="169" t="str">
        <f>CONCATENATE("CASE- 6  FOR SERVICE CONDITION AT R. L.",E20+1," M")</f>
        <v>CASE- 6  FOR SERVICE CONDITION AT R. L.92.97 M</v>
      </c>
      <c r="C356" s="9"/>
      <c r="E356" s="9"/>
      <c r="G356" s="9"/>
      <c r="I356" s="9"/>
      <c r="K356" s="9"/>
      <c r="L356" s="5"/>
      <c r="M356" s="9"/>
      <c r="O356" s="9"/>
      <c r="T356" s="10"/>
      <c r="U356" s="10"/>
      <c r="V356" s="10"/>
      <c r="W356" s="10"/>
      <c r="X356" s="10"/>
      <c r="Y356" s="10"/>
      <c r="Z356" s="10"/>
      <c r="AA356" s="10"/>
      <c r="AB356" s="10"/>
      <c r="AC356" s="10"/>
      <c r="AD356" s="10"/>
      <c r="AE356" s="10"/>
      <c r="AF356" s="10"/>
      <c r="AG356" s="10"/>
      <c r="AH356" s="10"/>
      <c r="AI356" s="10"/>
      <c r="AJ356" s="10"/>
    </row>
    <row r="357" spans="1:36">
      <c r="B357" s="43" t="s">
        <v>91</v>
      </c>
    </row>
    <row r="358" spans="1:36" s="38" customFormat="1">
      <c r="A358" s="11"/>
      <c r="B358" s="50" t="s">
        <v>54</v>
      </c>
      <c r="D358" s="42"/>
      <c r="E358" s="42"/>
      <c r="F358" s="42"/>
      <c r="P358" s="160"/>
      <c r="Q358" s="40"/>
    </row>
    <row r="359" spans="1:36">
      <c r="B359" s="44" t="s">
        <v>55</v>
      </c>
      <c r="C359" s="16" t="s">
        <v>2</v>
      </c>
      <c r="D359" s="42">
        <f>$D$259</f>
        <v>1463.6159999999998</v>
      </c>
      <c r="E359" s="42" t="s">
        <v>10</v>
      </c>
      <c r="F359" s="42"/>
      <c r="G359" s="38"/>
    </row>
    <row r="360" spans="1:36">
      <c r="B360" s="44" t="s">
        <v>56</v>
      </c>
      <c r="C360" s="16" t="s">
        <v>2</v>
      </c>
      <c r="D360" s="42">
        <f>P56-P53</f>
        <v>1726.8050880000017</v>
      </c>
      <c r="E360" s="42" t="s">
        <v>10</v>
      </c>
      <c r="F360" s="42" t="s">
        <v>93</v>
      </c>
      <c r="G360" s="38"/>
    </row>
    <row r="361" spans="1:36">
      <c r="B361" s="44" t="s">
        <v>56</v>
      </c>
      <c r="C361" s="16" t="s">
        <v>2</v>
      </c>
      <c r="D361" s="42">
        <f>P59-P54</f>
        <v>1633.4354700000017</v>
      </c>
      <c r="E361" s="42" t="s">
        <v>10</v>
      </c>
      <c r="F361" s="42" t="s">
        <v>94</v>
      </c>
      <c r="G361" s="38"/>
    </row>
    <row r="362" spans="1:36" s="38" customFormat="1">
      <c r="A362" s="11"/>
      <c r="B362" s="50" t="s">
        <v>92</v>
      </c>
      <c r="C362" s="16" t="s">
        <v>2</v>
      </c>
      <c r="D362" s="42">
        <f>$D$262</f>
        <v>788.26634730538922</v>
      </c>
      <c r="E362" s="42" t="s">
        <v>10</v>
      </c>
      <c r="F362" s="42"/>
      <c r="P362" s="160"/>
      <c r="Q362" s="40"/>
    </row>
    <row r="363" spans="1:36" s="38" customFormat="1">
      <c r="A363" s="11"/>
      <c r="B363" s="50" t="s">
        <v>103</v>
      </c>
      <c r="C363" s="16" t="s">
        <v>2</v>
      </c>
      <c r="D363" s="42">
        <f>D359+D360+D362</f>
        <v>3978.6874353053909</v>
      </c>
      <c r="E363" s="42" t="s">
        <v>10</v>
      </c>
      <c r="F363" s="42"/>
      <c r="P363" s="160"/>
      <c r="Q363" s="40"/>
    </row>
    <row r="364" spans="1:36" s="38" customFormat="1">
      <c r="A364" s="11"/>
      <c r="B364" s="50" t="s">
        <v>104</v>
      </c>
      <c r="C364" s="16" t="s">
        <v>2</v>
      </c>
      <c r="D364" s="42">
        <f>D359+D361+D362</f>
        <v>3885.3178173053902</v>
      </c>
      <c r="E364" s="42" t="s">
        <v>10</v>
      </c>
      <c r="F364" s="42"/>
      <c r="P364" s="160"/>
      <c r="Q364" s="40"/>
    </row>
    <row r="365" spans="1:36" s="38" customFormat="1">
      <c r="A365" s="11"/>
      <c r="B365" s="50" t="s">
        <v>136</v>
      </c>
      <c r="C365" s="16" t="s">
        <v>2</v>
      </c>
      <c r="D365" s="42">
        <f>$J$113</f>
        <v>79.997204761620168</v>
      </c>
      <c r="E365" s="63" t="s">
        <v>7</v>
      </c>
      <c r="F365" s="38">
        <f>$H$66</f>
        <v>244.25331736526948</v>
      </c>
      <c r="G365" s="63" t="s">
        <v>2</v>
      </c>
      <c r="H365" s="38">
        <f>D365+F365</f>
        <v>324.25052212688968</v>
      </c>
      <c r="I365" s="38" t="s">
        <v>5</v>
      </c>
      <c r="P365" s="160"/>
      <c r="Q365" s="40"/>
      <c r="R365" s="40"/>
    </row>
    <row r="366" spans="1:36" s="38" customFormat="1">
      <c r="A366" s="11"/>
      <c r="B366" s="50" t="s">
        <v>137</v>
      </c>
      <c r="C366" s="16" t="s">
        <v>2</v>
      </c>
      <c r="D366" s="42">
        <f>$J$154</f>
        <v>79.997204761620168</v>
      </c>
      <c r="E366" s="63" t="s">
        <v>7</v>
      </c>
      <c r="F366" s="38">
        <f>$H$71</f>
        <v>2247.8811952095812</v>
      </c>
      <c r="G366" s="63" t="s">
        <v>2</v>
      </c>
      <c r="H366" s="38">
        <f>D366+F366</f>
        <v>2327.8783999712014</v>
      </c>
      <c r="I366" s="38" t="s">
        <v>5</v>
      </c>
      <c r="P366" s="160"/>
      <c r="Q366" s="40"/>
      <c r="R366" s="40"/>
    </row>
    <row r="367" spans="1:36" ht="14.25">
      <c r="B367" s="47" t="s">
        <v>96</v>
      </c>
      <c r="C367" s="16" t="s">
        <v>2</v>
      </c>
      <c r="D367" s="41">
        <v>12</v>
      </c>
      <c r="E367" s="55" t="s">
        <v>3</v>
      </c>
      <c r="F367" s="41">
        <v>1.2</v>
      </c>
      <c r="G367" s="55"/>
      <c r="I367" s="9" t="s">
        <v>2</v>
      </c>
      <c r="J367" s="2">
        <f>D367*F367</f>
        <v>14.399999999999999</v>
      </c>
      <c r="K367" s="54" t="s">
        <v>102</v>
      </c>
      <c r="L367" s="5"/>
      <c r="M367" s="9"/>
      <c r="O367" s="9"/>
      <c r="T367" s="10"/>
      <c r="U367" s="10"/>
      <c r="V367" s="10"/>
      <c r="W367" s="10"/>
      <c r="X367" s="10"/>
      <c r="Y367" s="10"/>
      <c r="Z367" s="10"/>
      <c r="AA367" s="10"/>
      <c r="AB367" s="10"/>
      <c r="AC367" s="10"/>
      <c r="AD367" s="10"/>
      <c r="AE367" s="10"/>
      <c r="AF367" s="10"/>
      <c r="AG367" s="10"/>
      <c r="AH367" s="10"/>
      <c r="AI367" s="10"/>
      <c r="AJ367" s="10"/>
    </row>
    <row r="368" spans="1:36" hidden="1">
      <c r="B368" s="47"/>
      <c r="C368" s="16" t="s">
        <v>2</v>
      </c>
      <c r="D368" s="41"/>
      <c r="E368" s="55"/>
      <c r="F368" s="41"/>
      <c r="G368" s="55"/>
      <c r="I368" s="9"/>
      <c r="K368" s="9"/>
      <c r="L368" s="5"/>
      <c r="M368" s="9"/>
      <c r="O368" s="9"/>
      <c r="T368" s="10"/>
      <c r="U368" s="10"/>
      <c r="V368" s="10"/>
      <c r="W368" s="10"/>
      <c r="X368" s="10"/>
      <c r="Y368" s="10"/>
      <c r="Z368" s="10"/>
      <c r="AA368" s="10"/>
      <c r="AB368" s="10"/>
      <c r="AC368" s="10"/>
      <c r="AD368" s="10"/>
      <c r="AE368" s="10"/>
      <c r="AF368" s="10"/>
      <c r="AG368" s="10"/>
      <c r="AH368" s="10"/>
      <c r="AI368" s="10"/>
      <c r="AJ368" s="10"/>
    </row>
    <row r="369" spans="2:36" ht="15.75">
      <c r="B369" s="47" t="s">
        <v>97</v>
      </c>
      <c r="C369" s="16" t="s">
        <v>2</v>
      </c>
      <c r="D369" s="55" t="s">
        <v>99</v>
      </c>
      <c r="E369" s="55">
        <f>D367</f>
        <v>12</v>
      </c>
      <c r="F369" s="55" t="s">
        <v>3</v>
      </c>
      <c r="G369" s="55">
        <f>F367</f>
        <v>1.2</v>
      </c>
      <c r="H369" s="62" t="s">
        <v>100</v>
      </c>
      <c r="I369" s="9" t="s">
        <v>2</v>
      </c>
      <c r="J369" s="2">
        <f>E369*G369^2/6</f>
        <v>2.8800000000000003</v>
      </c>
      <c r="K369" s="54" t="s">
        <v>101</v>
      </c>
      <c r="L369" s="5"/>
      <c r="M369" s="9"/>
      <c r="O369" s="9"/>
      <c r="T369" s="10"/>
      <c r="U369" s="10"/>
      <c r="V369" s="10"/>
      <c r="W369" s="10"/>
      <c r="X369" s="10"/>
      <c r="Y369" s="10"/>
      <c r="Z369" s="10"/>
      <c r="AA369" s="10"/>
      <c r="AB369" s="10"/>
      <c r="AC369" s="10"/>
      <c r="AD369" s="10"/>
      <c r="AE369" s="10"/>
      <c r="AF369" s="10"/>
      <c r="AG369" s="10"/>
      <c r="AH369" s="10"/>
      <c r="AI369" s="10"/>
      <c r="AJ369" s="10"/>
    </row>
    <row r="370" spans="2:36" ht="15.75">
      <c r="B370" s="47" t="s">
        <v>98</v>
      </c>
      <c r="C370" s="16" t="s">
        <v>2</v>
      </c>
      <c r="D370" s="55" t="s">
        <v>99</v>
      </c>
      <c r="E370" s="55">
        <f>E369</f>
        <v>12</v>
      </c>
      <c r="F370" s="62" t="s">
        <v>100</v>
      </c>
      <c r="G370" s="55" t="s">
        <v>3</v>
      </c>
      <c r="H370" s="41">
        <f>G369</f>
        <v>1.2</v>
      </c>
      <c r="I370" s="9" t="s">
        <v>2</v>
      </c>
      <c r="J370" s="2">
        <f>E370^2*H370/6</f>
        <v>28.799999999999997</v>
      </c>
      <c r="K370" s="54" t="s">
        <v>101</v>
      </c>
      <c r="L370" s="5"/>
      <c r="M370" s="9"/>
      <c r="O370" s="9"/>
      <c r="T370" s="10"/>
      <c r="U370" s="10"/>
      <c r="V370" s="10"/>
      <c r="W370" s="10"/>
      <c r="X370" s="10"/>
      <c r="Y370" s="10"/>
      <c r="Z370" s="10"/>
      <c r="AA370" s="10"/>
      <c r="AB370" s="10"/>
      <c r="AC370" s="10"/>
      <c r="AD370" s="10"/>
      <c r="AE370" s="10"/>
      <c r="AF370" s="10"/>
      <c r="AG370" s="10"/>
      <c r="AH370" s="10"/>
      <c r="AI370" s="10"/>
      <c r="AJ370" s="10"/>
    </row>
    <row r="371" spans="2:36">
      <c r="B371" s="47" t="s">
        <v>112</v>
      </c>
      <c r="C371" s="9" t="s">
        <v>17</v>
      </c>
      <c r="D371" s="2">
        <f>D364</f>
        <v>3885.3178173053902</v>
      </c>
      <c r="E371" s="9" t="s">
        <v>8</v>
      </c>
      <c r="F371" s="2">
        <f>$J$367</f>
        <v>14.399999999999999</v>
      </c>
      <c r="G371" s="55" t="s">
        <v>106</v>
      </c>
      <c r="H371" s="41">
        <f>$H$365</f>
        <v>324.25052212688968</v>
      </c>
      <c r="I371" s="9" t="s">
        <v>8</v>
      </c>
      <c r="J371" s="2">
        <f>$J$369</f>
        <v>2.8800000000000003</v>
      </c>
      <c r="K371" s="55" t="s">
        <v>106</v>
      </c>
      <c r="L371" s="41">
        <f>$H$366</f>
        <v>2327.8783999712014</v>
      </c>
      <c r="M371" s="9" t="s">
        <v>8</v>
      </c>
      <c r="N371" s="2">
        <f>$J$370</f>
        <v>28.799999999999997</v>
      </c>
      <c r="O371" s="55" t="s">
        <v>15</v>
      </c>
      <c r="T371" s="10"/>
      <c r="U371" s="10"/>
      <c r="V371" s="10"/>
      <c r="W371" s="10"/>
      <c r="X371" s="10"/>
      <c r="Y371" s="10"/>
      <c r="Z371" s="10"/>
      <c r="AA371" s="10"/>
      <c r="AB371" s="10"/>
      <c r="AC371" s="10"/>
      <c r="AD371" s="10"/>
      <c r="AE371" s="10"/>
      <c r="AF371" s="10"/>
      <c r="AG371" s="10"/>
      <c r="AH371" s="10"/>
      <c r="AI371" s="10"/>
      <c r="AJ371" s="10"/>
    </row>
    <row r="372" spans="2:36">
      <c r="B372" s="47"/>
      <c r="C372" s="9" t="s">
        <v>2</v>
      </c>
      <c r="D372" s="41">
        <f>D371/F371</f>
        <v>269.81373731287437</v>
      </c>
      <c r="E372" s="55" t="s">
        <v>105</v>
      </c>
      <c r="F372" s="41">
        <f>H371/J371</f>
        <v>112.58698684961446</v>
      </c>
      <c r="G372" s="55" t="s">
        <v>105</v>
      </c>
      <c r="H372" s="41">
        <f>L371/N371</f>
        <v>80.829111110111171</v>
      </c>
      <c r="I372" s="9"/>
      <c r="K372" s="9"/>
      <c r="L372" s="5"/>
      <c r="M372" s="9"/>
      <c r="O372" s="9"/>
      <c r="T372" s="10"/>
      <c r="U372" s="10"/>
      <c r="V372" s="10"/>
      <c r="W372" s="10"/>
      <c r="X372" s="10"/>
      <c r="Y372" s="10"/>
      <c r="Z372" s="10"/>
      <c r="AA372" s="10"/>
      <c r="AB372" s="10"/>
      <c r="AC372" s="10"/>
      <c r="AD372" s="10"/>
      <c r="AE372" s="10"/>
      <c r="AF372" s="10"/>
      <c r="AG372" s="10"/>
      <c r="AH372" s="10"/>
      <c r="AI372" s="10"/>
      <c r="AJ372" s="10"/>
    </row>
    <row r="373" spans="2:36" ht="15.75">
      <c r="B373" s="47" t="s">
        <v>109</v>
      </c>
      <c r="C373" s="9" t="s">
        <v>2</v>
      </c>
      <c r="D373" s="41">
        <f>D372</f>
        <v>269.81373731287437</v>
      </c>
      <c r="E373" s="55" t="s">
        <v>7</v>
      </c>
      <c r="F373" s="41">
        <f>F372</f>
        <v>112.58698684961446</v>
      </c>
      <c r="G373" s="55" t="s">
        <v>7</v>
      </c>
      <c r="H373" s="41">
        <f>H372</f>
        <v>80.829111110111171</v>
      </c>
      <c r="I373" s="9"/>
      <c r="J373" s="5"/>
      <c r="K373" s="9"/>
      <c r="N373" s="10"/>
      <c r="O373" s="10"/>
      <c r="P373" s="160"/>
      <c r="Q373" s="40"/>
      <c r="T373" s="10"/>
      <c r="U373" s="10"/>
      <c r="V373" s="10"/>
      <c r="W373" s="10"/>
      <c r="X373" s="10"/>
      <c r="Y373" s="10"/>
      <c r="Z373" s="10"/>
      <c r="AA373" s="10"/>
      <c r="AB373" s="10"/>
      <c r="AC373" s="10"/>
      <c r="AD373" s="10"/>
      <c r="AE373" s="10"/>
      <c r="AF373" s="10"/>
      <c r="AG373" s="10"/>
      <c r="AH373" s="10"/>
      <c r="AI373" s="10"/>
      <c r="AJ373" s="10"/>
    </row>
    <row r="374" spans="2:36" ht="14.25">
      <c r="B374" s="43"/>
      <c r="C374" s="16" t="s">
        <v>2</v>
      </c>
      <c r="D374" s="42">
        <f>D373+F373+H373</f>
        <v>463.22983527259998</v>
      </c>
      <c r="E374" s="42" t="s">
        <v>108</v>
      </c>
      <c r="F374" s="48"/>
      <c r="G374" s="43"/>
      <c r="H374" s="48"/>
      <c r="I374" s="43"/>
      <c r="J374" s="38"/>
    </row>
    <row r="375" spans="2:36" ht="14.25">
      <c r="B375" s="47"/>
      <c r="C375" s="9"/>
      <c r="D375" s="229" t="s">
        <v>466</v>
      </c>
      <c r="G375" s="9"/>
      <c r="I375" s="9"/>
      <c r="O375" s="9"/>
      <c r="T375" s="10"/>
      <c r="U375" s="10"/>
      <c r="V375" s="10"/>
      <c r="W375" s="10"/>
      <c r="X375" s="10"/>
      <c r="Y375" s="10"/>
      <c r="Z375" s="10"/>
      <c r="AA375" s="10"/>
      <c r="AB375" s="10"/>
      <c r="AC375" s="10"/>
      <c r="AD375" s="10"/>
      <c r="AE375" s="10"/>
      <c r="AF375" s="10"/>
      <c r="AG375" s="10"/>
      <c r="AH375" s="10"/>
      <c r="AI375" s="10"/>
      <c r="AJ375" s="10"/>
    </row>
    <row r="376" spans="2:36" ht="15.75">
      <c r="B376" s="47" t="s">
        <v>110</v>
      </c>
      <c r="C376" s="9" t="s">
        <v>2</v>
      </c>
      <c r="D376" s="41">
        <f>D373</f>
        <v>269.81373731287437</v>
      </c>
      <c r="E376" s="55" t="s">
        <v>16</v>
      </c>
      <c r="F376" s="41">
        <f>F373</f>
        <v>112.58698684961446</v>
      </c>
      <c r="G376" s="55" t="s">
        <v>16</v>
      </c>
      <c r="H376" s="41">
        <f>H373</f>
        <v>80.829111110111171</v>
      </c>
      <c r="I376" s="9"/>
      <c r="J376" s="5"/>
      <c r="K376" s="9"/>
      <c r="N376" s="10"/>
      <c r="O376" s="10"/>
      <c r="P376" s="160"/>
      <c r="Q376" s="40"/>
      <c r="T376" s="10"/>
      <c r="U376" s="10"/>
      <c r="V376" s="10"/>
      <c r="W376" s="10"/>
      <c r="X376" s="10"/>
      <c r="Y376" s="10"/>
      <c r="Z376" s="10"/>
      <c r="AA376" s="10"/>
      <c r="AB376" s="10"/>
      <c r="AC376" s="10"/>
      <c r="AD376" s="10"/>
      <c r="AE376" s="10"/>
      <c r="AF376" s="10"/>
      <c r="AG376" s="10"/>
      <c r="AH376" s="10"/>
      <c r="AI376" s="10"/>
      <c r="AJ376" s="10"/>
    </row>
    <row r="377" spans="2:36" ht="14.25">
      <c r="B377" s="43"/>
      <c r="C377" s="16" t="s">
        <v>2</v>
      </c>
      <c r="D377" s="42">
        <f>D376-F376-H376</f>
        <v>76.397639353148747</v>
      </c>
      <c r="E377" s="42" t="s">
        <v>108</v>
      </c>
      <c r="F377" s="48"/>
      <c r="G377" s="43"/>
      <c r="H377" s="48"/>
      <c r="I377" s="43"/>
      <c r="J377" s="38"/>
    </row>
    <row r="378" spans="2:36" ht="14.25">
      <c r="B378" s="47"/>
      <c r="C378" s="9"/>
      <c r="D378" s="152" t="s">
        <v>254</v>
      </c>
      <c r="J378" s="38"/>
      <c r="U378" s="10"/>
      <c r="V378" s="10"/>
      <c r="W378" s="10"/>
      <c r="X378" s="10"/>
      <c r="Y378" s="10"/>
      <c r="Z378" s="10"/>
      <c r="AA378" s="10"/>
      <c r="AB378" s="10"/>
      <c r="AC378" s="10"/>
      <c r="AD378" s="10"/>
      <c r="AE378" s="10"/>
      <c r="AF378" s="10"/>
      <c r="AG378" s="10"/>
      <c r="AH378" s="10"/>
      <c r="AI378" s="10"/>
      <c r="AJ378" s="10"/>
    </row>
    <row r="379" spans="2:36">
      <c r="B379" s="49"/>
      <c r="C379" s="9"/>
      <c r="J379" s="38"/>
      <c r="U379" s="10"/>
      <c r="V379" s="10"/>
      <c r="W379" s="10"/>
      <c r="X379" s="10"/>
      <c r="Y379" s="10"/>
      <c r="Z379" s="10"/>
      <c r="AA379" s="10"/>
      <c r="AB379" s="10"/>
      <c r="AC379" s="10"/>
      <c r="AD379" s="10"/>
      <c r="AE379" s="10"/>
      <c r="AF379" s="10"/>
      <c r="AG379" s="10"/>
      <c r="AH379" s="10"/>
      <c r="AI379" s="10"/>
      <c r="AJ379" s="10"/>
    </row>
    <row r="380" spans="2:36">
      <c r="B380" s="47" t="s">
        <v>113</v>
      </c>
      <c r="C380" s="9" t="s">
        <v>17</v>
      </c>
      <c r="D380" s="2">
        <f>D363</f>
        <v>3978.6874353053909</v>
      </c>
      <c r="E380" s="9" t="s">
        <v>8</v>
      </c>
      <c r="F380" s="2">
        <f>$J$367</f>
        <v>14.399999999999999</v>
      </c>
      <c r="G380" s="55" t="s">
        <v>106</v>
      </c>
      <c r="H380" s="41">
        <f>$H$365</f>
        <v>324.25052212688968</v>
      </c>
      <c r="I380" s="9" t="s">
        <v>8</v>
      </c>
      <c r="J380" s="2">
        <f>$J$369</f>
        <v>2.8800000000000003</v>
      </c>
      <c r="K380" s="55" t="s">
        <v>106</v>
      </c>
      <c r="L380" s="41">
        <f>$H$366</f>
        <v>2327.8783999712014</v>
      </c>
      <c r="M380" s="9" t="s">
        <v>8</v>
      </c>
      <c r="N380" s="2">
        <f>$J$370</f>
        <v>28.799999999999997</v>
      </c>
      <c r="O380" s="55" t="s">
        <v>15</v>
      </c>
      <c r="T380" s="10"/>
      <c r="U380" s="10"/>
      <c r="V380" s="10"/>
      <c r="W380" s="10"/>
      <c r="X380" s="10"/>
      <c r="Y380" s="10"/>
      <c r="Z380" s="10"/>
      <c r="AA380" s="10"/>
      <c r="AB380" s="10"/>
      <c r="AC380" s="10"/>
      <c r="AD380" s="10"/>
      <c r="AE380" s="10"/>
      <c r="AF380" s="10"/>
      <c r="AG380" s="10"/>
      <c r="AH380" s="10"/>
      <c r="AI380" s="10"/>
      <c r="AJ380" s="10"/>
    </row>
    <row r="381" spans="2:36">
      <c r="B381" s="47"/>
      <c r="C381" s="9" t="s">
        <v>2</v>
      </c>
      <c r="D381" s="41">
        <f>D380/F380</f>
        <v>276.29773856287437</v>
      </c>
      <c r="E381" s="55" t="s">
        <v>105</v>
      </c>
      <c r="F381" s="41">
        <f>H380/J380</f>
        <v>112.58698684961446</v>
      </c>
      <c r="G381" s="55" t="s">
        <v>105</v>
      </c>
      <c r="H381" s="41">
        <f>L380/N380</f>
        <v>80.829111110111171</v>
      </c>
      <c r="I381" s="9"/>
      <c r="K381" s="9"/>
      <c r="L381" s="5"/>
      <c r="M381" s="9"/>
      <c r="O381" s="9"/>
      <c r="T381" s="10"/>
      <c r="U381" s="10"/>
      <c r="V381" s="10"/>
      <c r="W381" s="10"/>
      <c r="X381" s="10"/>
      <c r="Y381" s="10"/>
      <c r="Z381" s="10"/>
      <c r="AA381" s="10"/>
      <c r="AB381" s="10"/>
      <c r="AC381" s="10"/>
      <c r="AD381" s="10"/>
      <c r="AE381" s="10"/>
      <c r="AF381" s="10"/>
      <c r="AG381" s="10"/>
      <c r="AH381" s="10"/>
      <c r="AI381" s="10"/>
      <c r="AJ381" s="10"/>
    </row>
    <row r="382" spans="2:36" ht="15.75">
      <c r="B382" s="47" t="s">
        <v>109</v>
      </c>
      <c r="C382" s="9" t="s">
        <v>2</v>
      </c>
      <c r="D382" s="41">
        <f>D381</f>
        <v>276.29773856287437</v>
      </c>
      <c r="E382" s="55" t="s">
        <v>7</v>
      </c>
      <c r="F382" s="41">
        <f>F381</f>
        <v>112.58698684961446</v>
      </c>
      <c r="G382" s="55" t="s">
        <v>7</v>
      </c>
      <c r="H382" s="41">
        <f>H381</f>
        <v>80.829111110111171</v>
      </c>
      <c r="I382" s="9"/>
      <c r="J382" s="5"/>
      <c r="K382" s="9"/>
      <c r="N382" s="10"/>
      <c r="O382" s="10"/>
      <c r="P382" s="160"/>
      <c r="Q382" s="40"/>
      <c r="T382" s="10"/>
      <c r="U382" s="10"/>
      <c r="V382" s="10"/>
      <c r="W382" s="10"/>
      <c r="X382" s="10"/>
      <c r="Y382" s="10"/>
      <c r="Z382" s="10"/>
      <c r="AA382" s="10"/>
      <c r="AB382" s="10"/>
      <c r="AC382" s="10"/>
      <c r="AD382" s="10"/>
      <c r="AE382" s="10"/>
      <c r="AF382" s="10"/>
      <c r="AG382" s="10"/>
      <c r="AH382" s="10"/>
      <c r="AI382" s="10"/>
      <c r="AJ382" s="10"/>
    </row>
    <row r="383" spans="2:36" ht="14.25">
      <c r="B383" s="43"/>
      <c r="C383" s="16" t="s">
        <v>2</v>
      </c>
      <c r="D383" s="42">
        <f>D382+F382+H382</f>
        <v>469.71383652259999</v>
      </c>
      <c r="E383" s="42" t="s">
        <v>108</v>
      </c>
      <c r="F383" s="48"/>
      <c r="G383" s="43"/>
      <c r="H383" s="48"/>
      <c r="I383" s="43"/>
      <c r="J383" s="38"/>
    </row>
    <row r="384" spans="2:36" ht="14.25">
      <c r="B384" s="47"/>
      <c r="C384" s="9"/>
      <c r="D384" s="63" t="s">
        <v>142</v>
      </c>
      <c r="E384" s="9"/>
      <c r="G384" s="9"/>
      <c r="I384" s="9"/>
      <c r="O384" s="9"/>
      <c r="T384" s="10"/>
      <c r="U384" s="10"/>
      <c r="V384" s="10"/>
      <c r="W384" s="10"/>
      <c r="X384" s="10"/>
      <c r="Y384" s="10"/>
      <c r="Z384" s="10"/>
      <c r="AA384" s="10"/>
      <c r="AB384" s="10"/>
      <c r="AC384" s="10"/>
      <c r="AD384" s="10"/>
      <c r="AE384" s="10"/>
      <c r="AF384" s="10"/>
      <c r="AG384" s="10"/>
      <c r="AH384" s="10"/>
      <c r="AI384" s="10"/>
      <c r="AJ384" s="10"/>
    </row>
    <row r="385" spans="1:36" ht="15.75">
      <c r="B385" s="47" t="s">
        <v>110</v>
      </c>
      <c r="C385" s="9" t="s">
        <v>2</v>
      </c>
      <c r="D385" s="41">
        <f>D382</f>
        <v>276.29773856287437</v>
      </c>
      <c r="E385" s="55" t="s">
        <v>16</v>
      </c>
      <c r="F385" s="41">
        <f>F382</f>
        <v>112.58698684961446</v>
      </c>
      <c r="G385" s="55" t="s">
        <v>16</v>
      </c>
      <c r="H385" s="41">
        <f>H382</f>
        <v>80.829111110111171</v>
      </c>
      <c r="I385" s="9"/>
      <c r="J385" s="5"/>
      <c r="K385" s="9"/>
      <c r="N385" s="10"/>
      <c r="O385" s="10"/>
      <c r="P385" s="160"/>
      <c r="Q385" s="40"/>
      <c r="T385" s="10"/>
      <c r="U385" s="10"/>
      <c r="V385" s="10"/>
      <c r="W385" s="10"/>
      <c r="X385" s="10"/>
      <c r="Y385" s="10"/>
      <c r="Z385" s="10"/>
      <c r="AA385" s="10"/>
      <c r="AB385" s="10"/>
      <c r="AC385" s="10"/>
      <c r="AD385" s="10"/>
      <c r="AE385" s="10"/>
      <c r="AF385" s="10"/>
      <c r="AG385" s="10"/>
      <c r="AH385" s="10"/>
      <c r="AI385" s="10"/>
      <c r="AJ385" s="10"/>
    </row>
    <row r="386" spans="1:36" ht="14.25">
      <c r="B386" s="43"/>
      <c r="C386" s="16" t="s">
        <v>2</v>
      </c>
      <c r="D386" s="42">
        <f>D385-F385-H385</f>
        <v>82.881640603148753</v>
      </c>
      <c r="E386" s="42" t="s">
        <v>108</v>
      </c>
      <c r="F386" s="48"/>
      <c r="G386" s="43"/>
      <c r="H386" s="48"/>
      <c r="I386" s="43"/>
      <c r="J386" s="38"/>
    </row>
    <row r="387" spans="1:36" ht="14.25">
      <c r="B387" s="47"/>
      <c r="C387" s="9"/>
      <c r="D387" s="152" t="s">
        <v>254</v>
      </c>
      <c r="J387" s="38"/>
      <c r="U387" s="10"/>
      <c r="V387" s="10"/>
      <c r="W387" s="10"/>
      <c r="X387" s="10"/>
      <c r="Y387" s="10"/>
      <c r="Z387" s="10"/>
      <c r="AA387" s="10"/>
      <c r="AB387" s="10"/>
      <c r="AC387" s="10"/>
      <c r="AD387" s="10"/>
      <c r="AE387" s="10"/>
      <c r="AF387" s="10"/>
      <c r="AG387" s="10"/>
      <c r="AH387" s="10"/>
      <c r="AI387" s="10"/>
      <c r="AJ387" s="10"/>
    </row>
    <row r="388" spans="1:36">
      <c r="B388" s="169" t="str">
        <f>CONCATENATE("CASE- 7 FOR IDLE CONDITION AT R. L.",E20+1," M")</f>
        <v>CASE- 7 FOR IDLE CONDITION AT R. L.92.97 M</v>
      </c>
      <c r="C388" s="9"/>
      <c r="E388" s="9"/>
      <c r="G388" s="9"/>
      <c r="I388" s="9"/>
      <c r="K388" s="9"/>
      <c r="L388" s="5"/>
      <c r="M388" s="9"/>
      <c r="O388" s="9"/>
      <c r="P388" s="160"/>
      <c r="Q388" s="40"/>
      <c r="T388" s="10"/>
      <c r="U388" s="10"/>
      <c r="V388" s="10"/>
      <c r="W388" s="10"/>
      <c r="X388" s="10"/>
      <c r="Y388" s="10"/>
      <c r="Z388" s="10"/>
      <c r="AA388" s="10"/>
      <c r="AB388" s="10"/>
      <c r="AC388" s="10"/>
      <c r="AD388" s="10"/>
      <c r="AE388" s="10"/>
      <c r="AF388" s="10"/>
      <c r="AG388" s="10"/>
      <c r="AH388" s="10"/>
      <c r="AI388" s="10"/>
      <c r="AJ388" s="10"/>
    </row>
    <row r="389" spans="1:36" hidden="1">
      <c r="B389" s="47"/>
      <c r="C389" s="9"/>
      <c r="E389" s="9"/>
      <c r="G389" s="9"/>
      <c r="I389" s="9"/>
      <c r="K389" s="9"/>
      <c r="L389" s="5"/>
      <c r="M389" s="9"/>
      <c r="O389" s="9"/>
      <c r="P389" s="160"/>
      <c r="Q389" s="40"/>
      <c r="T389" s="10"/>
      <c r="U389" s="10"/>
      <c r="V389" s="10"/>
      <c r="W389" s="10"/>
      <c r="X389" s="10"/>
      <c r="Y389" s="10"/>
      <c r="Z389" s="10"/>
      <c r="AA389" s="10"/>
      <c r="AB389" s="10"/>
      <c r="AC389" s="10"/>
      <c r="AD389" s="10"/>
      <c r="AE389" s="10"/>
      <c r="AF389" s="10"/>
      <c r="AG389" s="10"/>
      <c r="AH389" s="10"/>
      <c r="AI389" s="10"/>
      <c r="AJ389" s="10"/>
    </row>
    <row r="390" spans="1:36">
      <c r="B390" s="44" t="s">
        <v>55</v>
      </c>
      <c r="C390" s="16" t="s">
        <v>2</v>
      </c>
      <c r="D390" s="42">
        <f>$D$259</f>
        <v>1463.6159999999998</v>
      </c>
      <c r="E390" s="42" t="s">
        <v>10</v>
      </c>
      <c r="F390" s="42"/>
      <c r="G390" s="38"/>
    </row>
    <row r="391" spans="1:36">
      <c r="B391" s="44" t="s">
        <v>56</v>
      </c>
      <c r="C391" s="16" t="s">
        <v>2</v>
      </c>
      <c r="D391" s="42">
        <f>$D$360</f>
        <v>1726.8050880000017</v>
      </c>
      <c r="E391" s="42" t="s">
        <v>10</v>
      </c>
      <c r="F391" s="42" t="s">
        <v>93</v>
      </c>
      <c r="G391" s="38"/>
    </row>
    <row r="392" spans="1:36">
      <c r="B392" s="44" t="s">
        <v>56</v>
      </c>
      <c r="C392" s="16" t="s">
        <v>2</v>
      </c>
      <c r="D392" s="42">
        <f>$D$361</f>
        <v>1633.4354700000017</v>
      </c>
      <c r="E392" s="42" t="s">
        <v>10</v>
      </c>
      <c r="F392" s="42" t="s">
        <v>94</v>
      </c>
      <c r="G392" s="38"/>
    </row>
    <row r="393" spans="1:36" s="38" customFormat="1">
      <c r="A393" s="11"/>
      <c r="B393" s="50" t="s">
        <v>92</v>
      </c>
      <c r="C393" s="16" t="s">
        <v>2</v>
      </c>
      <c r="D393" s="42">
        <v>0</v>
      </c>
      <c r="E393" s="42" t="s">
        <v>10</v>
      </c>
      <c r="F393" s="42"/>
      <c r="P393" s="160"/>
      <c r="Q393" s="40"/>
    </row>
    <row r="394" spans="1:36" s="38" customFormat="1">
      <c r="A394" s="11"/>
      <c r="B394" s="50" t="s">
        <v>103</v>
      </c>
      <c r="C394" s="16" t="s">
        <v>2</v>
      </c>
      <c r="D394" s="42">
        <f>D390+D391+D393</f>
        <v>3190.4210880000014</v>
      </c>
      <c r="E394" s="42" t="s">
        <v>10</v>
      </c>
      <c r="F394" s="42"/>
      <c r="P394" s="160"/>
      <c r="Q394" s="40"/>
    </row>
    <row r="395" spans="1:36" s="38" customFormat="1">
      <c r="A395" s="11"/>
      <c r="B395" s="50" t="s">
        <v>104</v>
      </c>
      <c r="C395" s="16" t="s">
        <v>2</v>
      </c>
      <c r="D395" s="42">
        <f>D390+D392+D393</f>
        <v>3097.0514700000012</v>
      </c>
      <c r="E395" s="42" t="s">
        <v>10</v>
      </c>
      <c r="F395" s="42"/>
      <c r="P395" s="160"/>
      <c r="Q395" s="40"/>
    </row>
    <row r="396" spans="1:36">
      <c r="B396" s="47" t="s">
        <v>112</v>
      </c>
      <c r="C396" s="9" t="s">
        <v>17</v>
      </c>
      <c r="D396" s="2">
        <f>D395</f>
        <v>3097.0514700000012</v>
      </c>
      <c r="E396" s="9" t="s">
        <v>8</v>
      </c>
      <c r="F396" s="2">
        <f>$J$367</f>
        <v>14.399999999999999</v>
      </c>
      <c r="G396" s="55" t="s">
        <v>106</v>
      </c>
      <c r="H396" s="41">
        <f>$J$113</f>
        <v>79.997204761620168</v>
      </c>
      <c r="I396" s="9" t="s">
        <v>8</v>
      </c>
      <c r="J396" s="2">
        <f>$J$369</f>
        <v>2.8800000000000003</v>
      </c>
      <c r="K396" s="55" t="s">
        <v>106</v>
      </c>
      <c r="L396" s="2">
        <f>$J$154</f>
        <v>79.997204761620168</v>
      </c>
      <c r="M396" s="9" t="s">
        <v>8</v>
      </c>
      <c r="N396" s="2">
        <f>$J$370</f>
        <v>28.799999999999997</v>
      </c>
      <c r="O396" s="55" t="s">
        <v>15</v>
      </c>
      <c r="T396" s="10"/>
      <c r="U396" s="10"/>
      <c r="V396" s="10"/>
      <c r="W396" s="10"/>
      <c r="X396" s="10"/>
      <c r="Y396" s="10"/>
      <c r="Z396" s="10"/>
      <c r="AA396" s="10"/>
      <c r="AB396" s="10"/>
      <c r="AC396" s="10"/>
      <c r="AD396" s="10"/>
      <c r="AE396" s="10"/>
      <c r="AF396" s="10"/>
      <c r="AG396" s="10"/>
      <c r="AH396" s="10"/>
      <c r="AI396" s="10"/>
      <c r="AJ396" s="10"/>
    </row>
    <row r="397" spans="1:36">
      <c r="B397" s="47"/>
      <c r="C397" s="9" t="s">
        <v>2</v>
      </c>
      <c r="D397" s="41">
        <f>D396/F396</f>
        <v>215.0730187500001</v>
      </c>
      <c r="E397" s="55" t="s">
        <v>105</v>
      </c>
      <c r="F397" s="41">
        <f>H396/J396</f>
        <v>27.776807208895889</v>
      </c>
      <c r="G397" s="55" t="s">
        <v>105</v>
      </c>
      <c r="H397" s="41">
        <f>L396/N396</f>
        <v>2.7776807208895895</v>
      </c>
      <c r="I397" s="9"/>
      <c r="K397" s="9"/>
      <c r="L397" s="5"/>
      <c r="M397" s="9"/>
      <c r="O397" s="9"/>
      <c r="T397" s="10"/>
      <c r="U397" s="10"/>
      <c r="V397" s="10"/>
      <c r="W397" s="10"/>
      <c r="X397" s="10"/>
      <c r="Y397" s="10"/>
      <c r="Z397" s="10"/>
      <c r="AA397" s="10"/>
      <c r="AB397" s="10"/>
      <c r="AC397" s="10"/>
      <c r="AD397" s="10"/>
      <c r="AE397" s="10"/>
      <c r="AF397" s="10"/>
      <c r="AG397" s="10"/>
      <c r="AH397" s="10"/>
      <c r="AI397" s="10"/>
      <c r="AJ397" s="10"/>
    </row>
    <row r="398" spans="1:36" ht="15.75">
      <c r="B398" s="47" t="s">
        <v>109</v>
      </c>
      <c r="C398" s="9" t="s">
        <v>2</v>
      </c>
      <c r="D398" s="41">
        <f>D397</f>
        <v>215.0730187500001</v>
      </c>
      <c r="E398" s="55" t="s">
        <v>7</v>
      </c>
      <c r="F398" s="41">
        <f>F397</f>
        <v>27.776807208895889</v>
      </c>
      <c r="G398" s="55" t="s">
        <v>7</v>
      </c>
      <c r="H398" s="41">
        <f>H397</f>
        <v>2.7776807208895895</v>
      </c>
      <c r="I398" s="9"/>
      <c r="J398" s="5"/>
      <c r="K398" s="9"/>
      <c r="N398" s="10"/>
      <c r="O398" s="10"/>
      <c r="P398" s="160"/>
      <c r="Q398" s="40"/>
      <c r="T398" s="10"/>
      <c r="U398" s="10"/>
      <c r="V398" s="10"/>
      <c r="W398" s="10"/>
      <c r="X398" s="10"/>
      <c r="Y398" s="10"/>
      <c r="Z398" s="10"/>
      <c r="AA398" s="10"/>
      <c r="AB398" s="10"/>
      <c r="AC398" s="10"/>
      <c r="AD398" s="10"/>
      <c r="AE398" s="10"/>
      <c r="AF398" s="10"/>
      <c r="AG398" s="10"/>
      <c r="AH398" s="10"/>
      <c r="AI398" s="10"/>
      <c r="AJ398" s="10"/>
    </row>
    <row r="399" spans="1:36" ht="14.25">
      <c r="B399" s="43"/>
      <c r="C399" s="16" t="s">
        <v>2</v>
      </c>
      <c r="D399" s="42">
        <f>D398+F398+H398</f>
        <v>245.62750667978557</v>
      </c>
      <c r="E399" s="42" t="s">
        <v>108</v>
      </c>
      <c r="F399" s="48"/>
      <c r="G399" s="43"/>
      <c r="H399" s="48"/>
      <c r="I399" s="43"/>
      <c r="J399" s="38"/>
    </row>
    <row r="400" spans="1:36" ht="14.25">
      <c r="B400" s="47"/>
      <c r="C400" s="9"/>
      <c r="D400" s="229" t="s">
        <v>466</v>
      </c>
      <c r="E400" s="9"/>
      <c r="G400" s="9"/>
      <c r="I400" s="9"/>
      <c r="O400" s="9"/>
      <c r="T400" s="10"/>
      <c r="U400" s="10"/>
      <c r="V400" s="10"/>
      <c r="W400" s="10"/>
      <c r="X400" s="10"/>
      <c r="Y400" s="10"/>
      <c r="Z400" s="10"/>
      <c r="AA400" s="10"/>
      <c r="AB400" s="10"/>
      <c r="AC400" s="10"/>
      <c r="AD400" s="10"/>
      <c r="AE400" s="10"/>
      <c r="AF400" s="10"/>
      <c r="AG400" s="10"/>
      <c r="AH400" s="10"/>
      <c r="AI400" s="10"/>
      <c r="AJ400" s="10"/>
    </row>
    <row r="401" spans="2:36" ht="15.75">
      <c r="B401" s="47" t="s">
        <v>110</v>
      </c>
      <c r="C401" s="9" t="s">
        <v>2</v>
      </c>
      <c r="D401" s="41">
        <f>D398</f>
        <v>215.0730187500001</v>
      </c>
      <c r="E401" s="55" t="s">
        <v>16</v>
      </c>
      <c r="F401" s="41">
        <f>F398</f>
        <v>27.776807208895889</v>
      </c>
      <c r="G401" s="55" t="s">
        <v>16</v>
      </c>
      <c r="H401" s="41">
        <f>H398</f>
        <v>2.7776807208895895</v>
      </c>
      <c r="I401" s="9"/>
      <c r="J401" s="5"/>
      <c r="K401" s="9"/>
      <c r="N401" s="10"/>
      <c r="O401" s="10"/>
      <c r="P401" s="160"/>
      <c r="Q401" s="40"/>
      <c r="T401" s="10"/>
      <c r="U401" s="10"/>
      <c r="V401" s="10"/>
      <c r="W401" s="10"/>
      <c r="X401" s="10"/>
      <c r="Y401" s="10"/>
      <c r="Z401" s="10"/>
      <c r="AA401" s="10"/>
      <c r="AB401" s="10"/>
      <c r="AC401" s="10"/>
      <c r="AD401" s="10"/>
      <c r="AE401" s="10"/>
      <c r="AF401" s="10"/>
      <c r="AG401" s="10"/>
      <c r="AH401" s="10"/>
      <c r="AI401" s="10"/>
      <c r="AJ401" s="10"/>
    </row>
    <row r="402" spans="2:36" ht="14.25">
      <c r="B402" s="43"/>
      <c r="C402" s="16" t="s">
        <v>2</v>
      </c>
      <c r="D402" s="42">
        <f>D401-F401-H401</f>
        <v>184.51853082021464</v>
      </c>
      <c r="E402" s="42" t="s">
        <v>108</v>
      </c>
      <c r="F402" s="48"/>
      <c r="G402" s="43"/>
      <c r="H402" s="48"/>
      <c r="I402" s="43"/>
      <c r="J402" s="38"/>
    </row>
    <row r="403" spans="2:36" ht="14.25">
      <c r="B403" s="47"/>
      <c r="C403" s="9"/>
      <c r="D403" s="152" t="s">
        <v>254</v>
      </c>
      <c r="J403" s="38"/>
      <c r="U403" s="10"/>
      <c r="V403" s="10"/>
      <c r="W403" s="10"/>
      <c r="X403" s="10"/>
      <c r="Y403" s="10"/>
      <c r="Z403" s="10"/>
      <c r="AA403" s="10"/>
      <c r="AB403" s="10"/>
      <c r="AC403" s="10"/>
      <c r="AD403" s="10"/>
      <c r="AE403" s="10"/>
      <c r="AF403" s="10"/>
      <c r="AG403" s="10"/>
      <c r="AH403" s="10"/>
      <c r="AI403" s="10"/>
      <c r="AJ403" s="10"/>
    </row>
    <row r="404" spans="2:36">
      <c r="B404" s="49"/>
      <c r="C404" s="9"/>
      <c r="J404" s="38"/>
      <c r="U404" s="10"/>
      <c r="V404" s="10"/>
      <c r="W404" s="10"/>
      <c r="X404" s="10"/>
      <c r="Y404" s="10"/>
      <c r="Z404" s="10"/>
      <c r="AA404" s="10"/>
      <c r="AB404" s="10"/>
      <c r="AC404" s="10"/>
      <c r="AD404" s="10"/>
      <c r="AE404" s="10"/>
      <c r="AF404" s="10"/>
      <c r="AG404" s="10"/>
      <c r="AH404" s="10"/>
      <c r="AI404" s="10"/>
      <c r="AJ404" s="10"/>
    </row>
    <row r="405" spans="2:36">
      <c r="B405" s="47" t="s">
        <v>113</v>
      </c>
      <c r="C405" s="9" t="s">
        <v>17</v>
      </c>
      <c r="D405" s="2">
        <f>D394</f>
        <v>3190.4210880000014</v>
      </c>
      <c r="E405" s="9" t="s">
        <v>8</v>
      </c>
      <c r="F405" s="2">
        <f>$J$367</f>
        <v>14.399999999999999</v>
      </c>
      <c r="G405" s="55" t="s">
        <v>106</v>
      </c>
      <c r="H405" s="41">
        <f>$J$113</f>
        <v>79.997204761620168</v>
      </c>
      <c r="I405" s="9" t="s">
        <v>8</v>
      </c>
      <c r="J405" s="2">
        <f>$J$369</f>
        <v>2.8800000000000003</v>
      </c>
      <c r="K405" s="55" t="s">
        <v>106</v>
      </c>
      <c r="L405" s="2">
        <f>$J$154</f>
        <v>79.997204761620168</v>
      </c>
      <c r="M405" s="9" t="s">
        <v>8</v>
      </c>
      <c r="N405" s="2">
        <f>$J$370</f>
        <v>28.799999999999997</v>
      </c>
      <c r="O405" s="55" t="s">
        <v>15</v>
      </c>
      <c r="T405" s="10"/>
      <c r="U405" s="10"/>
      <c r="V405" s="10"/>
      <c r="W405" s="10"/>
      <c r="X405" s="10"/>
      <c r="Y405" s="10"/>
      <c r="Z405" s="10"/>
      <c r="AA405" s="10"/>
      <c r="AB405" s="10"/>
      <c r="AC405" s="10"/>
      <c r="AD405" s="10"/>
      <c r="AE405" s="10"/>
      <c r="AF405" s="10"/>
      <c r="AG405" s="10"/>
      <c r="AH405" s="10"/>
      <c r="AI405" s="10"/>
      <c r="AJ405" s="10"/>
    </row>
    <row r="406" spans="2:36">
      <c r="B406" s="47"/>
      <c r="C406" s="9" t="s">
        <v>2</v>
      </c>
      <c r="D406" s="41">
        <f>D405/F405</f>
        <v>221.55702000000011</v>
      </c>
      <c r="E406" s="55" t="s">
        <v>105</v>
      </c>
      <c r="F406" s="41">
        <f>H405/J405</f>
        <v>27.776807208895889</v>
      </c>
      <c r="G406" s="55" t="s">
        <v>105</v>
      </c>
      <c r="H406" s="41">
        <f>L405/N405</f>
        <v>2.7776807208895895</v>
      </c>
      <c r="I406" s="9"/>
      <c r="K406" s="9"/>
      <c r="L406" s="5"/>
      <c r="M406" s="9"/>
      <c r="O406" s="9"/>
      <c r="T406" s="10"/>
      <c r="U406" s="10"/>
      <c r="V406" s="10"/>
      <c r="W406" s="10"/>
      <c r="X406" s="10"/>
      <c r="Y406" s="10"/>
      <c r="Z406" s="10"/>
      <c r="AA406" s="10"/>
      <c r="AB406" s="10"/>
      <c r="AC406" s="10"/>
      <c r="AD406" s="10"/>
      <c r="AE406" s="10"/>
      <c r="AF406" s="10"/>
      <c r="AG406" s="10"/>
      <c r="AH406" s="10"/>
      <c r="AI406" s="10"/>
      <c r="AJ406" s="10"/>
    </row>
    <row r="407" spans="2:36" ht="15.75">
      <c r="B407" s="47" t="s">
        <v>109</v>
      </c>
      <c r="C407" s="9" t="s">
        <v>2</v>
      </c>
      <c r="D407" s="41">
        <f>D406</f>
        <v>221.55702000000011</v>
      </c>
      <c r="E407" s="55" t="s">
        <v>7</v>
      </c>
      <c r="F407" s="41">
        <f>F406</f>
        <v>27.776807208895889</v>
      </c>
      <c r="G407" s="55" t="s">
        <v>7</v>
      </c>
      <c r="H407" s="41">
        <f>H406</f>
        <v>2.7776807208895895</v>
      </c>
      <c r="I407" s="9"/>
      <c r="J407" s="5"/>
      <c r="K407" s="9"/>
      <c r="N407" s="10"/>
      <c r="O407" s="10"/>
      <c r="P407" s="160"/>
      <c r="Q407" s="40"/>
      <c r="T407" s="10"/>
      <c r="U407" s="10"/>
      <c r="V407" s="10"/>
      <c r="W407" s="10"/>
      <c r="X407" s="10"/>
      <c r="Y407" s="10"/>
      <c r="Z407" s="10"/>
      <c r="AA407" s="10"/>
      <c r="AB407" s="10"/>
      <c r="AC407" s="10"/>
      <c r="AD407" s="10"/>
      <c r="AE407" s="10"/>
      <c r="AF407" s="10"/>
      <c r="AG407" s="10"/>
      <c r="AH407" s="10"/>
      <c r="AI407" s="10"/>
      <c r="AJ407" s="10"/>
    </row>
    <row r="408" spans="2:36" ht="14.25">
      <c r="B408" s="43"/>
      <c r="C408" s="16" t="s">
        <v>2</v>
      </c>
      <c r="D408" s="42">
        <f>D407+F407+H407</f>
        <v>252.11150792978557</v>
      </c>
      <c r="E408" s="42" t="s">
        <v>108</v>
      </c>
      <c r="F408" s="48"/>
      <c r="G408" s="43"/>
      <c r="H408" s="48"/>
      <c r="I408" s="43"/>
      <c r="J408" s="38"/>
    </row>
    <row r="409" spans="2:36" ht="14.25">
      <c r="B409" s="47"/>
      <c r="C409" s="9"/>
      <c r="D409" s="229" t="s">
        <v>466</v>
      </c>
      <c r="E409" s="9"/>
      <c r="G409" s="9"/>
      <c r="I409" s="9"/>
      <c r="O409" s="9"/>
      <c r="T409" s="10"/>
      <c r="U409" s="10"/>
      <c r="V409" s="10"/>
      <c r="W409" s="10"/>
      <c r="X409" s="10"/>
      <c r="Y409" s="10"/>
      <c r="Z409" s="10"/>
      <c r="AA409" s="10"/>
      <c r="AB409" s="10"/>
      <c r="AC409" s="10"/>
      <c r="AD409" s="10"/>
      <c r="AE409" s="10"/>
      <c r="AF409" s="10"/>
      <c r="AG409" s="10"/>
      <c r="AH409" s="10"/>
      <c r="AI409" s="10"/>
      <c r="AJ409" s="10"/>
    </row>
    <row r="410" spans="2:36" ht="15.75">
      <c r="B410" s="47" t="s">
        <v>110</v>
      </c>
      <c r="C410" s="9" t="s">
        <v>2</v>
      </c>
      <c r="D410" s="41">
        <f>D407</f>
        <v>221.55702000000011</v>
      </c>
      <c r="E410" s="55" t="s">
        <v>16</v>
      </c>
      <c r="F410" s="41">
        <f>F407</f>
        <v>27.776807208895889</v>
      </c>
      <c r="G410" s="55" t="s">
        <v>16</v>
      </c>
      <c r="H410" s="41">
        <f>H407</f>
        <v>2.7776807208895895</v>
      </c>
      <c r="I410" s="9"/>
      <c r="J410" s="5"/>
      <c r="K410" s="9"/>
      <c r="N410" s="10"/>
      <c r="O410" s="10"/>
      <c r="P410" s="160"/>
      <c r="Q410" s="40"/>
      <c r="T410" s="10"/>
      <c r="U410" s="10"/>
      <c r="V410" s="10"/>
      <c r="W410" s="10"/>
      <c r="X410" s="10"/>
      <c r="Y410" s="10"/>
      <c r="Z410" s="10"/>
      <c r="AA410" s="10"/>
      <c r="AB410" s="10"/>
      <c r="AC410" s="10"/>
      <c r="AD410" s="10"/>
      <c r="AE410" s="10"/>
      <c r="AF410" s="10"/>
      <c r="AG410" s="10"/>
      <c r="AH410" s="10"/>
      <c r="AI410" s="10"/>
      <c r="AJ410" s="10"/>
    </row>
    <row r="411" spans="2:36" ht="14.25">
      <c r="B411" s="43"/>
      <c r="C411" s="16" t="s">
        <v>2</v>
      </c>
      <c r="D411" s="42">
        <f>D410-F410-H410</f>
        <v>191.00253207021464</v>
      </c>
      <c r="E411" s="42" t="s">
        <v>108</v>
      </c>
      <c r="F411" s="48"/>
      <c r="G411" s="43"/>
      <c r="H411" s="48"/>
      <c r="I411" s="43"/>
      <c r="J411" s="38"/>
    </row>
    <row r="412" spans="2:36" ht="14.25">
      <c r="B412" s="47"/>
      <c r="C412" s="9"/>
      <c r="D412" s="152" t="s">
        <v>254</v>
      </c>
      <c r="J412" s="38"/>
      <c r="U412" s="10"/>
      <c r="V412" s="10"/>
      <c r="W412" s="10"/>
      <c r="X412" s="10"/>
      <c r="Y412" s="10"/>
      <c r="Z412" s="10"/>
      <c r="AA412" s="10"/>
      <c r="AB412" s="10"/>
      <c r="AC412" s="10"/>
      <c r="AD412" s="10"/>
      <c r="AE412" s="10"/>
      <c r="AF412" s="10"/>
      <c r="AG412" s="10"/>
      <c r="AH412" s="10"/>
      <c r="AI412" s="10"/>
      <c r="AJ412" s="10"/>
    </row>
    <row r="413" spans="2:36">
      <c r="B413" s="49"/>
      <c r="C413" s="9"/>
      <c r="J413" s="38"/>
      <c r="P413" s="160"/>
      <c r="Q413" s="40"/>
      <c r="U413" s="10"/>
      <c r="V413" s="10"/>
      <c r="W413" s="10"/>
      <c r="X413" s="10"/>
      <c r="Y413" s="10"/>
      <c r="Z413" s="10"/>
      <c r="AA413" s="10"/>
      <c r="AB413" s="10"/>
      <c r="AC413" s="10"/>
      <c r="AD413" s="10"/>
      <c r="AE413" s="10"/>
      <c r="AF413" s="10"/>
      <c r="AG413" s="10"/>
      <c r="AH413" s="10"/>
      <c r="AI413" s="10"/>
      <c r="AJ413" s="10"/>
    </row>
    <row r="414" spans="2:36">
      <c r="B414" s="169" t="str">
        <f>CONCATENATE("CASE- 8 FOR WIND FORCE AT SERVICE CONDITION AT R. L.",E20+1," M")</f>
        <v>CASE- 8 FOR WIND FORCE AT SERVICE CONDITION AT R. L.92.97 M</v>
      </c>
      <c r="C414" s="9"/>
      <c r="E414" s="9"/>
      <c r="G414" s="9"/>
      <c r="I414" s="9"/>
      <c r="K414" s="9"/>
      <c r="L414" s="5"/>
      <c r="M414" s="9"/>
      <c r="O414" s="9"/>
      <c r="P414" s="160"/>
      <c r="Q414" s="40"/>
      <c r="T414" s="10"/>
      <c r="U414" s="10"/>
      <c r="V414" s="10"/>
      <c r="W414" s="10"/>
      <c r="X414" s="10"/>
      <c r="Y414" s="10"/>
      <c r="Z414" s="10"/>
      <c r="AA414" s="10"/>
      <c r="AB414" s="10"/>
      <c r="AC414" s="10"/>
      <c r="AD414" s="10"/>
      <c r="AE414" s="10"/>
      <c r="AF414" s="10"/>
      <c r="AG414" s="10"/>
      <c r="AH414" s="10"/>
      <c r="AI414" s="10"/>
      <c r="AJ414" s="10"/>
    </row>
    <row r="415" spans="2:36" hidden="1">
      <c r="B415" s="47"/>
      <c r="C415" s="9"/>
      <c r="E415" s="9"/>
      <c r="G415" s="9"/>
      <c r="I415" s="9"/>
      <c r="K415" s="9"/>
      <c r="L415" s="5"/>
      <c r="M415" s="9"/>
      <c r="O415" s="9"/>
      <c r="P415" s="160"/>
      <c r="Q415" s="40"/>
      <c r="T415" s="10"/>
      <c r="U415" s="10"/>
      <c r="V415" s="10"/>
      <c r="W415" s="10"/>
      <c r="X415" s="10"/>
      <c r="Y415" s="10"/>
      <c r="Z415" s="10"/>
      <c r="AA415" s="10"/>
      <c r="AB415" s="10"/>
      <c r="AC415" s="10"/>
      <c r="AD415" s="10"/>
      <c r="AE415" s="10"/>
      <c r="AF415" s="10"/>
      <c r="AG415" s="10"/>
      <c r="AH415" s="10"/>
      <c r="AI415" s="10"/>
      <c r="AJ415" s="10"/>
    </row>
    <row r="416" spans="2:36">
      <c r="B416" s="44" t="s">
        <v>55</v>
      </c>
      <c r="C416" s="16" t="s">
        <v>2</v>
      </c>
      <c r="D416" s="42">
        <f>$D$259</f>
        <v>1463.6159999999998</v>
      </c>
      <c r="E416" s="42" t="s">
        <v>10</v>
      </c>
      <c r="F416" s="42"/>
      <c r="G416" s="38"/>
    </row>
    <row r="417" spans="1:36">
      <c r="B417" s="44" t="s">
        <v>56</v>
      </c>
      <c r="C417" s="16" t="s">
        <v>2</v>
      </c>
      <c r="D417" s="42">
        <f>$D$360</f>
        <v>1726.8050880000017</v>
      </c>
      <c r="E417" s="42" t="s">
        <v>10</v>
      </c>
      <c r="F417" s="42" t="s">
        <v>93</v>
      </c>
      <c r="G417" s="38"/>
    </row>
    <row r="418" spans="1:36">
      <c r="B418" s="44" t="s">
        <v>56</v>
      </c>
      <c r="C418" s="16" t="s">
        <v>2</v>
      </c>
      <c r="D418" s="42">
        <f>$D$361</f>
        <v>1633.4354700000017</v>
      </c>
      <c r="E418" s="42" t="s">
        <v>10</v>
      </c>
      <c r="F418" s="42" t="s">
        <v>94</v>
      </c>
      <c r="G418" s="38"/>
    </row>
    <row r="419" spans="1:36" s="38" customFormat="1">
      <c r="A419" s="11"/>
      <c r="B419" s="50" t="s">
        <v>92</v>
      </c>
      <c r="C419" s="16" t="s">
        <v>2</v>
      </c>
      <c r="D419" s="42">
        <f>$D$262</f>
        <v>788.26634730538922</v>
      </c>
      <c r="E419" s="42" t="s">
        <v>10</v>
      </c>
      <c r="F419" s="42"/>
      <c r="P419" s="160"/>
      <c r="Q419" s="40"/>
    </row>
    <row r="420" spans="1:36" s="38" customFormat="1">
      <c r="A420" s="11"/>
      <c r="B420" s="50" t="s">
        <v>103</v>
      </c>
      <c r="C420" s="16" t="s">
        <v>2</v>
      </c>
      <c r="D420" s="42">
        <f>D416+D417+D419</f>
        <v>3978.6874353053909</v>
      </c>
      <c r="E420" s="42" t="s">
        <v>10</v>
      </c>
      <c r="F420" s="42"/>
      <c r="P420" s="160"/>
      <c r="Q420" s="40"/>
    </row>
    <row r="421" spans="1:36" s="38" customFormat="1">
      <c r="A421" s="11"/>
      <c r="B421" s="50" t="s">
        <v>104</v>
      </c>
      <c r="C421" s="16" t="s">
        <v>2</v>
      </c>
      <c r="D421" s="42">
        <f>D416+D418+D419</f>
        <v>3885.3178173053902</v>
      </c>
      <c r="E421" s="42" t="s">
        <v>10</v>
      </c>
      <c r="F421" s="42"/>
      <c r="P421" s="160"/>
      <c r="Q421" s="40"/>
    </row>
    <row r="422" spans="1:36" s="38" customFormat="1">
      <c r="A422" s="11"/>
      <c r="B422" s="50" t="s">
        <v>136</v>
      </c>
      <c r="C422" s="16" t="s">
        <v>2</v>
      </c>
      <c r="D422" s="42">
        <f>$J$113</f>
        <v>79.997204761620168</v>
      </c>
      <c r="E422" s="63" t="s">
        <v>7</v>
      </c>
      <c r="F422" s="42">
        <f>$H$66</f>
        <v>244.25331736526948</v>
      </c>
      <c r="G422" s="63"/>
      <c r="H422" s="42"/>
      <c r="I422" s="63" t="s">
        <v>2</v>
      </c>
      <c r="J422" s="38">
        <f>D422+F422</f>
        <v>324.25052212688968</v>
      </c>
      <c r="K422" s="38" t="s">
        <v>5</v>
      </c>
      <c r="P422" s="160"/>
      <c r="Q422" s="40"/>
    </row>
    <row r="423" spans="1:36" s="38" customFormat="1">
      <c r="A423" s="11"/>
      <c r="B423" s="50" t="s">
        <v>137</v>
      </c>
      <c r="C423" s="16" t="s">
        <v>2</v>
      </c>
      <c r="D423" s="42">
        <f>$J$154</f>
        <v>79.997204761620168</v>
      </c>
      <c r="E423" s="53" t="s">
        <v>7</v>
      </c>
      <c r="F423" s="42">
        <f>$L$192</f>
        <v>101.09433159466906</v>
      </c>
      <c r="G423" s="63" t="s">
        <v>7</v>
      </c>
      <c r="H423" s="42">
        <f>$H$71</f>
        <v>2247.8811952095812</v>
      </c>
      <c r="I423" s="63" t="s">
        <v>2</v>
      </c>
      <c r="J423" s="38">
        <f>D423+F423+H423</f>
        <v>2428.9727315658702</v>
      </c>
      <c r="K423" s="38" t="s">
        <v>5</v>
      </c>
      <c r="P423" s="160"/>
      <c r="Q423" s="40"/>
    </row>
    <row r="424" spans="1:36">
      <c r="B424" s="47" t="s">
        <v>112</v>
      </c>
      <c r="C424" s="9" t="s">
        <v>17</v>
      </c>
      <c r="D424" s="2">
        <f>D421</f>
        <v>3885.3178173053902</v>
      </c>
      <c r="E424" s="9" t="s">
        <v>8</v>
      </c>
      <c r="F424" s="2">
        <f>$J$367</f>
        <v>14.399999999999999</v>
      </c>
      <c r="G424" s="55" t="s">
        <v>106</v>
      </c>
      <c r="H424" s="41">
        <f>$J$422</f>
        <v>324.25052212688968</v>
      </c>
      <c r="I424" s="9" t="s">
        <v>8</v>
      </c>
      <c r="J424" s="2">
        <f>$J$369</f>
        <v>2.8800000000000003</v>
      </c>
      <c r="K424" s="55" t="s">
        <v>106</v>
      </c>
      <c r="L424" s="41">
        <f>$J$423</f>
        <v>2428.9727315658702</v>
      </c>
      <c r="M424" s="9" t="s">
        <v>8</v>
      </c>
      <c r="N424" s="2">
        <f>$J$370</f>
        <v>28.799999999999997</v>
      </c>
      <c r="O424" s="55" t="s">
        <v>15</v>
      </c>
      <c r="R424" s="10"/>
      <c r="T424" s="10"/>
      <c r="U424" s="10"/>
      <c r="V424" s="10"/>
      <c r="W424" s="10"/>
      <c r="X424" s="10"/>
      <c r="Y424" s="10"/>
      <c r="Z424" s="10"/>
      <c r="AA424" s="10"/>
      <c r="AB424" s="10"/>
      <c r="AC424" s="10"/>
      <c r="AD424" s="10"/>
      <c r="AE424" s="10"/>
      <c r="AF424" s="10"/>
      <c r="AG424" s="10"/>
      <c r="AH424" s="10"/>
      <c r="AI424" s="10"/>
      <c r="AJ424" s="10"/>
    </row>
    <row r="425" spans="1:36">
      <c r="B425" s="47"/>
      <c r="C425" s="9" t="s">
        <v>2</v>
      </c>
      <c r="D425" s="41">
        <f>D424/F424</f>
        <v>269.81373731287437</v>
      </c>
      <c r="E425" s="55" t="s">
        <v>105</v>
      </c>
      <c r="F425" s="41">
        <f>H424/J424</f>
        <v>112.58698684961446</v>
      </c>
      <c r="G425" s="55" t="s">
        <v>105</v>
      </c>
      <c r="H425" s="41">
        <f>L424/N424</f>
        <v>84.339330957148277</v>
      </c>
      <c r="I425" s="9"/>
      <c r="K425" s="9"/>
      <c r="L425" s="5"/>
      <c r="M425" s="9"/>
      <c r="O425" s="9"/>
      <c r="R425" s="10"/>
      <c r="T425" s="10"/>
      <c r="U425" s="10"/>
      <c r="V425" s="10"/>
      <c r="W425" s="10"/>
      <c r="X425" s="10"/>
      <c r="Y425" s="10"/>
      <c r="Z425" s="10"/>
      <c r="AA425" s="10"/>
      <c r="AB425" s="10"/>
      <c r="AC425" s="10"/>
      <c r="AD425" s="10"/>
      <c r="AE425" s="10"/>
      <c r="AF425" s="10"/>
      <c r="AG425" s="10"/>
      <c r="AH425" s="10"/>
      <c r="AI425" s="10"/>
      <c r="AJ425" s="10"/>
    </row>
    <row r="426" spans="1:36" ht="15.75">
      <c r="B426" s="47" t="s">
        <v>109</v>
      </c>
      <c r="C426" s="9" t="s">
        <v>2</v>
      </c>
      <c r="D426" s="41">
        <f>D425</f>
        <v>269.81373731287437</v>
      </c>
      <c r="E426" s="55" t="s">
        <v>7</v>
      </c>
      <c r="F426" s="41">
        <f>F425</f>
        <v>112.58698684961446</v>
      </c>
      <c r="G426" s="55" t="s">
        <v>7</v>
      </c>
      <c r="H426" s="41">
        <f>H425</f>
        <v>84.339330957148277</v>
      </c>
      <c r="I426" s="9"/>
      <c r="J426" s="5"/>
      <c r="K426" s="9"/>
      <c r="N426" s="10"/>
      <c r="O426" s="10"/>
      <c r="P426" s="160"/>
      <c r="Q426" s="40"/>
      <c r="R426" s="10"/>
      <c r="T426" s="10"/>
      <c r="U426" s="10"/>
      <c r="V426" s="10"/>
      <c r="W426" s="10"/>
      <c r="X426" s="10"/>
      <c r="Y426" s="10"/>
      <c r="Z426" s="10"/>
      <c r="AA426" s="10"/>
      <c r="AB426" s="10"/>
      <c r="AC426" s="10"/>
      <c r="AD426" s="10"/>
      <c r="AE426" s="10"/>
      <c r="AF426" s="10"/>
      <c r="AG426" s="10"/>
      <c r="AH426" s="10"/>
      <c r="AI426" s="10"/>
      <c r="AJ426" s="10"/>
    </row>
    <row r="427" spans="1:36" ht="14.25">
      <c r="B427" s="43"/>
      <c r="C427" s="16" t="s">
        <v>2</v>
      </c>
      <c r="D427" s="42">
        <f>D426+F426+H426</f>
        <v>466.74005511963708</v>
      </c>
      <c r="E427" s="42" t="s">
        <v>108</v>
      </c>
      <c r="F427" s="48"/>
      <c r="G427" s="43"/>
      <c r="H427" s="48"/>
      <c r="I427" s="43"/>
      <c r="J427" s="38"/>
      <c r="R427" s="10"/>
    </row>
    <row r="428" spans="1:36" ht="14.25">
      <c r="B428" s="47"/>
      <c r="C428" s="9"/>
      <c r="D428" s="229" t="s">
        <v>466</v>
      </c>
      <c r="E428" s="9"/>
      <c r="G428" s="9"/>
      <c r="I428" s="9"/>
      <c r="O428" s="9"/>
      <c r="R428" s="10"/>
      <c r="T428" s="10"/>
      <c r="U428" s="10"/>
      <c r="V428" s="10"/>
      <c r="W428" s="10"/>
      <c r="X428" s="10"/>
      <c r="Y428" s="10"/>
      <c r="Z428" s="10"/>
      <c r="AA428" s="10"/>
      <c r="AB428" s="10"/>
      <c r="AC428" s="10"/>
      <c r="AD428" s="10"/>
      <c r="AE428" s="10"/>
      <c r="AF428" s="10"/>
      <c r="AG428" s="10"/>
      <c r="AH428" s="10"/>
      <c r="AI428" s="10"/>
      <c r="AJ428" s="10"/>
    </row>
    <row r="429" spans="1:36" ht="15.75">
      <c r="B429" s="47" t="s">
        <v>110</v>
      </c>
      <c r="C429" s="9" t="s">
        <v>2</v>
      </c>
      <c r="D429" s="41">
        <f>D426</f>
        <v>269.81373731287437</v>
      </c>
      <c r="E429" s="55" t="s">
        <v>16</v>
      </c>
      <c r="F429" s="41">
        <f>F426</f>
        <v>112.58698684961446</v>
      </c>
      <c r="G429" s="55" t="s">
        <v>16</v>
      </c>
      <c r="H429" s="41">
        <f>H426</f>
        <v>84.339330957148277</v>
      </c>
      <c r="I429" s="9"/>
      <c r="J429" s="5"/>
      <c r="K429" s="9"/>
      <c r="N429" s="10"/>
      <c r="O429" s="10"/>
      <c r="P429" s="160"/>
      <c r="Q429" s="40"/>
      <c r="R429" s="10"/>
      <c r="T429" s="10"/>
      <c r="U429" s="10"/>
      <c r="V429" s="10"/>
      <c r="W429" s="10"/>
      <c r="X429" s="10"/>
      <c r="Y429" s="10"/>
      <c r="Z429" s="10"/>
      <c r="AA429" s="10"/>
      <c r="AB429" s="10"/>
      <c r="AC429" s="10"/>
      <c r="AD429" s="10"/>
      <c r="AE429" s="10"/>
      <c r="AF429" s="10"/>
      <c r="AG429" s="10"/>
      <c r="AH429" s="10"/>
      <c r="AI429" s="10"/>
      <c r="AJ429" s="10"/>
    </row>
    <row r="430" spans="1:36" ht="14.25">
      <c r="B430" s="43"/>
      <c r="C430" s="16" t="s">
        <v>2</v>
      </c>
      <c r="D430" s="42">
        <f>D429-F429-H429</f>
        <v>72.887419506111641</v>
      </c>
      <c r="E430" s="42" t="s">
        <v>108</v>
      </c>
      <c r="F430" s="48"/>
      <c r="G430" s="43"/>
      <c r="H430" s="48"/>
      <c r="I430" s="43"/>
      <c r="J430" s="38"/>
      <c r="R430" s="10"/>
    </row>
    <row r="431" spans="1:36" ht="14.25">
      <c r="B431" s="47"/>
      <c r="C431" s="9"/>
      <c r="D431" s="152" t="s">
        <v>254</v>
      </c>
      <c r="J431" s="38"/>
      <c r="R431" s="10"/>
      <c r="U431" s="10"/>
      <c r="V431" s="10"/>
      <c r="W431" s="10"/>
      <c r="X431" s="10"/>
      <c r="Y431" s="10"/>
      <c r="Z431" s="10"/>
      <c r="AA431" s="10"/>
      <c r="AB431" s="10"/>
      <c r="AC431" s="10"/>
      <c r="AD431" s="10"/>
      <c r="AE431" s="10"/>
      <c r="AF431" s="10"/>
      <c r="AG431" s="10"/>
      <c r="AH431" s="10"/>
      <c r="AI431" s="10"/>
      <c r="AJ431" s="10"/>
    </row>
    <row r="432" spans="1:36">
      <c r="B432" s="49"/>
      <c r="C432" s="9"/>
      <c r="J432" s="38"/>
      <c r="R432" s="10"/>
      <c r="U432" s="10"/>
      <c r="V432" s="10"/>
      <c r="W432" s="10"/>
      <c r="X432" s="10"/>
      <c r="Y432" s="10"/>
      <c r="Z432" s="10"/>
      <c r="AA432" s="10"/>
      <c r="AB432" s="10"/>
      <c r="AC432" s="10"/>
      <c r="AD432" s="10"/>
      <c r="AE432" s="10"/>
      <c r="AF432" s="10"/>
      <c r="AG432" s="10"/>
      <c r="AH432" s="10"/>
      <c r="AI432" s="10"/>
      <c r="AJ432" s="10"/>
    </row>
    <row r="433" spans="1:36">
      <c r="B433" s="47" t="s">
        <v>113</v>
      </c>
      <c r="C433" s="9" t="s">
        <v>17</v>
      </c>
      <c r="D433" s="2">
        <f>D420</f>
        <v>3978.6874353053909</v>
      </c>
      <c r="E433" s="9" t="s">
        <v>8</v>
      </c>
      <c r="F433" s="2">
        <f>$J$367</f>
        <v>14.399999999999999</v>
      </c>
      <c r="G433" s="55" t="s">
        <v>106</v>
      </c>
      <c r="H433" s="41">
        <f>$J$422</f>
        <v>324.25052212688968</v>
      </c>
      <c r="I433" s="9" t="s">
        <v>8</v>
      </c>
      <c r="J433" s="2">
        <f>$J$369</f>
        <v>2.8800000000000003</v>
      </c>
      <c r="K433" s="55" t="s">
        <v>106</v>
      </c>
      <c r="L433" s="41">
        <f>$J$423</f>
        <v>2428.9727315658702</v>
      </c>
      <c r="M433" s="9" t="s">
        <v>8</v>
      </c>
      <c r="N433" s="2">
        <f>$J$370</f>
        <v>28.799999999999997</v>
      </c>
      <c r="O433" s="55" t="s">
        <v>15</v>
      </c>
      <c r="R433" s="10"/>
      <c r="T433" s="10"/>
      <c r="U433" s="10"/>
      <c r="V433" s="10"/>
      <c r="W433" s="10"/>
      <c r="X433" s="10"/>
      <c r="Y433" s="10"/>
      <c r="Z433" s="10"/>
      <c r="AA433" s="10"/>
      <c r="AB433" s="10"/>
      <c r="AC433" s="10"/>
      <c r="AD433" s="10"/>
      <c r="AE433" s="10"/>
      <c r="AF433" s="10"/>
      <c r="AG433" s="10"/>
      <c r="AH433" s="10"/>
      <c r="AI433" s="10"/>
      <c r="AJ433" s="10"/>
    </row>
    <row r="434" spans="1:36">
      <c r="B434" s="47"/>
      <c r="C434" s="9" t="s">
        <v>2</v>
      </c>
      <c r="D434" s="41">
        <f>D433/F433</f>
        <v>276.29773856287437</v>
      </c>
      <c r="E434" s="55" t="s">
        <v>105</v>
      </c>
      <c r="F434" s="41">
        <f>H433/J433</f>
        <v>112.58698684961446</v>
      </c>
      <c r="G434" s="55" t="s">
        <v>105</v>
      </c>
      <c r="H434" s="41">
        <f>L433/N433</f>
        <v>84.339330957148277</v>
      </c>
      <c r="I434" s="9"/>
      <c r="K434" s="9"/>
      <c r="L434" s="5"/>
      <c r="M434" s="9"/>
      <c r="O434" s="9"/>
      <c r="R434" s="10"/>
      <c r="T434" s="10"/>
      <c r="U434" s="10"/>
      <c r="V434" s="10"/>
      <c r="W434" s="10"/>
      <c r="X434" s="10"/>
      <c r="Y434" s="10"/>
      <c r="Z434" s="10"/>
      <c r="AA434" s="10"/>
      <c r="AB434" s="10"/>
      <c r="AC434" s="10"/>
      <c r="AD434" s="10"/>
      <c r="AE434" s="10"/>
      <c r="AF434" s="10"/>
      <c r="AG434" s="10"/>
      <c r="AH434" s="10"/>
      <c r="AI434" s="10"/>
      <c r="AJ434" s="10"/>
    </row>
    <row r="435" spans="1:36" ht="15.75">
      <c r="B435" s="47" t="s">
        <v>109</v>
      </c>
      <c r="C435" s="9" t="s">
        <v>2</v>
      </c>
      <c r="D435" s="41">
        <f>D434</f>
        <v>276.29773856287437</v>
      </c>
      <c r="E435" s="55" t="s">
        <v>7</v>
      </c>
      <c r="F435" s="41">
        <f>F434</f>
        <v>112.58698684961446</v>
      </c>
      <c r="G435" s="55" t="s">
        <v>7</v>
      </c>
      <c r="H435" s="41">
        <f>H434</f>
        <v>84.339330957148277</v>
      </c>
      <c r="I435" s="9"/>
      <c r="J435" s="5"/>
      <c r="K435" s="9"/>
      <c r="N435" s="10"/>
      <c r="O435" s="10"/>
      <c r="P435" s="160"/>
      <c r="Q435" s="40"/>
      <c r="R435" s="10"/>
      <c r="T435" s="10"/>
      <c r="U435" s="10"/>
      <c r="V435" s="10"/>
      <c r="W435" s="10"/>
      <c r="X435" s="10"/>
      <c r="Y435" s="10"/>
      <c r="Z435" s="10"/>
      <c r="AA435" s="10"/>
      <c r="AB435" s="10"/>
      <c r="AC435" s="10"/>
      <c r="AD435" s="10"/>
      <c r="AE435" s="10"/>
      <c r="AF435" s="10"/>
      <c r="AG435" s="10"/>
      <c r="AH435" s="10"/>
      <c r="AI435" s="10"/>
      <c r="AJ435" s="10"/>
    </row>
    <row r="436" spans="1:36" ht="14.25">
      <c r="B436" s="43"/>
      <c r="C436" s="16" t="s">
        <v>2</v>
      </c>
      <c r="D436" s="42">
        <f>D435+F435+H435</f>
        <v>473.22405636963708</v>
      </c>
      <c r="E436" s="42" t="s">
        <v>108</v>
      </c>
      <c r="F436" s="48"/>
      <c r="G436" s="43"/>
      <c r="H436" s="48"/>
      <c r="I436" s="43"/>
      <c r="J436" s="38"/>
      <c r="R436" s="10"/>
    </row>
    <row r="437" spans="1:36" ht="14.25">
      <c r="B437" s="47"/>
      <c r="C437" s="9"/>
      <c r="D437" s="63" t="s">
        <v>142</v>
      </c>
      <c r="E437" s="9"/>
      <c r="G437" s="9"/>
      <c r="I437" s="9"/>
      <c r="O437" s="9"/>
      <c r="R437" s="10"/>
      <c r="T437" s="10"/>
      <c r="U437" s="10"/>
      <c r="V437" s="10"/>
      <c r="W437" s="10"/>
      <c r="X437" s="10"/>
      <c r="Y437" s="10"/>
      <c r="Z437" s="10"/>
      <c r="AA437" s="10"/>
      <c r="AB437" s="10"/>
      <c r="AC437" s="10"/>
      <c r="AD437" s="10"/>
      <c r="AE437" s="10"/>
      <c r="AF437" s="10"/>
      <c r="AG437" s="10"/>
      <c r="AH437" s="10"/>
      <c r="AI437" s="10"/>
      <c r="AJ437" s="10"/>
    </row>
    <row r="438" spans="1:36" ht="15.75">
      <c r="B438" s="47" t="s">
        <v>110</v>
      </c>
      <c r="C438" s="9" t="s">
        <v>2</v>
      </c>
      <c r="D438" s="41">
        <f>D435</f>
        <v>276.29773856287437</v>
      </c>
      <c r="E438" s="55" t="s">
        <v>16</v>
      </c>
      <c r="F438" s="41">
        <f>F435</f>
        <v>112.58698684961446</v>
      </c>
      <c r="G438" s="55" t="s">
        <v>16</v>
      </c>
      <c r="H438" s="41">
        <f>H435</f>
        <v>84.339330957148277</v>
      </c>
      <c r="I438" s="9"/>
      <c r="J438" s="5"/>
      <c r="K438" s="9"/>
      <c r="N438" s="10"/>
      <c r="O438" s="10"/>
      <c r="P438" s="160"/>
      <c r="Q438" s="40"/>
      <c r="R438" s="10"/>
      <c r="T438" s="10"/>
      <c r="U438" s="10"/>
      <c r="V438" s="10"/>
      <c r="W438" s="10"/>
      <c r="X438" s="10"/>
      <c r="Y438" s="10"/>
      <c r="Z438" s="10"/>
      <c r="AA438" s="10"/>
      <c r="AB438" s="10"/>
      <c r="AC438" s="10"/>
      <c r="AD438" s="10"/>
      <c r="AE438" s="10"/>
      <c r="AF438" s="10"/>
      <c r="AG438" s="10"/>
      <c r="AH438" s="10"/>
      <c r="AI438" s="10"/>
      <c r="AJ438" s="10"/>
    </row>
    <row r="439" spans="1:36" ht="14.25">
      <c r="B439" s="43"/>
      <c r="C439" s="16" t="s">
        <v>2</v>
      </c>
      <c r="D439" s="42">
        <f>D438-F438-H438</f>
        <v>79.371420756111647</v>
      </c>
      <c r="E439" s="42" t="s">
        <v>108</v>
      </c>
      <c r="F439" s="48"/>
      <c r="G439" s="43"/>
      <c r="H439" s="48"/>
      <c r="I439" s="43"/>
      <c r="J439" s="38"/>
      <c r="R439" s="10"/>
    </row>
    <row r="440" spans="1:36" ht="14.25">
      <c r="B440" s="47"/>
      <c r="C440" s="9"/>
      <c r="D440" s="152" t="s">
        <v>254</v>
      </c>
      <c r="J440" s="38"/>
      <c r="U440" s="10"/>
      <c r="V440" s="10"/>
      <c r="W440" s="10"/>
      <c r="X440" s="10"/>
      <c r="Y440" s="10"/>
      <c r="Z440" s="10"/>
      <c r="AA440" s="10"/>
      <c r="AB440" s="10"/>
      <c r="AC440" s="10"/>
      <c r="AD440" s="10"/>
      <c r="AE440" s="10"/>
      <c r="AF440" s="10"/>
      <c r="AG440" s="10"/>
      <c r="AH440" s="10"/>
      <c r="AI440" s="10"/>
      <c r="AJ440" s="10"/>
    </row>
    <row r="441" spans="1:36">
      <c r="B441" s="47"/>
      <c r="C441" s="9"/>
      <c r="E441" s="9"/>
      <c r="G441" s="9"/>
      <c r="I441" s="9"/>
      <c r="K441" s="9"/>
      <c r="L441" s="5"/>
      <c r="M441" s="9"/>
      <c r="O441" s="9"/>
      <c r="P441" s="160"/>
      <c r="Q441" s="40"/>
      <c r="T441" s="10"/>
      <c r="U441" s="10"/>
      <c r="V441" s="10"/>
      <c r="W441" s="10"/>
      <c r="X441" s="10"/>
      <c r="Y441" s="10"/>
      <c r="Z441" s="10"/>
      <c r="AA441" s="10"/>
      <c r="AB441" s="10"/>
      <c r="AC441" s="10"/>
      <c r="AD441" s="10"/>
      <c r="AE441" s="10"/>
      <c r="AF441" s="10"/>
      <c r="AG441" s="10"/>
      <c r="AH441" s="10"/>
      <c r="AI441" s="10"/>
      <c r="AJ441" s="10"/>
    </row>
    <row r="442" spans="1:36">
      <c r="B442" s="169" t="str">
        <f>CONCATENATE("CASE- 9 FOR WIND FORCE AT IDLE CONDITION AT R. L.",E20+1," M")</f>
        <v>CASE- 9 FOR WIND FORCE AT IDLE CONDITION AT R. L.92.97 M</v>
      </c>
      <c r="C442" s="9"/>
      <c r="E442" s="9"/>
      <c r="G442" s="9"/>
      <c r="I442" s="9"/>
      <c r="K442" s="9"/>
      <c r="L442" s="5"/>
      <c r="M442" s="9"/>
      <c r="O442" s="9"/>
      <c r="P442" s="160"/>
      <c r="Q442" s="40"/>
      <c r="T442" s="10"/>
      <c r="U442" s="10"/>
      <c r="V442" s="10"/>
      <c r="W442" s="10"/>
      <c r="X442" s="10"/>
      <c r="Y442" s="10"/>
      <c r="Z442" s="10"/>
      <c r="AA442" s="10"/>
      <c r="AB442" s="10"/>
      <c r="AC442" s="10"/>
      <c r="AD442" s="10"/>
      <c r="AE442" s="10"/>
      <c r="AF442" s="10"/>
      <c r="AG442" s="10"/>
      <c r="AH442" s="10"/>
      <c r="AI442" s="10"/>
      <c r="AJ442" s="10"/>
    </row>
    <row r="443" spans="1:36" hidden="1">
      <c r="B443" s="47"/>
      <c r="C443" s="9"/>
      <c r="E443" s="9"/>
      <c r="G443" s="9"/>
      <c r="I443" s="9"/>
      <c r="K443" s="9"/>
      <c r="L443" s="5"/>
      <c r="M443" s="9"/>
      <c r="O443" s="9"/>
      <c r="P443" s="160"/>
      <c r="Q443" s="40"/>
      <c r="T443" s="10"/>
      <c r="U443" s="10"/>
      <c r="V443" s="10"/>
      <c r="W443" s="10"/>
      <c r="X443" s="10"/>
      <c r="Y443" s="10"/>
      <c r="Z443" s="10"/>
      <c r="AA443" s="10"/>
      <c r="AB443" s="10"/>
      <c r="AC443" s="10"/>
      <c r="AD443" s="10"/>
      <c r="AE443" s="10"/>
      <c r="AF443" s="10"/>
      <c r="AG443" s="10"/>
      <c r="AH443" s="10"/>
      <c r="AI443" s="10"/>
      <c r="AJ443" s="10"/>
    </row>
    <row r="444" spans="1:36">
      <c r="B444" s="44" t="s">
        <v>55</v>
      </c>
      <c r="C444" s="16" t="s">
        <v>2</v>
      </c>
      <c r="D444" s="42">
        <f>$D$259</f>
        <v>1463.6159999999998</v>
      </c>
      <c r="E444" s="42" t="s">
        <v>10</v>
      </c>
      <c r="F444" s="42"/>
      <c r="G444" s="38"/>
    </row>
    <row r="445" spans="1:36">
      <c r="B445" s="44" t="s">
        <v>56</v>
      </c>
      <c r="C445" s="16" t="s">
        <v>2</v>
      </c>
      <c r="D445" s="42">
        <f>$D$360</f>
        <v>1726.8050880000017</v>
      </c>
      <c r="E445" s="42" t="s">
        <v>10</v>
      </c>
      <c r="F445" s="42" t="s">
        <v>93</v>
      </c>
      <c r="G445" s="38"/>
    </row>
    <row r="446" spans="1:36">
      <c r="B446" s="44" t="s">
        <v>56</v>
      </c>
      <c r="C446" s="16" t="s">
        <v>2</v>
      </c>
      <c r="D446" s="42">
        <f>$D$361</f>
        <v>1633.4354700000017</v>
      </c>
      <c r="E446" s="42" t="s">
        <v>10</v>
      </c>
      <c r="F446" s="42" t="s">
        <v>94</v>
      </c>
      <c r="G446" s="38"/>
    </row>
    <row r="447" spans="1:36" s="38" customFormat="1">
      <c r="A447" s="11"/>
      <c r="B447" s="50" t="s">
        <v>92</v>
      </c>
      <c r="C447" s="16" t="s">
        <v>2</v>
      </c>
      <c r="D447" s="42">
        <f>$D$262</f>
        <v>788.26634730538922</v>
      </c>
      <c r="E447" s="42" t="s">
        <v>10</v>
      </c>
      <c r="F447" s="42"/>
      <c r="P447" s="160"/>
      <c r="Q447" s="40"/>
    </row>
    <row r="448" spans="1:36" s="38" customFormat="1">
      <c r="A448" s="11"/>
      <c r="B448" s="50" t="s">
        <v>103</v>
      </c>
      <c r="C448" s="16" t="s">
        <v>2</v>
      </c>
      <c r="D448" s="42">
        <f>D444+D445+D447</f>
        <v>3978.6874353053909</v>
      </c>
      <c r="E448" s="42" t="s">
        <v>10</v>
      </c>
      <c r="F448" s="42"/>
      <c r="K448" s="42"/>
      <c r="L448" s="63"/>
      <c r="M448" s="42"/>
      <c r="P448" s="160"/>
      <c r="Q448" s="40"/>
    </row>
    <row r="449" spans="1:36" s="38" customFormat="1">
      <c r="A449" s="11"/>
      <c r="B449" s="50" t="s">
        <v>104</v>
      </c>
      <c r="C449" s="16" t="s">
        <v>2</v>
      </c>
      <c r="D449" s="42">
        <f>D444+D446+D447</f>
        <v>3885.3178173053902</v>
      </c>
      <c r="E449" s="42" t="s">
        <v>10</v>
      </c>
      <c r="F449" s="42"/>
      <c r="K449" s="42"/>
      <c r="L449" s="53"/>
      <c r="M449" s="42"/>
      <c r="P449" s="160"/>
      <c r="Q449" s="40"/>
    </row>
    <row r="450" spans="1:36" s="38" customFormat="1">
      <c r="A450" s="11"/>
      <c r="B450" s="50" t="s">
        <v>136</v>
      </c>
      <c r="C450" s="16" t="s">
        <v>2</v>
      </c>
      <c r="D450" s="42">
        <f>$J$113</f>
        <v>79.997204761620168</v>
      </c>
      <c r="E450" s="42" t="s">
        <v>5</v>
      </c>
      <c r="F450" s="42"/>
      <c r="P450" s="160"/>
      <c r="Q450" s="40"/>
      <c r="R450" s="40"/>
    </row>
    <row r="451" spans="1:36" s="38" customFormat="1">
      <c r="A451" s="11"/>
      <c r="B451" s="50" t="s">
        <v>137</v>
      </c>
      <c r="C451" s="16" t="s">
        <v>2</v>
      </c>
      <c r="D451" s="42">
        <f>$J$154</f>
        <v>79.997204761620168</v>
      </c>
      <c r="E451" s="53" t="s">
        <v>7</v>
      </c>
      <c r="F451" s="42">
        <f>$L$192</f>
        <v>101.09433159466906</v>
      </c>
      <c r="G451" s="63" t="s">
        <v>2</v>
      </c>
      <c r="H451" s="38">
        <f>D451+F451</f>
        <v>181.09153635628923</v>
      </c>
      <c r="I451" s="38" t="s">
        <v>5</v>
      </c>
      <c r="P451" s="160"/>
      <c r="Q451" s="40"/>
      <c r="R451" s="40"/>
    </row>
    <row r="452" spans="1:36">
      <c r="B452" s="47" t="s">
        <v>112</v>
      </c>
      <c r="C452" s="9" t="s">
        <v>17</v>
      </c>
      <c r="D452" s="2">
        <f>D449</f>
        <v>3885.3178173053902</v>
      </c>
      <c r="E452" s="9" t="s">
        <v>8</v>
      </c>
      <c r="F452" s="2">
        <f>$J$367</f>
        <v>14.399999999999999</v>
      </c>
      <c r="G452" s="55" t="s">
        <v>106</v>
      </c>
      <c r="H452" s="41">
        <f>$J$113</f>
        <v>79.997204761620168</v>
      </c>
      <c r="I452" s="9" t="s">
        <v>8</v>
      </c>
      <c r="J452" s="2">
        <f>$J$369</f>
        <v>2.8800000000000003</v>
      </c>
      <c r="K452" s="55" t="s">
        <v>106</v>
      </c>
      <c r="L452" s="2">
        <f>H451</f>
        <v>181.09153635628923</v>
      </c>
      <c r="M452" s="9" t="s">
        <v>8</v>
      </c>
      <c r="N452" s="2">
        <f>$J$370</f>
        <v>28.799999999999997</v>
      </c>
      <c r="O452" s="55" t="s">
        <v>15</v>
      </c>
      <c r="R452" s="10"/>
      <c r="T452" s="10"/>
      <c r="U452" s="10"/>
      <c r="V452" s="10"/>
      <c r="W452" s="10"/>
      <c r="X452" s="10"/>
      <c r="Y452" s="10"/>
      <c r="Z452" s="10"/>
      <c r="AA452" s="10"/>
      <c r="AB452" s="10"/>
      <c r="AC452" s="10"/>
      <c r="AD452" s="10"/>
      <c r="AE452" s="10"/>
      <c r="AF452" s="10"/>
      <c r="AG452" s="10"/>
      <c r="AH452" s="10"/>
      <c r="AI452" s="10"/>
      <c r="AJ452" s="10"/>
    </row>
    <row r="453" spans="1:36">
      <c r="B453" s="47"/>
      <c r="C453" s="9" t="s">
        <v>2</v>
      </c>
      <c r="D453" s="41">
        <f>D452/F452</f>
        <v>269.81373731287437</v>
      </c>
      <c r="E453" s="55" t="s">
        <v>105</v>
      </c>
      <c r="F453" s="41">
        <f>H452/J452</f>
        <v>27.776807208895889</v>
      </c>
      <c r="G453" s="55" t="s">
        <v>105</v>
      </c>
      <c r="H453" s="41">
        <f>L452/N452</f>
        <v>6.2879005679267097</v>
      </c>
      <c r="I453" s="9"/>
      <c r="K453" s="9"/>
      <c r="L453" s="5"/>
      <c r="M453" s="9"/>
      <c r="O453" s="9"/>
      <c r="R453" s="10"/>
      <c r="T453" s="10"/>
      <c r="U453" s="10"/>
      <c r="V453" s="10"/>
      <c r="W453" s="10"/>
      <c r="X453" s="10"/>
      <c r="Y453" s="10"/>
      <c r="Z453" s="10"/>
      <c r="AA453" s="10"/>
      <c r="AB453" s="10"/>
      <c r="AC453" s="10"/>
      <c r="AD453" s="10"/>
      <c r="AE453" s="10"/>
      <c r="AF453" s="10"/>
      <c r="AG453" s="10"/>
      <c r="AH453" s="10"/>
      <c r="AI453" s="10"/>
      <c r="AJ453" s="10"/>
    </row>
    <row r="454" spans="1:36" ht="15.75">
      <c r="B454" s="47" t="s">
        <v>109</v>
      </c>
      <c r="C454" s="9" t="s">
        <v>2</v>
      </c>
      <c r="D454" s="41">
        <f>D453</f>
        <v>269.81373731287437</v>
      </c>
      <c r="E454" s="55" t="s">
        <v>7</v>
      </c>
      <c r="F454" s="41">
        <f>F453</f>
        <v>27.776807208895889</v>
      </c>
      <c r="G454" s="55" t="s">
        <v>7</v>
      </c>
      <c r="H454" s="41">
        <f>H453</f>
        <v>6.2879005679267097</v>
      </c>
      <c r="I454" s="9"/>
      <c r="J454" s="5"/>
      <c r="K454" s="9"/>
      <c r="N454" s="10"/>
      <c r="O454" s="10"/>
      <c r="P454" s="160"/>
      <c r="Q454" s="40"/>
      <c r="R454" s="10"/>
      <c r="T454" s="10"/>
      <c r="U454" s="10"/>
      <c r="V454" s="10"/>
      <c r="W454" s="10"/>
      <c r="X454" s="10"/>
      <c r="Y454" s="10"/>
      <c r="Z454" s="10"/>
      <c r="AA454" s="10"/>
      <c r="AB454" s="10"/>
      <c r="AC454" s="10"/>
      <c r="AD454" s="10"/>
      <c r="AE454" s="10"/>
      <c r="AF454" s="10"/>
      <c r="AG454" s="10"/>
      <c r="AH454" s="10"/>
      <c r="AI454" s="10"/>
      <c r="AJ454" s="10"/>
    </row>
    <row r="455" spans="1:36" ht="14.25">
      <c r="B455" s="43"/>
      <c r="C455" s="16" t="s">
        <v>2</v>
      </c>
      <c r="D455" s="42">
        <f>D454+F454+H454</f>
        <v>303.87844508969698</v>
      </c>
      <c r="E455" s="42" t="s">
        <v>108</v>
      </c>
      <c r="F455" s="48"/>
      <c r="G455" s="43"/>
      <c r="H455" s="48"/>
      <c r="I455" s="43"/>
      <c r="J455" s="38"/>
      <c r="R455" s="10"/>
    </row>
    <row r="456" spans="1:36" ht="14.25">
      <c r="B456" s="47"/>
      <c r="C456" s="9"/>
      <c r="D456" s="63" t="s">
        <v>142</v>
      </c>
      <c r="E456" s="9"/>
      <c r="G456" s="9"/>
      <c r="I456" s="9"/>
      <c r="O456" s="9"/>
      <c r="R456" s="10"/>
      <c r="T456" s="10"/>
      <c r="U456" s="10"/>
      <c r="V456" s="10"/>
      <c r="W456" s="10"/>
      <c r="X456" s="10"/>
      <c r="Y456" s="10"/>
      <c r="Z456" s="10"/>
      <c r="AA456" s="10"/>
      <c r="AB456" s="10"/>
      <c r="AC456" s="10"/>
      <c r="AD456" s="10"/>
      <c r="AE456" s="10"/>
      <c r="AF456" s="10"/>
      <c r="AG456" s="10"/>
      <c r="AH456" s="10"/>
      <c r="AI456" s="10"/>
      <c r="AJ456" s="10"/>
    </row>
    <row r="457" spans="1:36" ht="15.75">
      <c r="B457" s="47" t="s">
        <v>110</v>
      </c>
      <c r="C457" s="9" t="s">
        <v>2</v>
      </c>
      <c r="D457" s="41">
        <f>D454</f>
        <v>269.81373731287437</v>
      </c>
      <c r="E457" s="55" t="s">
        <v>16</v>
      </c>
      <c r="F457" s="41">
        <f>F454</f>
        <v>27.776807208895889</v>
      </c>
      <c r="G457" s="55" t="s">
        <v>16</v>
      </c>
      <c r="H457" s="41">
        <f>H454</f>
        <v>6.2879005679267097</v>
      </c>
      <c r="I457" s="9"/>
      <c r="J457" s="5"/>
      <c r="K457" s="9"/>
      <c r="N457" s="10"/>
      <c r="O457" s="10"/>
      <c r="P457" s="160"/>
      <c r="Q457" s="40"/>
      <c r="R457" s="10"/>
      <c r="T457" s="10"/>
      <c r="U457" s="10"/>
      <c r="V457" s="10"/>
      <c r="W457" s="10"/>
      <c r="X457" s="10"/>
      <c r="Y457" s="10"/>
      <c r="Z457" s="10"/>
      <c r="AA457" s="10"/>
      <c r="AB457" s="10"/>
      <c r="AC457" s="10"/>
      <c r="AD457" s="10"/>
      <c r="AE457" s="10"/>
      <c r="AF457" s="10"/>
      <c r="AG457" s="10"/>
      <c r="AH457" s="10"/>
      <c r="AI457" s="10"/>
      <c r="AJ457" s="10"/>
    </row>
    <row r="458" spans="1:36" ht="14.25">
      <c r="B458" s="43"/>
      <c r="C458" s="16" t="s">
        <v>2</v>
      </c>
      <c r="D458" s="42">
        <f>D457-F457-H457</f>
        <v>235.74902953605178</v>
      </c>
      <c r="E458" s="42" t="s">
        <v>108</v>
      </c>
      <c r="F458" s="48"/>
      <c r="G458" s="43"/>
      <c r="H458" s="48"/>
      <c r="I458" s="43"/>
      <c r="J458" s="38"/>
      <c r="R458" s="10"/>
    </row>
    <row r="459" spans="1:36" ht="14.25">
      <c r="B459" s="47"/>
      <c r="C459" s="9"/>
      <c r="D459" s="152" t="s">
        <v>254</v>
      </c>
      <c r="J459" s="38"/>
      <c r="R459" s="10"/>
      <c r="U459" s="10"/>
      <c r="V459" s="10"/>
      <c r="W459" s="10"/>
      <c r="X459" s="10"/>
      <c r="Y459" s="10"/>
      <c r="Z459" s="10"/>
      <c r="AA459" s="10"/>
      <c r="AB459" s="10"/>
      <c r="AC459" s="10"/>
      <c r="AD459" s="10"/>
      <c r="AE459" s="10"/>
      <c r="AF459" s="10"/>
      <c r="AG459" s="10"/>
      <c r="AH459" s="10"/>
      <c r="AI459" s="10"/>
      <c r="AJ459" s="10"/>
    </row>
    <row r="460" spans="1:36">
      <c r="B460" s="49"/>
      <c r="C460" s="9"/>
      <c r="J460" s="38"/>
      <c r="R460" s="10"/>
      <c r="U460" s="10"/>
      <c r="V460" s="10"/>
      <c r="W460" s="10"/>
      <c r="X460" s="10"/>
      <c r="Y460" s="10"/>
      <c r="Z460" s="10"/>
      <c r="AA460" s="10"/>
      <c r="AB460" s="10"/>
      <c r="AC460" s="10"/>
      <c r="AD460" s="10"/>
      <c r="AE460" s="10"/>
      <c r="AF460" s="10"/>
      <c r="AG460" s="10"/>
      <c r="AH460" s="10"/>
      <c r="AI460" s="10"/>
      <c r="AJ460" s="10"/>
    </row>
    <row r="461" spans="1:36">
      <c r="B461" s="47" t="s">
        <v>113</v>
      </c>
      <c r="C461" s="9" t="s">
        <v>17</v>
      </c>
      <c r="D461" s="2">
        <f>D448</f>
        <v>3978.6874353053909</v>
      </c>
      <c r="E461" s="9" t="s">
        <v>8</v>
      </c>
      <c r="F461" s="2">
        <f>$J$367</f>
        <v>14.399999999999999</v>
      </c>
      <c r="G461" s="55" t="s">
        <v>106</v>
      </c>
      <c r="H461" s="41">
        <f>$J$113</f>
        <v>79.997204761620168</v>
      </c>
      <c r="I461" s="9" t="s">
        <v>8</v>
      </c>
      <c r="J461" s="2">
        <f>$J$369</f>
        <v>2.8800000000000003</v>
      </c>
      <c r="K461" s="55" t="s">
        <v>106</v>
      </c>
      <c r="L461" s="2">
        <f>H451</f>
        <v>181.09153635628923</v>
      </c>
      <c r="M461" s="9" t="s">
        <v>8</v>
      </c>
      <c r="N461" s="2">
        <f>$J$370</f>
        <v>28.799999999999997</v>
      </c>
      <c r="O461" s="55" t="s">
        <v>15</v>
      </c>
      <c r="R461" s="10"/>
      <c r="T461" s="10"/>
      <c r="U461" s="10"/>
      <c r="V461" s="10"/>
      <c r="W461" s="10"/>
      <c r="X461" s="10"/>
      <c r="Y461" s="10"/>
      <c r="Z461" s="10"/>
      <c r="AA461" s="10"/>
      <c r="AB461" s="10"/>
      <c r="AC461" s="10"/>
      <c r="AD461" s="10"/>
      <c r="AE461" s="10"/>
      <c r="AF461" s="10"/>
      <c r="AG461" s="10"/>
      <c r="AH461" s="10"/>
      <c r="AI461" s="10"/>
      <c r="AJ461" s="10"/>
    </row>
    <row r="462" spans="1:36">
      <c r="B462" s="47"/>
      <c r="C462" s="9" t="s">
        <v>2</v>
      </c>
      <c r="D462" s="41">
        <f>D461/F461</f>
        <v>276.29773856287437</v>
      </c>
      <c r="E462" s="55" t="s">
        <v>105</v>
      </c>
      <c r="F462" s="41">
        <f>H461/J461</f>
        <v>27.776807208895889</v>
      </c>
      <c r="G462" s="55" t="s">
        <v>105</v>
      </c>
      <c r="H462" s="41">
        <f>L461/N461</f>
        <v>6.2879005679267097</v>
      </c>
      <c r="I462" s="9"/>
      <c r="K462" s="9"/>
      <c r="L462" s="5"/>
      <c r="M462" s="9"/>
      <c r="O462" s="9"/>
      <c r="R462" s="10"/>
      <c r="T462" s="10"/>
      <c r="U462" s="10"/>
      <c r="V462" s="10"/>
      <c r="W462" s="10"/>
      <c r="X462" s="10"/>
      <c r="Y462" s="10"/>
      <c r="Z462" s="10"/>
      <c r="AA462" s="10"/>
      <c r="AB462" s="10"/>
      <c r="AC462" s="10"/>
      <c r="AD462" s="10"/>
      <c r="AE462" s="10"/>
      <c r="AF462" s="10"/>
      <c r="AG462" s="10"/>
      <c r="AH462" s="10"/>
      <c r="AI462" s="10"/>
      <c r="AJ462" s="10"/>
    </row>
    <row r="463" spans="1:36" ht="15.75">
      <c r="B463" s="47" t="s">
        <v>109</v>
      </c>
      <c r="C463" s="9" t="s">
        <v>2</v>
      </c>
      <c r="D463" s="41">
        <f>D462</f>
        <v>276.29773856287437</v>
      </c>
      <c r="E463" s="55" t="s">
        <v>7</v>
      </c>
      <c r="F463" s="41">
        <f>F462</f>
        <v>27.776807208895889</v>
      </c>
      <c r="G463" s="55" t="s">
        <v>7</v>
      </c>
      <c r="H463" s="41">
        <f>H462</f>
        <v>6.2879005679267097</v>
      </c>
      <c r="I463" s="9"/>
      <c r="J463" s="5"/>
      <c r="K463" s="9"/>
      <c r="N463" s="10"/>
      <c r="O463" s="10"/>
      <c r="P463" s="160"/>
      <c r="Q463" s="40"/>
      <c r="R463" s="10"/>
      <c r="T463" s="10"/>
      <c r="U463" s="10"/>
      <c r="V463" s="10"/>
      <c r="W463" s="10"/>
      <c r="X463" s="10"/>
      <c r="Y463" s="10"/>
      <c r="Z463" s="10"/>
      <c r="AA463" s="10"/>
      <c r="AB463" s="10"/>
      <c r="AC463" s="10"/>
      <c r="AD463" s="10"/>
      <c r="AE463" s="10"/>
      <c r="AF463" s="10"/>
      <c r="AG463" s="10"/>
      <c r="AH463" s="10"/>
      <c r="AI463" s="10"/>
      <c r="AJ463" s="10"/>
    </row>
    <row r="464" spans="1:36" ht="14.25">
      <c r="B464" s="43"/>
      <c r="C464" s="16" t="s">
        <v>2</v>
      </c>
      <c r="D464" s="42">
        <f>D463+F463+H463</f>
        <v>310.36244633969699</v>
      </c>
      <c r="E464" s="42" t="s">
        <v>108</v>
      </c>
      <c r="F464" s="48"/>
      <c r="G464" s="43"/>
      <c r="H464" s="48"/>
      <c r="I464" s="43"/>
      <c r="J464" s="38"/>
      <c r="R464" s="10"/>
    </row>
    <row r="465" spans="2:36" ht="14.25">
      <c r="B465" s="47"/>
      <c r="C465" s="9"/>
      <c r="D465" s="63" t="s">
        <v>142</v>
      </c>
      <c r="E465" s="9"/>
      <c r="G465" s="9"/>
      <c r="I465" s="9"/>
      <c r="O465" s="9"/>
      <c r="R465" s="10"/>
      <c r="T465" s="10"/>
      <c r="U465" s="10"/>
      <c r="V465" s="10"/>
      <c r="W465" s="10"/>
      <c r="X465" s="10"/>
      <c r="Y465" s="10"/>
      <c r="Z465" s="10"/>
      <c r="AA465" s="10"/>
      <c r="AB465" s="10"/>
      <c r="AC465" s="10"/>
      <c r="AD465" s="10"/>
      <c r="AE465" s="10"/>
      <c r="AF465" s="10"/>
      <c r="AG465" s="10"/>
      <c r="AH465" s="10"/>
      <c r="AI465" s="10"/>
      <c r="AJ465" s="10"/>
    </row>
    <row r="466" spans="2:36" ht="15.75">
      <c r="B466" s="47" t="s">
        <v>110</v>
      </c>
      <c r="C466" s="9" t="s">
        <v>2</v>
      </c>
      <c r="D466" s="41">
        <f>D463</f>
        <v>276.29773856287437</v>
      </c>
      <c r="E466" s="55" t="s">
        <v>16</v>
      </c>
      <c r="F466" s="41">
        <f>F463</f>
        <v>27.776807208895889</v>
      </c>
      <c r="G466" s="55" t="s">
        <v>16</v>
      </c>
      <c r="H466" s="41">
        <f>H463</f>
        <v>6.2879005679267097</v>
      </c>
      <c r="I466" s="9"/>
      <c r="J466" s="5"/>
      <c r="K466" s="9"/>
      <c r="N466" s="10"/>
      <c r="O466" s="10"/>
      <c r="P466" s="160"/>
      <c r="Q466" s="40"/>
      <c r="R466" s="10"/>
      <c r="T466" s="10"/>
      <c r="U466" s="10"/>
      <c r="V466" s="10"/>
      <c r="W466" s="10"/>
      <c r="X466" s="10"/>
      <c r="Y466" s="10"/>
      <c r="Z466" s="10"/>
      <c r="AA466" s="10"/>
      <c r="AB466" s="10"/>
      <c r="AC466" s="10"/>
      <c r="AD466" s="10"/>
      <c r="AE466" s="10"/>
      <c r="AF466" s="10"/>
      <c r="AG466" s="10"/>
      <c r="AH466" s="10"/>
      <c r="AI466" s="10"/>
      <c r="AJ466" s="10"/>
    </row>
    <row r="467" spans="2:36" ht="14.25">
      <c r="B467" s="43"/>
      <c r="C467" s="16" t="s">
        <v>2</v>
      </c>
      <c r="D467" s="42">
        <f>D466-F466-H466</f>
        <v>242.23303078605178</v>
      </c>
      <c r="E467" s="42" t="s">
        <v>108</v>
      </c>
      <c r="F467" s="48"/>
      <c r="G467" s="43"/>
      <c r="H467" s="48"/>
      <c r="I467" s="43"/>
      <c r="J467" s="38"/>
      <c r="R467" s="10"/>
    </row>
    <row r="468" spans="2:36" ht="14.25">
      <c r="B468" s="47"/>
      <c r="C468" s="9"/>
      <c r="D468" s="152" t="s">
        <v>254</v>
      </c>
      <c r="J468" s="38"/>
      <c r="U468" s="10"/>
      <c r="V468" s="10"/>
      <c r="W468" s="10"/>
      <c r="X468" s="10"/>
      <c r="Y468" s="10"/>
      <c r="Z468" s="10"/>
      <c r="AA468" s="10"/>
      <c r="AB468" s="10"/>
      <c r="AC468" s="10"/>
      <c r="AD468" s="10"/>
      <c r="AE468" s="10"/>
      <c r="AF468" s="10"/>
      <c r="AG468" s="10"/>
      <c r="AH468" s="10"/>
      <c r="AI468" s="10"/>
      <c r="AJ468" s="10"/>
    </row>
  </sheetData>
  <mergeCells count="10">
    <mergeCell ref="A1:Q1"/>
    <mergeCell ref="K352:M352"/>
    <mergeCell ref="B160:H160"/>
    <mergeCell ref="B197:H197"/>
    <mergeCell ref="L52:M52"/>
    <mergeCell ref="K305:M305"/>
    <mergeCell ref="K338:M338"/>
    <mergeCell ref="K317:M317"/>
    <mergeCell ref="B78:Q78"/>
    <mergeCell ref="A2:Q2"/>
  </mergeCells>
  <phoneticPr fontId="0" type="noConversion"/>
  <pageMargins left="0.75" right="0.75" top="1" bottom="1" header="0.5" footer="0.5"/>
  <pageSetup paperSize="9" scale="80" fitToHeight="28" orientation="landscape" horizontalDpi="300" verticalDpi="300" r:id="rId1"/>
  <headerFooter>
    <oddFooter>&amp;L&amp;P/{&amp;N}&amp;C&amp;F&amp;R&amp;A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6"/>
  <sheetViews>
    <sheetView workbookViewId="0">
      <selection activeCell="F16" sqref="F16"/>
    </sheetView>
  </sheetViews>
  <sheetFormatPr defaultRowHeight="12.75"/>
  <cols>
    <col min="3" max="3" width="10" bestFit="1" customWidth="1"/>
    <col min="7" max="7" width="9.42578125" bestFit="1" customWidth="1"/>
    <col min="9" max="14" width="9.7109375" customWidth="1"/>
  </cols>
  <sheetData>
    <row r="1" spans="1:16">
      <c r="A1" s="724" t="s">
        <v>354</v>
      </c>
      <c r="B1" s="724"/>
      <c r="C1" s="724"/>
      <c r="D1" s="724"/>
      <c r="E1" s="724"/>
      <c r="F1" s="724"/>
      <c r="G1" s="724"/>
      <c r="H1" s="724"/>
      <c r="I1" s="724"/>
      <c r="J1" s="724"/>
      <c r="K1" s="724"/>
      <c r="L1" s="724"/>
      <c r="M1" s="724"/>
      <c r="N1" s="724"/>
    </row>
    <row r="2" spans="1:16">
      <c r="A2" s="724" t="str">
        <f>'afflux calculation'!A2:H2</f>
        <v>Name Of Work :- Construction of Submersible Bridge on ON KHERWARA - JAWAS - SUVERI ROAD IN KM 9/000, ACROSS RIVER SOM</v>
      </c>
      <c r="B2" s="724"/>
      <c r="C2" s="724"/>
      <c r="D2" s="724"/>
      <c r="E2" s="724"/>
      <c r="F2" s="724"/>
      <c r="G2" s="724"/>
      <c r="H2" s="724"/>
      <c r="I2" s="724"/>
      <c r="J2" s="724"/>
      <c r="K2" s="724"/>
      <c r="L2" s="724"/>
      <c r="M2" s="724"/>
      <c r="N2" s="724"/>
    </row>
    <row r="3" spans="1:16">
      <c r="A3" s="11" t="str">
        <f>'STABILITY CHECK FOR PIER'!B198</f>
        <v>CASE- 1  FOR SERVICE CONDITION AT R. L.91.97 M</v>
      </c>
      <c r="I3" s="43">
        <f>'STABILITY CHECK FOR PIER'!D216</f>
        <v>137.44143632733861</v>
      </c>
      <c r="J3" s="43">
        <f>'STABILITY CHECK FOR PIER'!D219</f>
        <v>60.967239870266283</v>
      </c>
      <c r="K3" s="43">
        <f>'STABILITY CHECK FOR PIER'!D225</f>
        <v>137.48901566944386</v>
      </c>
      <c r="L3" s="43">
        <f>'STABILITY CHECK FOR PIER'!D228</f>
        <v>73.014819212371549</v>
      </c>
      <c r="M3" s="13"/>
      <c r="N3" s="13"/>
    </row>
    <row r="4" spans="1:16">
      <c r="A4" s="11" t="str">
        <f>'STABILITY CHECK FOR PIER'!B231</f>
        <v>CASE- 2  FOR IDLE CONDITION AT R. L.91.97 M</v>
      </c>
      <c r="I4" s="43">
        <f>'STABILITY CHECK FOR PIER'!D242</f>
        <v>87.049548660843314</v>
      </c>
      <c r="J4" s="43">
        <f>'STABILITY CHECK FOR PIER'!D245</f>
        <v>76.786042128630456</v>
      </c>
      <c r="K4" s="43">
        <f>'STABILITY CHECK FOR PIER'!D251</f>
        <v>99.09712800294858</v>
      </c>
      <c r="L4" s="43">
        <f>'STABILITY CHECK FOR PIER'!D254</f>
        <v>88.833621470735721</v>
      </c>
      <c r="M4" s="13"/>
      <c r="N4" s="13"/>
    </row>
    <row r="5" spans="1:16">
      <c r="A5" s="11" t="str">
        <f>'STABILITY CHECK FOR PIER'!B257</f>
        <v>CASE- 3 FOR WIND FORCE AT SERVICE CONDITION AT R. L.91.97 M</v>
      </c>
      <c r="I5" s="43">
        <f>'STABILITY CHECK FOR PIER'!$D270</f>
        <v>138.61351700840871</v>
      </c>
      <c r="J5" s="43">
        <f>'STABILITY CHECK FOR PIER'!$D273</f>
        <v>59.79515918919617</v>
      </c>
      <c r="K5" s="43">
        <f>'STABILITY CHECK FOR PIER'!$D279</f>
        <v>138.66109635051396</v>
      </c>
      <c r="L5" s="43">
        <f>'STABILITY CHECK FOR PIER'!$D282</f>
        <v>71.842738531301436</v>
      </c>
      <c r="M5" s="13"/>
      <c r="N5" s="13"/>
    </row>
    <row r="6" spans="1:16">
      <c r="A6" s="11" t="str">
        <f>'STABILITY CHECK FOR PIER'!B285</f>
        <v>CASE- 4 FOR WIND FORCE AT IDLE CONDITION AT R. L.91.97 M</v>
      </c>
      <c r="I6" s="43">
        <f>'STABILITY CHECK FOR PIER'!$D298</f>
        <v>88.221629341913427</v>
      </c>
      <c r="J6" s="43">
        <f>'STABILITY CHECK FOR PIER'!$D301</f>
        <v>75.613961447560342</v>
      </c>
      <c r="K6" s="43">
        <f>'STABILITY CHECK FOR PIER'!$D304</f>
        <v>83.409029699873912</v>
      </c>
      <c r="L6" s="43">
        <f>'STABILITY CHECK FOR PIER'!$D307</f>
        <v>80.426561089599858</v>
      </c>
      <c r="M6" s="43">
        <f>'STABILITY CHECK FOR PIER'!$D312</f>
        <v>100.26920868401869</v>
      </c>
      <c r="N6" s="43">
        <f>'STABILITY CHECK FOR PIER'!$D315</f>
        <v>87.661540789665608</v>
      </c>
      <c r="O6" s="2"/>
      <c r="P6" s="2"/>
    </row>
    <row r="7" spans="1:16">
      <c r="A7" s="11" t="str">
        <f>'STABILITY CHECK FOR PIER'!B319</f>
        <v>CASE- 5 FOR ONE SPAN DISLODGED CONDITION AT R. L.91.97 M</v>
      </c>
      <c r="I7" s="43">
        <f>'STABILITY CHECK FOR PIER'!$D332</f>
        <v>72.17320828928186</v>
      </c>
      <c r="J7" s="43">
        <f>'STABILITY CHECK FOR PIER'!$D335</f>
        <v>59.565540394928775</v>
      </c>
      <c r="K7" s="43">
        <f>'STABILITY CHECK FOR PIER'!$D337</f>
        <v>67.360608647242344</v>
      </c>
      <c r="L7" s="43">
        <f>'STABILITY CHECK FOR PIER'!$D340</f>
        <v>64.37814003696829</v>
      </c>
      <c r="M7" s="43">
        <f>'STABILITY CHECK FOR PIER'!$D345</f>
        <v>77.916953684210569</v>
      </c>
      <c r="N7" s="43">
        <f>'STABILITY CHECK FOR PIER'!$D349</f>
        <v>74.019419558053784</v>
      </c>
      <c r="O7" s="2"/>
      <c r="P7" s="2"/>
    </row>
    <row r="8" spans="1:16">
      <c r="A8" s="11"/>
      <c r="E8" s="183"/>
      <c r="I8" s="43"/>
      <c r="J8" s="43"/>
      <c r="K8" s="43"/>
      <c r="L8" s="43"/>
      <c r="M8" s="43"/>
      <c r="N8" s="43"/>
      <c r="O8" s="2"/>
      <c r="P8" s="2"/>
    </row>
    <row r="9" spans="1:16" s="1" customFormat="1">
      <c r="A9" s="11"/>
      <c r="C9" s="181" t="s">
        <v>352</v>
      </c>
      <c r="D9" s="182">
        <f>MAX(I3:N7)</f>
        <v>138.66109635051396</v>
      </c>
      <c r="E9" s="184"/>
      <c r="F9" s="182">
        <f>MIN(I3:N7)</f>
        <v>59.565540394928775</v>
      </c>
      <c r="G9" s="181" t="s">
        <v>353</v>
      </c>
      <c r="I9" s="43"/>
      <c r="J9" s="43"/>
      <c r="K9" s="43"/>
      <c r="L9" s="43"/>
      <c r="M9" s="43"/>
      <c r="N9" s="43"/>
      <c r="O9" s="38"/>
      <c r="P9" s="38"/>
    </row>
    <row r="10" spans="1:16">
      <c r="A10" s="11"/>
      <c r="E10" s="183"/>
      <c r="I10" s="43"/>
      <c r="J10" s="43"/>
      <c r="K10" s="43"/>
      <c r="L10" s="43"/>
      <c r="M10" s="43"/>
      <c r="N10" s="43"/>
      <c r="O10" s="2"/>
      <c r="P10" s="2"/>
    </row>
    <row r="11" spans="1:16">
      <c r="A11" s="11" t="str">
        <f>'STABILITY CHECK FOR PIER'!B356</f>
        <v>CASE- 6  FOR SERVICE CONDITION AT R. L.92.97 M</v>
      </c>
      <c r="I11" s="43">
        <f>'STABILITY CHECK FOR PIER'!$D374</f>
        <v>463.22983527259998</v>
      </c>
      <c r="J11" s="43">
        <f>'STABILITY CHECK FOR PIER'!$D377</f>
        <v>76.397639353148747</v>
      </c>
      <c r="K11" s="43">
        <f>'STABILITY CHECK FOR PIER'!$D383</f>
        <v>469.71383652259999</v>
      </c>
      <c r="L11" s="43">
        <f>'STABILITY CHECK FOR PIER'!$D386</f>
        <v>82.881640603148753</v>
      </c>
      <c r="M11" s="43"/>
      <c r="N11" s="43"/>
    </row>
    <row r="12" spans="1:16">
      <c r="A12" s="11" t="str">
        <f>'STABILITY CHECK FOR PIER'!B388</f>
        <v>CASE- 7 FOR IDLE CONDITION AT R. L.92.97 M</v>
      </c>
      <c r="I12" s="43">
        <f>'STABILITY CHECK FOR PIER'!$D399</f>
        <v>245.62750667978557</v>
      </c>
      <c r="J12" s="43">
        <f>'STABILITY CHECK FOR PIER'!$D402</f>
        <v>184.51853082021464</v>
      </c>
      <c r="K12" s="43">
        <f>'STABILITY CHECK FOR PIER'!$D408</f>
        <v>252.11150792978557</v>
      </c>
      <c r="L12" s="43">
        <f>'STABILITY CHECK FOR PIER'!$D411</f>
        <v>191.00253207021464</v>
      </c>
      <c r="M12" s="13"/>
      <c r="N12" s="13"/>
    </row>
    <row r="13" spans="1:16">
      <c r="A13" s="11" t="str">
        <f>'STABILITY CHECK FOR PIER'!B414</f>
        <v>CASE- 8 FOR WIND FORCE AT SERVICE CONDITION AT R. L.92.97 M</v>
      </c>
      <c r="I13" s="43">
        <f>'STABILITY CHECK FOR PIER'!$D427</f>
        <v>466.74005511963708</v>
      </c>
      <c r="J13" s="43">
        <f>'STABILITY CHECK FOR PIER'!$D430</f>
        <v>72.887419506111641</v>
      </c>
      <c r="K13" s="43">
        <f>'STABILITY CHECK FOR PIER'!$D436</f>
        <v>473.22405636963708</v>
      </c>
      <c r="L13" s="43">
        <f>'STABILITY CHECK FOR PIER'!$D439</f>
        <v>79.371420756111647</v>
      </c>
      <c r="M13" s="13"/>
      <c r="N13" s="13"/>
    </row>
    <row r="14" spans="1:16">
      <c r="A14" s="11" t="str">
        <f>'STABILITY CHECK FOR PIER'!B442</f>
        <v>CASE- 9 FOR WIND FORCE AT IDLE CONDITION AT R. L.92.97 M</v>
      </c>
      <c r="I14" s="43">
        <f>'STABILITY CHECK FOR PIER'!$D455</f>
        <v>303.87844508969698</v>
      </c>
      <c r="J14" s="43">
        <f>'STABILITY CHECK FOR PIER'!$D458</f>
        <v>235.74902953605178</v>
      </c>
      <c r="K14" s="43">
        <f>'STABILITY CHECK FOR PIER'!$D464</f>
        <v>310.36244633969699</v>
      </c>
      <c r="L14" s="43">
        <f>'STABILITY CHECK FOR PIER'!$D467</f>
        <v>242.23303078605178</v>
      </c>
      <c r="M14" s="13"/>
      <c r="N14" s="13"/>
    </row>
    <row r="15" spans="1:16">
      <c r="I15" s="105"/>
      <c r="J15" s="105"/>
      <c r="K15" s="105"/>
      <c r="L15" s="105"/>
      <c r="M15" s="105"/>
      <c r="N15" s="105"/>
    </row>
    <row r="16" spans="1:16">
      <c r="C16" s="181" t="s">
        <v>352</v>
      </c>
      <c r="D16" s="182">
        <f>MAX(I11:N14)</f>
        <v>473.22405636963708</v>
      </c>
      <c r="E16" s="184"/>
      <c r="F16" s="182">
        <f>MIN(I11:N14)</f>
        <v>72.887419506111641</v>
      </c>
      <c r="G16" s="181" t="s">
        <v>353</v>
      </c>
    </row>
  </sheetData>
  <mergeCells count="2">
    <mergeCell ref="A1:N1"/>
    <mergeCell ref="A2:N2"/>
  </mergeCells>
  <phoneticPr fontId="16" type="noConversion"/>
  <pageMargins left="0.75" right="0.75" top="1" bottom="1" header="0.5" footer="0.5"/>
  <pageSetup paperSize="9" fitToHeight="28" orientation="landscape" r:id="rId1"/>
  <headerFooter>
    <oddFooter>&amp;L&amp;P/{&amp;N}&amp;C&amp;F&amp;R&amp;A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73"/>
  <sheetViews>
    <sheetView zoomScaleNormal="100" zoomScaleSheetLayoutView="100" workbookViewId="0">
      <selection activeCell="N23" sqref="N23"/>
    </sheetView>
  </sheetViews>
  <sheetFormatPr defaultRowHeight="12.75"/>
  <cols>
    <col min="1" max="1" width="6.7109375" customWidth="1"/>
    <col min="2" max="2" width="34.42578125" customWidth="1"/>
    <col min="3" max="3" width="15.5703125" bestFit="1" customWidth="1"/>
    <col min="4" max="4" width="10" bestFit="1" customWidth="1"/>
    <col min="5" max="5" width="12.5703125" bestFit="1" customWidth="1"/>
    <col min="6" max="6" width="8.28515625" customWidth="1"/>
    <col min="7" max="7" width="7" bestFit="1" customWidth="1"/>
    <col min="8" max="8" width="9.42578125" customWidth="1"/>
    <col min="9" max="9" width="5" bestFit="1" customWidth="1"/>
    <col min="10" max="10" width="7.5703125" bestFit="1" customWidth="1"/>
    <col min="11" max="11" width="2.5703125" bestFit="1" customWidth="1"/>
    <col min="12" max="12" width="7.7109375" bestFit="1" customWidth="1"/>
    <col min="13" max="13" width="2.85546875" bestFit="1" customWidth="1"/>
    <col min="14" max="14" width="7.5703125" bestFit="1" customWidth="1"/>
    <col min="15" max="15" width="2.85546875" bestFit="1" customWidth="1"/>
  </cols>
  <sheetData>
    <row r="1" spans="1:15">
      <c r="A1" s="728" t="s">
        <v>262</v>
      </c>
      <c r="B1" s="728"/>
      <c r="C1" s="728"/>
      <c r="D1" s="728"/>
      <c r="E1" s="728"/>
      <c r="F1" s="728"/>
      <c r="G1" s="728"/>
      <c r="H1" s="728"/>
      <c r="I1" s="728"/>
      <c r="J1" s="728"/>
      <c r="K1" s="728"/>
      <c r="L1" s="728"/>
      <c r="M1" s="728"/>
      <c r="N1" s="728"/>
      <c r="O1" s="728"/>
    </row>
    <row r="2" spans="1:15" ht="22.5" customHeight="1">
      <c r="A2" s="729" t="str">
        <f>'STABILITY CHECK FOR PIER'!A2:Q2</f>
        <v>Name Of Work :- Construction of Submersible Bridge on ON KHERWARA - JAWAS - SUVERI ROAD IN KM 9/000, ACROSS RIVER SOM</v>
      </c>
      <c r="B2" s="729"/>
      <c r="C2" s="729"/>
      <c r="D2" s="729"/>
      <c r="E2" s="729"/>
      <c r="F2" s="729"/>
      <c r="G2" s="729"/>
      <c r="H2" s="729"/>
      <c r="I2" s="729"/>
      <c r="J2" s="729"/>
      <c r="K2" s="729"/>
      <c r="L2" s="729"/>
      <c r="M2" s="729"/>
      <c r="N2" s="729"/>
      <c r="O2" s="729"/>
    </row>
    <row r="3" spans="1:15">
      <c r="A3" s="1"/>
      <c r="B3" s="99" t="s">
        <v>147</v>
      </c>
      <c r="C3" s="43">
        <f>'STABILITY CHECK FOR PIER'!E20+'STABILITY CHECK FOR PIER'!J52</f>
        <v>92.969999999999985</v>
      </c>
      <c r="D3" s="13" t="s">
        <v>148</v>
      </c>
      <c r="E3" s="43">
        <f>C3+0.6</f>
        <v>93.569999999999979</v>
      </c>
      <c r="F3" s="1" t="s">
        <v>29</v>
      </c>
    </row>
    <row r="4" spans="1:15">
      <c r="A4" s="1" t="s">
        <v>149</v>
      </c>
      <c r="H4" s="169"/>
    </row>
    <row r="5" spans="1:15">
      <c r="B5" t="s">
        <v>91</v>
      </c>
    </row>
    <row r="6" spans="1:15">
      <c r="B6" s="2" t="str">
        <f>'STABILITY CHECK FOR PIER'!B201</f>
        <v>SUPER STRUCTURE</v>
      </c>
      <c r="C6" s="2" t="str">
        <f>'STABILITY CHECK FOR PIER'!C201</f>
        <v>=</v>
      </c>
      <c r="D6" s="2">
        <f>'STABILITY CHECK FOR PIER'!D359</f>
        <v>1463.6159999999998</v>
      </c>
      <c r="E6" s="2" t="str">
        <f>'STABILITY CHECK FOR PIER'!E201</f>
        <v>kN</v>
      </c>
      <c r="F6" s="2"/>
    </row>
    <row r="7" spans="1:15">
      <c r="B7" s="2" t="str">
        <f>'STABILITY CHECK FOR PIER'!B202</f>
        <v>SUB STRUCTURE</v>
      </c>
      <c r="C7" s="2" t="str">
        <f>'STABILITY CHECK FOR PIER'!C202</f>
        <v>=</v>
      </c>
      <c r="D7" s="2">
        <f>'STABILITY CHECK FOR PIER'!D360</f>
        <v>1726.8050880000017</v>
      </c>
      <c r="E7" s="2" t="str">
        <f>'STABILITY CHECK FOR PIER'!E202</f>
        <v>kN</v>
      </c>
      <c r="F7" s="2" t="str">
        <f>'STABILITY CHECK FOR PIER'!F202</f>
        <v>Without Buoyancy</v>
      </c>
    </row>
    <row r="8" spans="1:15">
      <c r="B8" s="2" t="str">
        <f>'STABILITY CHECK FOR PIER'!B203</f>
        <v>SUB STRUCTURE</v>
      </c>
      <c r="C8" s="2" t="str">
        <f>'STABILITY CHECK FOR PIER'!C203</f>
        <v>=</v>
      </c>
      <c r="D8" s="2">
        <f>'STABILITY CHECK FOR PIER'!D361</f>
        <v>1633.4354700000017</v>
      </c>
      <c r="E8" s="2" t="str">
        <f>'STABILITY CHECK FOR PIER'!E203</f>
        <v>kN</v>
      </c>
      <c r="F8" s="2" t="str">
        <f>'STABILITY CHECK FOR PIER'!F203</f>
        <v>With Buoyancy</v>
      </c>
    </row>
    <row r="9" spans="1:15">
      <c r="B9" s="2" t="str">
        <f>'STABILITY CHECK FOR PIER'!B204</f>
        <v xml:space="preserve">LIVE LOAD </v>
      </c>
      <c r="C9" s="2" t="str">
        <f>'STABILITY CHECK FOR PIER'!C204</f>
        <v>=</v>
      </c>
      <c r="D9" s="2">
        <f>'STABILITY CHECK FOR PIER'!D362</f>
        <v>788.26634730538922</v>
      </c>
      <c r="E9" s="2" t="str">
        <f>'STABILITY CHECK FOR PIER'!E204</f>
        <v>kN</v>
      </c>
      <c r="F9" s="2"/>
    </row>
    <row r="10" spans="1:15">
      <c r="B10" s="2" t="str">
        <f>'STABILITY CHECK FOR PIER'!B205</f>
        <v>Total Load without Buoyancy</v>
      </c>
      <c r="C10" s="2" t="str">
        <f>'STABILITY CHECK FOR PIER'!C205</f>
        <v>=</v>
      </c>
      <c r="D10" s="2">
        <f>'STABILITY CHECK FOR PIER'!D363</f>
        <v>3978.6874353053909</v>
      </c>
      <c r="E10" s="2" t="str">
        <f>'STABILITY CHECK FOR PIER'!E205</f>
        <v>kN</v>
      </c>
      <c r="F10" s="2"/>
    </row>
    <row r="11" spans="1:15">
      <c r="B11" s="2" t="str">
        <f>'STABILITY CHECK FOR PIER'!B206</f>
        <v>Total Load with Buoyancy</v>
      </c>
      <c r="C11" s="2" t="str">
        <f>'STABILITY CHECK FOR PIER'!C206</f>
        <v>=</v>
      </c>
      <c r="D11" s="2">
        <f>'STABILITY CHECK FOR PIER'!D364</f>
        <v>3885.3178173053902</v>
      </c>
      <c r="E11" s="2" t="str">
        <f>'STABILITY CHECK FOR PIER'!E206</f>
        <v>kN</v>
      </c>
      <c r="F11" s="2"/>
    </row>
    <row r="12" spans="1:15">
      <c r="B12" s="2" t="str">
        <f>'STABILITY CHECK FOR PIER'!B422</f>
        <v>Total LONGITUDINAL MOMENT</v>
      </c>
      <c r="C12" s="2"/>
      <c r="D12" s="2"/>
      <c r="E12" s="2"/>
      <c r="F12" s="2"/>
    </row>
    <row r="13" spans="1:15">
      <c r="B13" s="47" t="s">
        <v>74</v>
      </c>
      <c r="C13" s="2">
        <f>C15</f>
        <v>92.969999999999985</v>
      </c>
      <c r="D13" s="2" t="str">
        <f>D15</f>
        <v>M =</v>
      </c>
      <c r="E13" s="2">
        <f>'STABILITY CHECK FOR PIER'!$J$422</f>
        <v>324.25052212688968</v>
      </c>
      <c r="F13" s="2" t="str">
        <f>'STABILITY CHECK FOR PIER'!K115</f>
        <v>kN-m</v>
      </c>
    </row>
    <row r="14" spans="1:15">
      <c r="B14" s="2" t="str">
        <f>'STABILITY CHECK FOR PIER'!B423</f>
        <v>Total TRANSVERSE MOMENT</v>
      </c>
    </row>
    <row r="15" spans="1:15">
      <c r="B15" s="47" t="s">
        <v>74</v>
      </c>
      <c r="C15" s="2">
        <f>'STABILITY CHECK FOR PIER'!D155</f>
        <v>92.969999999999985</v>
      </c>
      <c r="D15" s="2" t="str">
        <f>'STABILITY CHECK FOR PIER'!E155</f>
        <v>M =</v>
      </c>
      <c r="E15" s="2">
        <f>'STABILITY CHECK FOR PIER'!$J$423</f>
        <v>2428.9727315658702</v>
      </c>
      <c r="F15" s="2" t="str">
        <f>'STABILITY CHECK FOR PIER'!K156</f>
        <v>kN-m</v>
      </c>
      <c r="G15" s="2"/>
      <c r="H15" s="2"/>
      <c r="I15" s="2"/>
    </row>
    <row r="16" spans="1:15">
      <c r="B16" t="str">
        <f>[1]TROUGH!A21</f>
        <v>CONCRETE MIX</v>
      </c>
      <c r="D16" t="s">
        <v>467</v>
      </c>
    </row>
    <row r="17" spans="2:9">
      <c r="B17" t="str">
        <f>[1]TROUGH!A22</f>
        <v>CHARACTERISTIC STRENGTH OF REINFORCEMENT</v>
      </c>
      <c r="F17">
        <f>[1]TROUGH!F22</f>
        <v>415</v>
      </c>
      <c r="G17" t="str">
        <f>[1]TROUGH!G22</f>
        <v>N/mm2</v>
      </c>
    </row>
    <row r="18" spans="2:9">
      <c r="B18" t="str">
        <f>[1]TROUGH!A23</f>
        <v>PERMISSIBLE STRESSES</v>
      </c>
    </row>
    <row r="19" spans="2:9">
      <c r="B19" t="str">
        <f>[1]TROUGH!B24</f>
        <v>IN STEEL</v>
      </c>
      <c r="D19">
        <v>190</v>
      </c>
    </row>
    <row r="20" spans="2:9">
      <c r="B20" s="18" t="str">
        <f>[1]TROUGH!B31</f>
        <v>IN CONCRETE</v>
      </c>
    </row>
    <row r="21" spans="2:9" ht="25.5">
      <c r="B21" s="18" t="s">
        <v>251</v>
      </c>
      <c r="D21" t="s">
        <v>253</v>
      </c>
      <c r="E21" s="2" t="s">
        <v>2</v>
      </c>
      <c r="F21">
        <v>30</v>
      </c>
      <c r="G21" t="s">
        <v>252</v>
      </c>
    </row>
    <row r="22" spans="2:9" ht="25.5">
      <c r="B22" s="18" t="str">
        <f>[1]TROUGH!B32</f>
        <v>Permissible Compressive Stress in Bending</v>
      </c>
      <c r="D22" t="str">
        <f>[1]TROUGH!C32</f>
        <v>σcbc</v>
      </c>
      <c r="E22" s="2" t="str">
        <f>[1]TROUGH!D32</f>
        <v>=</v>
      </c>
      <c r="F22">
        <v>8</v>
      </c>
      <c r="G22" t="str">
        <f>[1]TROUGH!F32</f>
        <v>N/mm2</v>
      </c>
    </row>
    <row r="23" spans="2:9" ht="25.5">
      <c r="B23" s="18" t="str">
        <f>[1]TROUGH!B33</f>
        <v>Permissible Compressive Stress in Direct Compression</v>
      </c>
      <c r="D23" t="str">
        <f>[1]TROUGH!C33</f>
        <v>σcc</v>
      </c>
      <c r="E23" s="2" t="str">
        <f>[1]TROUGH!D33</f>
        <v>=</v>
      </c>
      <c r="F23">
        <f>[1]TROUGH!E33</f>
        <v>8</v>
      </c>
      <c r="G23" t="str">
        <f>[1]TROUGH!F33</f>
        <v>N/mm2</v>
      </c>
    </row>
    <row r="24" spans="2:9">
      <c r="D24" t="str">
        <f>[1]TROUGH!C34</f>
        <v>σct</v>
      </c>
      <c r="E24" s="2" t="str">
        <f>[1]TROUGH!D34</f>
        <v>=</v>
      </c>
      <c r="F24">
        <f>[1]TROUGH!E34</f>
        <v>3.6</v>
      </c>
      <c r="G24" t="str">
        <f>[1]TROUGH!F34</f>
        <v>N/mm2</v>
      </c>
    </row>
    <row r="25" spans="2:9" ht="15.75">
      <c r="B25" t="s">
        <v>246</v>
      </c>
      <c r="C25" s="19" t="s">
        <v>2</v>
      </c>
      <c r="D25">
        <v>1.5</v>
      </c>
      <c r="E25" s="16" t="s">
        <v>244</v>
      </c>
      <c r="F25" s="2">
        <f>D10</f>
        <v>3978.6874353053909</v>
      </c>
      <c r="G25" s="19" t="s">
        <v>2</v>
      </c>
      <c r="H25">
        <f>D25*F25</f>
        <v>5968.0311529580868</v>
      </c>
      <c r="I25" t="s">
        <v>10</v>
      </c>
    </row>
    <row r="26" spans="2:9" ht="15.75">
      <c r="B26" t="s">
        <v>249</v>
      </c>
      <c r="C26" s="19" t="s">
        <v>2</v>
      </c>
      <c r="D26">
        <v>1.5</v>
      </c>
      <c r="E26" s="16" t="s">
        <v>244</v>
      </c>
      <c r="F26" s="2">
        <f>E13</f>
        <v>324.25052212688968</v>
      </c>
      <c r="G26" s="19" t="s">
        <v>2</v>
      </c>
      <c r="H26">
        <f>D26*F26</f>
        <v>486.37578319033452</v>
      </c>
      <c r="I26" t="s">
        <v>5</v>
      </c>
    </row>
    <row r="27" spans="2:9" ht="15.75">
      <c r="B27" t="s">
        <v>250</v>
      </c>
      <c r="C27" s="19" t="s">
        <v>2</v>
      </c>
      <c r="D27">
        <v>1.5</v>
      </c>
      <c r="E27" s="16" t="s">
        <v>244</v>
      </c>
      <c r="F27" s="2">
        <f>E15</f>
        <v>2428.9727315658702</v>
      </c>
      <c r="G27" s="19" t="s">
        <v>2</v>
      </c>
      <c r="H27">
        <f>D27*F27</f>
        <v>3643.4590973488052</v>
      </c>
      <c r="I27" t="s">
        <v>5</v>
      </c>
    </row>
    <row r="28" spans="2:9">
      <c r="B28" t="s">
        <v>169</v>
      </c>
      <c r="F28">
        <v>33.33</v>
      </c>
      <c r="G28" t="s">
        <v>27</v>
      </c>
    </row>
    <row r="29" spans="2:9">
      <c r="B29" t="s">
        <v>170</v>
      </c>
    </row>
    <row r="30" spans="2:9">
      <c r="C30" s="3">
        <f>'STEEL IN PIER'!C30+(2*'STABILITY CHECK FOR PIER'!M63)</f>
        <v>12001.2</v>
      </c>
      <c r="D30" s="19" t="s">
        <v>150</v>
      </c>
      <c r="E30" s="3">
        <f>'STEEL IN PIER'!E30++(2*'STABILITY CHECK FOR PIER'!M63)</f>
        <v>1201.2</v>
      </c>
      <c r="F30" t="s">
        <v>1</v>
      </c>
    </row>
    <row r="31" spans="2:9">
      <c r="C31" s="85" t="s">
        <v>151</v>
      </c>
      <c r="D31">
        <v>75</v>
      </c>
    </row>
    <row r="32" spans="2:9" ht="14.25">
      <c r="B32" t="s">
        <v>152</v>
      </c>
      <c r="C32" s="19" t="s">
        <v>2</v>
      </c>
      <c r="D32">
        <f>D31+C51/2</f>
        <v>87.5</v>
      </c>
      <c r="E32" s="19" t="s">
        <v>8</v>
      </c>
      <c r="F32">
        <f>E30</f>
        <v>1201.2</v>
      </c>
      <c r="G32" s="19" t="s">
        <v>2</v>
      </c>
      <c r="H32" s="86">
        <f>D32/F32</f>
        <v>7.2843822843822847E-2</v>
      </c>
    </row>
    <row r="33" spans="2:13" ht="15.75">
      <c r="B33" t="s">
        <v>245</v>
      </c>
      <c r="C33" s="19" t="s">
        <v>2</v>
      </c>
      <c r="D33" s="2">
        <f>H25</f>
        <v>5968.0311529580868</v>
      </c>
      <c r="E33" s="19" t="s">
        <v>3</v>
      </c>
      <c r="F33">
        <v>1000</v>
      </c>
      <c r="G33" s="19" t="s">
        <v>153</v>
      </c>
      <c r="H33">
        <f>$F$21</f>
        <v>30</v>
      </c>
      <c r="I33" t="s">
        <v>3</v>
      </c>
      <c r="J33">
        <f>$C$30</f>
        <v>12001.2</v>
      </c>
      <c r="K33" s="19" t="s">
        <v>154</v>
      </c>
      <c r="L33">
        <f>$E$30</f>
        <v>1201.2</v>
      </c>
      <c r="M33" s="19" t="s">
        <v>15</v>
      </c>
    </row>
    <row r="34" spans="2:13">
      <c r="C34" s="19" t="s">
        <v>2</v>
      </c>
      <c r="D34" s="87">
        <f>D33*F33/(H33*J33*L33)</f>
        <v>1.3799705871714247E-2</v>
      </c>
    </row>
    <row r="35" spans="2:13">
      <c r="B35" t="s">
        <v>155</v>
      </c>
    </row>
    <row r="36" spans="2:13" ht="15.75">
      <c r="B36" t="s">
        <v>247</v>
      </c>
      <c r="C36" s="19" t="s">
        <v>2</v>
      </c>
      <c r="D36" s="2">
        <f>H26</f>
        <v>486.37578319033452</v>
      </c>
      <c r="E36" t="str">
        <f>E33</f>
        <v>x</v>
      </c>
      <c r="F36">
        <f>$F$33*1000</f>
        <v>1000000</v>
      </c>
      <c r="G36" t="s">
        <v>153</v>
      </c>
      <c r="H36">
        <f>$F$21</f>
        <v>30</v>
      </c>
      <c r="I36" t="s">
        <v>3</v>
      </c>
      <c r="J36">
        <f>$C$30</f>
        <v>12001.2</v>
      </c>
      <c r="K36" s="19" t="s">
        <v>154</v>
      </c>
      <c r="L36">
        <f>$E$30</f>
        <v>1201.2</v>
      </c>
      <c r="M36" s="88" t="s">
        <v>156</v>
      </c>
    </row>
    <row r="37" spans="2:13">
      <c r="C37" s="19" t="s">
        <v>2</v>
      </c>
      <c r="D37" s="87">
        <f>D36*F36/(H36*J36*L36^2)</f>
        <v>9.3625762579650437E-4</v>
      </c>
    </row>
    <row r="38" spans="2:13" s="17" customFormat="1" ht="31.5" customHeight="1">
      <c r="B38" s="727" t="s">
        <v>248</v>
      </c>
      <c r="C38" s="727"/>
      <c r="D38" s="727"/>
      <c r="E38" s="727"/>
      <c r="F38" s="727"/>
      <c r="G38" s="727"/>
      <c r="H38" s="727"/>
      <c r="I38" s="727"/>
      <c r="J38" s="727"/>
      <c r="K38" s="727"/>
      <c r="L38" s="727"/>
    </row>
    <row r="39" spans="2:13" ht="12.75" customHeight="1">
      <c r="B39" s="726" t="s">
        <v>168</v>
      </c>
      <c r="C39" s="726"/>
      <c r="D39" s="726"/>
      <c r="E39" s="726"/>
      <c r="F39" s="726"/>
      <c r="G39" s="726"/>
      <c r="H39" s="726"/>
      <c r="I39" s="726"/>
      <c r="J39" s="726"/>
      <c r="K39" s="726"/>
      <c r="L39" s="726"/>
    </row>
    <row r="40" spans="2:13">
      <c r="B40" t="s">
        <v>157</v>
      </c>
    </row>
    <row r="42" spans="2:13">
      <c r="B42" t="s">
        <v>158</v>
      </c>
      <c r="D42" s="2">
        <f>$D$11</f>
        <v>3885.3178173053902</v>
      </c>
      <c r="E42" s="2" t="str">
        <f>E33</f>
        <v>x</v>
      </c>
      <c r="F42" s="3">
        <f>F33</f>
        <v>1000</v>
      </c>
      <c r="G42" s="19" t="s">
        <v>8</v>
      </c>
      <c r="H42">
        <f>$F$22</f>
        <v>8</v>
      </c>
    </row>
    <row r="43" spans="2:13" ht="14.25">
      <c r="C43" s="19" t="s">
        <v>2</v>
      </c>
      <c r="D43" s="3">
        <f>D42*F42/H42</f>
        <v>485664.72716317378</v>
      </c>
      <c r="E43" s="17" t="s">
        <v>9</v>
      </c>
    </row>
    <row r="44" spans="2:13">
      <c r="B44" t="s">
        <v>159</v>
      </c>
      <c r="C44">
        <f>0.8</f>
        <v>0.8</v>
      </c>
      <c r="D44" s="19" t="s">
        <v>3</v>
      </c>
      <c r="E44" s="3">
        <f>D43</f>
        <v>485664.72716317378</v>
      </c>
      <c r="F44" s="19" t="s">
        <v>8</v>
      </c>
      <c r="G44">
        <v>100</v>
      </c>
    </row>
    <row r="45" spans="2:13" ht="14.25">
      <c r="C45" s="19" t="s">
        <v>2</v>
      </c>
      <c r="D45" s="84">
        <f>C44*E44/100</f>
        <v>3885.3178173053907</v>
      </c>
      <c r="E45" s="89" t="s">
        <v>160</v>
      </c>
    </row>
    <row r="47" spans="2:13">
      <c r="B47" t="s">
        <v>161</v>
      </c>
    </row>
    <row r="48" spans="2:13">
      <c r="B48" t="s">
        <v>162</v>
      </c>
      <c r="C48">
        <v>0.3</v>
      </c>
      <c r="D48" s="19" t="s">
        <v>3</v>
      </c>
      <c r="E48">
        <f>$C$30</f>
        <v>12001.2</v>
      </c>
      <c r="F48" s="19" t="s">
        <v>154</v>
      </c>
      <c r="G48">
        <f>$E$30</f>
        <v>1201.2</v>
      </c>
      <c r="H48" s="19" t="s">
        <v>8</v>
      </c>
      <c r="I48">
        <v>100</v>
      </c>
    </row>
    <row r="49" spans="1:21" ht="14.25">
      <c r="C49" s="19" t="s">
        <v>2</v>
      </c>
      <c r="D49" s="84">
        <f>C48*E48*G48/100</f>
        <v>43247.524319999997</v>
      </c>
      <c r="E49" s="89" t="s">
        <v>160</v>
      </c>
    </row>
    <row r="50" spans="1:21" ht="14.25">
      <c r="B50" t="s">
        <v>163</v>
      </c>
      <c r="C50" s="19" t="s">
        <v>2</v>
      </c>
      <c r="D50" s="11">
        <f>D49</f>
        <v>43247.524319999997</v>
      </c>
      <c r="E50" s="89" t="s">
        <v>160</v>
      </c>
    </row>
    <row r="51" spans="1:21">
      <c r="B51" t="s">
        <v>164</v>
      </c>
      <c r="C51">
        <v>25</v>
      </c>
      <c r="D51" t="s">
        <v>165</v>
      </c>
      <c r="E51" s="19" t="s">
        <v>2</v>
      </c>
      <c r="F51" s="3">
        <f>D50/(0.785*C51^2)</f>
        <v>88.14782027006369</v>
      </c>
      <c r="G51" t="s">
        <v>171</v>
      </c>
    </row>
    <row r="52" spans="1:21">
      <c r="B52" t="s">
        <v>166</v>
      </c>
      <c r="C52" s="19" t="s">
        <v>2</v>
      </c>
      <c r="D52" s="3">
        <f>ROUNDDOWN((2*(E48+G48)/F51),-1)</f>
        <v>290</v>
      </c>
      <c r="E52" t="s">
        <v>12</v>
      </c>
    </row>
    <row r="53" spans="1:21">
      <c r="B53" t="s">
        <v>167</v>
      </c>
    </row>
    <row r="55" spans="1:21" ht="15.75">
      <c r="B55" t="s">
        <v>247</v>
      </c>
      <c r="C55" s="19" t="s">
        <v>2</v>
      </c>
      <c r="D55" s="2">
        <f>H27</f>
        <v>3643.4590973488052</v>
      </c>
      <c r="E55" t="str">
        <f>E36</f>
        <v>x</v>
      </c>
      <c r="F55">
        <f>$F$33*1000</f>
        <v>1000000</v>
      </c>
      <c r="G55" t="str">
        <f>G36</f>
        <v>/ (</v>
      </c>
      <c r="H55">
        <f>$F$21</f>
        <v>30</v>
      </c>
      <c r="I55" t="str">
        <f>I36</f>
        <v>x</v>
      </c>
    </row>
    <row r="56" spans="1:21" ht="14.25">
      <c r="C56" s="19"/>
      <c r="D56" s="2"/>
      <c r="E56">
        <f>$C$30</f>
        <v>12001.2</v>
      </c>
      <c r="F56" s="19" t="s">
        <v>154</v>
      </c>
      <c r="G56">
        <f>$E$30</f>
        <v>1201.2</v>
      </c>
      <c r="H56" s="88" t="s">
        <v>156</v>
      </c>
      <c r="M56" s="88"/>
    </row>
    <row r="57" spans="1:21">
      <c r="C57" s="19" t="s">
        <v>2</v>
      </c>
      <c r="D57" s="87">
        <f>D55*F55/(H55*E56*G56^2)</f>
        <v>7.01354072728483E-3</v>
      </c>
    </row>
    <row r="58" spans="1:21" ht="32.25" customHeight="1">
      <c r="B58" s="727" t="s">
        <v>248</v>
      </c>
      <c r="C58" s="727"/>
      <c r="D58" s="727"/>
      <c r="E58" s="727"/>
      <c r="F58" s="727"/>
      <c r="G58" s="727"/>
      <c r="H58" s="727"/>
      <c r="I58" s="727"/>
      <c r="J58" s="727"/>
      <c r="K58" s="727"/>
      <c r="L58" s="727"/>
      <c r="M58" s="17"/>
      <c r="N58" s="17"/>
      <c r="O58" s="17"/>
    </row>
    <row r="59" spans="1:21" s="90" customFormat="1">
      <c r="B59" s="98" t="s">
        <v>172</v>
      </c>
    </row>
    <row r="60" spans="1:21" s="90" customFormat="1">
      <c r="A60"/>
      <c r="B60" s="20" t="s">
        <v>208</v>
      </c>
      <c r="C60" s="115"/>
      <c r="D60" s="3"/>
      <c r="E60" s="116"/>
      <c r="F60" s="117"/>
      <c r="G60" s="118"/>
      <c r="H60" s="109"/>
      <c r="I60" s="109"/>
      <c r="J60"/>
      <c r="K60"/>
      <c r="L60"/>
      <c r="M60"/>
      <c r="N60"/>
      <c r="O60"/>
      <c r="P60"/>
      <c r="Q60"/>
      <c r="R60"/>
      <c r="S60"/>
      <c r="T60"/>
      <c r="U60"/>
    </row>
    <row r="61" spans="1:21" s="90" customFormat="1">
      <c r="A61"/>
      <c r="B61" s="20"/>
      <c r="C61" s="119">
        <f>E15</f>
        <v>2428.9727315658702</v>
      </c>
      <c r="D61" s="120" t="s">
        <v>8</v>
      </c>
      <c r="E61" s="60">
        <f>102+1.2+0.925/2-91.79</f>
        <v>11.872500000000002</v>
      </c>
      <c r="F61" s="117" t="s">
        <v>2</v>
      </c>
      <c r="G61" s="118">
        <f>C61/E61</f>
        <v>204.58814331993005</v>
      </c>
      <c r="H61" s="109" t="s">
        <v>10</v>
      </c>
      <c r="I61" s="109"/>
      <c r="J61"/>
      <c r="K61"/>
      <c r="L61"/>
      <c r="M61"/>
      <c r="N61"/>
      <c r="O61"/>
      <c r="P61"/>
      <c r="Q61"/>
      <c r="R61"/>
      <c r="S61"/>
      <c r="T61"/>
      <c r="U61"/>
    </row>
    <row r="62" spans="1:21" s="90" customFormat="1">
      <c r="A62" s="121" t="s">
        <v>209</v>
      </c>
      <c r="B62" s="122"/>
      <c r="C62" s="122"/>
      <c r="D62" s="123"/>
      <c r="E62" s="124"/>
      <c r="F62" s="123"/>
      <c r="G62" s="124"/>
      <c r="H62" s="123"/>
      <c r="I62" s="124"/>
      <c r="J62" s="125"/>
      <c r="K62" s="124"/>
      <c r="L62" s="123"/>
      <c r="M62" s="125"/>
      <c r="N62" s="125"/>
      <c r="O62" s="125"/>
      <c r="P62" s="125"/>
      <c r="Q62" s="125"/>
      <c r="R62" s="125"/>
      <c r="S62" s="125"/>
      <c r="T62" s="125"/>
      <c r="U62" s="125"/>
    </row>
    <row r="63" spans="1:21" s="17" customFormat="1">
      <c r="A63" s="122"/>
      <c r="B63" s="126" t="s">
        <v>210</v>
      </c>
      <c r="C63" s="127">
        <f>G61</f>
        <v>204.58814331993005</v>
      </c>
      <c r="D63" s="128" t="s">
        <v>3</v>
      </c>
      <c r="E63" s="124">
        <v>1000</v>
      </c>
      <c r="F63" s="128" t="s">
        <v>153</v>
      </c>
      <c r="G63" s="124">
        <f>E56</f>
        <v>12001.2</v>
      </c>
      <c r="H63" s="128" t="s">
        <v>3</v>
      </c>
      <c r="I63" s="124">
        <f>G56</f>
        <v>1201.2</v>
      </c>
      <c r="J63" s="129" t="s">
        <v>15</v>
      </c>
      <c r="K63" s="124"/>
      <c r="L63" s="123"/>
      <c r="M63" s="125"/>
      <c r="N63" s="125"/>
      <c r="O63" s="125"/>
      <c r="P63" s="125"/>
      <c r="Q63" s="125"/>
      <c r="R63" s="125"/>
      <c r="S63" s="125"/>
      <c r="T63" s="125"/>
      <c r="U63" s="125"/>
    </row>
    <row r="64" spans="1:21" s="90" customFormat="1" ht="14.25">
      <c r="A64" s="125"/>
      <c r="B64" s="122"/>
      <c r="C64" s="130" t="s">
        <v>2</v>
      </c>
      <c r="D64" s="123">
        <f>C63*E63/(G63*I63)</f>
        <v>1.4191897446392144E-2</v>
      </c>
      <c r="E64" s="125" t="s">
        <v>211</v>
      </c>
      <c r="F64" s="123"/>
      <c r="G64" s="124"/>
      <c r="H64" s="123"/>
      <c r="I64" s="124"/>
      <c r="J64" s="125"/>
      <c r="K64" s="124"/>
      <c r="L64" s="123"/>
      <c r="M64" s="125"/>
      <c r="N64" s="125"/>
      <c r="O64" s="125"/>
      <c r="P64" s="125"/>
      <c r="Q64" s="125"/>
      <c r="R64" s="125"/>
      <c r="S64" s="125"/>
      <c r="T64" s="125"/>
      <c r="U64" s="125"/>
    </row>
    <row r="65" spans="1:21" s="90" customFormat="1">
      <c r="A65" s="125"/>
      <c r="B65" s="131" t="s">
        <v>212</v>
      </c>
      <c r="C65" s="123">
        <f>F51*0.785*C51^2/(E56*G56)*100</f>
        <v>0.3</v>
      </c>
      <c r="D65" s="89"/>
      <c r="E65" s="132"/>
      <c r="F65" s="124"/>
      <c r="G65" s="125"/>
      <c r="H65" s="125"/>
      <c r="I65" s="125"/>
      <c r="J65" s="123"/>
      <c r="K65" s="125"/>
      <c r="L65" s="125"/>
      <c r="M65" s="125"/>
      <c r="N65" s="125"/>
      <c r="O65" s="125"/>
      <c r="P65" s="125"/>
      <c r="Q65" s="125"/>
      <c r="R65" s="125"/>
      <c r="S65" s="125"/>
      <c r="T65" s="125"/>
      <c r="U65" s="125"/>
    </row>
    <row r="66" spans="1:21" s="90" customFormat="1" ht="14.25">
      <c r="A66" s="125"/>
      <c r="B66" s="124" t="s">
        <v>213</v>
      </c>
      <c r="C66" s="123">
        <v>0.4</v>
      </c>
      <c r="D66" s="125" t="s">
        <v>211</v>
      </c>
      <c r="E66" s="133" t="s">
        <v>214</v>
      </c>
      <c r="F66" s="133"/>
      <c r="G66" s="125"/>
      <c r="H66" s="125"/>
      <c r="I66" s="125"/>
      <c r="J66" s="123"/>
      <c r="K66" s="125"/>
      <c r="L66" s="125"/>
      <c r="M66" s="125"/>
      <c r="N66" s="125"/>
      <c r="O66" s="125"/>
      <c r="P66" s="125"/>
      <c r="Q66" s="125"/>
      <c r="R66" s="125"/>
      <c r="S66" s="125"/>
      <c r="T66" s="125"/>
      <c r="U66" s="125"/>
    </row>
    <row r="67" spans="1:21" s="90" customFormat="1">
      <c r="A67" s="122"/>
      <c r="B67" s="725" t="s">
        <v>215</v>
      </c>
      <c r="C67" s="725"/>
      <c r="D67" s="725"/>
      <c r="E67" s="134"/>
      <c r="F67" s="83"/>
      <c r="G67" s="125"/>
      <c r="H67" s="125"/>
      <c r="I67" s="125"/>
      <c r="J67" s="123"/>
      <c r="K67" s="125"/>
      <c r="L67" s="125"/>
      <c r="M67" s="125"/>
      <c r="N67" s="125"/>
      <c r="O67" s="125"/>
      <c r="P67" s="125"/>
      <c r="Q67" s="125"/>
      <c r="R67" s="125"/>
      <c r="S67" s="125"/>
      <c r="T67" s="125"/>
      <c r="U67" s="125"/>
    </row>
    <row r="68" spans="1:21" s="90" customFormat="1">
      <c r="B68" s="90" t="s">
        <v>173</v>
      </c>
    </row>
    <row r="69" spans="1:21" ht="14.25">
      <c r="A69" s="90"/>
      <c r="B69" s="90" t="s">
        <v>174</v>
      </c>
      <c r="C69" s="91" t="s">
        <v>2</v>
      </c>
      <c r="D69" s="96">
        <f>C51</f>
        <v>25</v>
      </c>
      <c r="E69" s="91" t="s">
        <v>8</v>
      </c>
      <c r="F69" s="90">
        <v>4</v>
      </c>
      <c r="G69" s="91" t="s">
        <v>2</v>
      </c>
      <c r="H69" s="90">
        <f>D69/F69</f>
        <v>6.25</v>
      </c>
      <c r="I69" s="90" t="s">
        <v>1</v>
      </c>
      <c r="J69" s="90"/>
      <c r="K69" s="90"/>
      <c r="L69" s="90"/>
      <c r="M69" s="93"/>
      <c r="N69" s="90"/>
      <c r="O69" s="90"/>
      <c r="P69" s="90"/>
      <c r="Q69" s="90"/>
      <c r="R69" s="90"/>
      <c r="S69" s="90"/>
      <c r="T69" s="90"/>
      <c r="U69" s="90"/>
    </row>
    <row r="70" spans="1:21">
      <c r="A70" s="90"/>
      <c r="B70" s="7" t="s">
        <v>175</v>
      </c>
      <c r="C70" s="91">
        <v>12</v>
      </c>
      <c r="D70" s="94" t="s">
        <v>176</v>
      </c>
      <c r="E70" s="90"/>
      <c r="F70" s="90"/>
      <c r="G70" s="90"/>
      <c r="H70" s="90"/>
      <c r="I70" s="90"/>
      <c r="J70" s="90"/>
      <c r="K70" s="90"/>
      <c r="L70" s="90"/>
      <c r="M70" s="90"/>
      <c r="N70" s="90"/>
      <c r="O70" s="90"/>
      <c r="P70" s="90"/>
      <c r="Q70" s="90"/>
      <c r="R70" s="90"/>
      <c r="S70" s="90"/>
      <c r="T70" s="90"/>
      <c r="U70" s="90"/>
    </row>
    <row r="71" spans="1:21">
      <c r="A71" s="17"/>
      <c r="B71" s="17" t="s">
        <v>177</v>
      </c>
      <c r="C71" s="17"/>
      <c r="D71" s="17"/>
      <c r="E71" s="17"/>
      <c r="F71" s="17"/>
      <c r="G71" s="17"/>
      <c r="H71" s="17"/>
      <c r="I71" s="17"/>
      <c r="J71" s="17"/>
      <c r="K71" s="17"/>
      <c r="L71" s="17"/>
      <c r="M71" s="17"/>
      <c r="N71" s="17"/>
      <c r="O71" s="17"/>
      <c r="P71" s="17"/>
      <c r="Q71" s="17"/>
      <c r="R71" s="17"/>
      <c r="S71" s="17"/>
      <c r="T71" s="17"/>
      <c r="U71" s="17"/>
    </row>
    <row r="72" spans="1:21">
      <c r="A72" s="90"/>
      <c r="B72" s="20" t="s">
        <v>178</v>
      </c>
      <c r="C72">
        <f>I63</f>
        <v>1201.2</v>
      </c>
      <c r="D72" s="17" t="s">
        <v>1</v>
      </c>
      <c r="E72" s="17"/>
      <c r="F72" s="17"/>
      <c r="G72" s="17"/>
      <c r="H72" s="17"/>
      <c r="I72" s="17"/>
      <c r="J72" s="17"/>
      <c r="K72" s="17"/>
      <c r="L72" s="17"/>
      <c r="M72" s="90"/>
      <c r="N72" s="90"/>
      <c r="O72" s="90"/>
      <c r="P72" s="90"/>
      <c r="Q72" s="90"/>
      <c r="R72" s="90"/>
      <c r="S72" s="90"/>
      <c r="T72" s="90"/>
      <c r="U72" s="90"/>
    </row>
    <row r="73" spans="1:21" s="90" customFormat="1">
      <c r="B73" s="6" t="s">
        <v>179</v>
      </c>
      <c r="C73" s="90">
        <v>12</v>
      </c>
      <c r="D73" s="95" t="s">
        <v>3</v>
      </c>
      <c r="E73" s="96">
        <f>C70</f>
        <v>12</v>
      </c>
      <c r="F73" s="95" t="s">
        <v>2</v>
      </c>
      <c r="G73" s="96">
        <f>C73*E73</f>
        <v>144</v>
      </c>
      <c r="H73" s="96" t="s">
        <v>1</v>
      </c>
      <c r="I73" s="96"/>
      <c r="J73" s="96"/>
      <c r="K73" s="96"/>
      <c r="L73" s="96"/>
      <c r="M73" s="96"/>
      <c r="N73" s="96"/>
      <c r="O73" s="92"/>
    </row>
    <row r="74" spans="1:21" s="90" customFormat="1">
      <c r="B74" s="6" t="s">
        <v>180</v>
      </c>
      <c r="C74" s="91">
        <v>300</v>
      </c>
      <c r="D74" s="94" t="s">
        <v>1</v>
      </c>
      <c r="E74" s="92"/>
      <c r="F74" s="92"/>
      <c r="G74" s="92"/>
      <c r="H74" s="92"/>
      <c r="I74" s="92"/>
      <c r="J74" s="92"/>
      <c r="K74" s="92"/>
      <c r="L74" s="92"/>
      <c r="M74" s="92"/>
    </row>
    <row r="75" spans="1:21" s="90" customFormat="1">
      <c r="B75" s="135" t="s">
        <v>216</v>
      </c>
      <c r="C75" s="135" t="s">
        <v>217</v>
      </c>
      <c r="D75" s="96">
        <v>100</v>
      </c>
      <c r="E75" s="92" t="s">
        <v>1</v>
      </c>
      <c r="F75" s="92"/>
      <c r="G75" s="92"/>
      <c r="H75" s="92"/>
      <c r="I75" s="92"/>
      <c r="J75" s="92"/>
      <c r="K75" s="92"/>
      <c r="L75" s="92"/>
      <c r="M75" s="92"/>
    </row>
    <row r="76" spans="1:21" s="90" customFormat="1" ht="14.25">
      <c r="B76" s="7" t="s">
        <v>175</v>
      </c>
      <c r="C76" s="90">
        <f>C70</f>
        <v>12</v>
      </c>
      <c r="D76" s="94" t="s">
        <v>183</v>
      </c>
      <c r="E76" s="92"/>
      <c r="F76" s="96">
        <v>100</v>
      </c>
      <c r="G76" s="90" t="s">
        <v>181</v>
      </c>
      <c r="J76" s="96"/>
      <c r="K76" s="96"/>
      <c r="L76" s="96"/>
      <c r="M76" s="96"/>
      <c r="N76" s="96"/>
      <c r="O76" s="93"/>
    </row>
    <row r="77" spans="1:21" s="90" customFormat="1">
      <c r="A77" s="132"/>
      <c r="B77" s="136" t="s">
        <v>218</v>
      </c>
      <c r="C77" s="123"/>
      <c r="D77" s="123"/>
      <c r="E77" s="123"/>
      <c r="F77" s="123"/>
      <c r="G77" s="123"/>
      <c r="H77" s="11"/>
      <c r="I77" s="123"/>
      <c r="J77" s="123"/>
      <c r="K77" s="123"/>
      <c r="L77" s="123"/>
      <c r="M77" s="123"/>
      <c r="N77" s="123"/>
      <c r="O77" s="123"/>
      <c r="P77" s="137"/>
      <c r="Q77" s="137"/>
      <c r="R77" s="123"/>
      <c r="S77" s="123"/>
      <c r="T77" s="123"/>
      <c r="U77" s="123"/>
    </row>
    <row r="78" spans="1:21" s="90" customFormat="1">
      <c r="A78" s="132"/>
      <c r="B78" s="138" t="s">
        <v>235</v>
      </c>
      <c r="C78" s="123"/>
      <c r="D78" s="123"/>
      <c r="E78" s="123"/>
      <c r="F78" s="123"/>
      <c r="G78" s="123"/>
      <c r="H78" s="11"/>
      <c r="I78" s="123"/>
      <c r="J78" s="123"/>
      <c r="K78" s="123"/>
      <c r="L78" s="123"/>
      <c r="M78" s="123"/>
      <c r="N78" s="123"/>
      <c r="O78" s="123"/>
      <c r="P78" s="137"/>
      <c r="Q78" s="137"/>
      <c r="R78" s="123"/>
      <c r="S78" s="123"/>
      <c r="T78" s="123"/>
      <c r="U78" s="123"/>
    </row>
    <row r="79" spans="1:21" s="90" customFormat="1">
      <c r="A79" s="132"/>
      <c r="B79" s="139" t="s">
        <v>220</v>
      </c>
      <c r="C79" s="123"/>
      <c r="D79" s="139" t="s">
        <v>221</v>
      </c>
      <c r="E79" s="123"/>
      <c r="F79" s="123"/>
      <c r="G79" s="123"/>
      <c r="H79" s="11"/>
      <c r="I79" s="123"/>
      <c r="J79" s="123"/>
      <c r="K79" s="123"/>
      <c r="L79" s="123"/>
      <c r="M79" s="123"/>
      <c r="N79" s="123"/>
      <c r="O79" s="123"/>
      <c r="P79" s="137"/>
      <c r="Q79" s="137"/>
      <c r="R79" s="123"/>
      <c r="S79" s="123"/>
      <c r="T79" s="123"/>
      <c r="U79" s="123"/>
    </row>
    <row r="80" spans="1:21" s="90" customFormat="1">
      <c r="A80" s="132"/>
      <c r="B80" s="123"/>
      <c r="C80" s="123" t="s">
        <v>222</v>
      </c>
      <c r="D80" s="123"/>
      <c r="E80" s="123"/>
      <c r="F80" s="123"/>
      <c r="G80" s="123"/>
      <c r="H80" s="11"/>
      <c r="I80" s="123"/>
      <c r="J80" s="123"/>
      <c r="K80" s="123"/>
      <c r="L80" s="123"/>
      <c r="M80" s="123"/>
      <c r="N80" s="123"/>
      <c r="O80" s="123"/>
      <c r="P80" s="137"/>
      <c r="Q80" s="137"/>
      <c r="R80" s="123"/>
      <c r="S80" s="123"/>
      <c r="T80" s="123"/>
      <c r="U80" s="123"/>
    </row>
    <row r="81" spans="1:21" s="90" customFormat="1">
      <c r="A81" s="132"/>
      <c r="B81" s="140" t="s">
        <v>223</v>
      </c>
      <c r="C81" s="141" t="s">
        <v>2</v>
      </c>
      <c r="D81" s="142">
        <f>F76</f>
        <v>100</v>
      </c>
      <c r="E81" s="123" t="s">
        <v>1</v>
      </c>
      <c r="F81" s="123"/>
      <c r="G81" s="123"/>
      <c r="H81" s="11"/>
      <c r="I81" s="123"/>
      <c r="J81" s="123"/>
      <c r="K81" s="123"/>
      <c r="L81" s="123"/>
      <c r="M81" s="123"/>
      <c r="N81" s="123"/>
      <c r="O81" s="123"/>
      <c r="P81" s="137"/>
      <c r="Q81" s="137"/>
      <c r="R81" s="123"/>
      <c r="S81" s="123"/>
      <c r="T81" s="123"/>
      <c r="U81" s="123"/>
    </row>
    <row r="82" spans="1:21" s="90" customFormat="1" ht="14.25">
      <c r="A82" s="132"/>
      <c r="B82" s="140" t="s">
        <v>224</v>
      </c>
      <c r="C82" s="141" t="s">
        <v>2</v>
      </c>
      <c r="D82" s="142">
        <v>300</v>
      </c>
      <c r="E82" s="123" t="s">
        <v>211</v>
      </c>
      <c r="F82" s="123" t="s">
        <v>225</v>
      </c>
      <c r="G82" s="123"/>
      <c r="H82" s="11"/>
      <c r="I82" s="123"/>
      <c r="J82" s="123"/>
      <c r="K82" s="123"/>
      <c r="L82" s="123"/>
      <c r="M82" s="123"/>
      <c r="N82" s="123"/>
      <c r="O82" s="123"/>
      <c r="P82" s="137"/>
      <c r="Q82" s="137"/>
      <c r="R82" s="123"/>
      <c r="S82" s="123"/>
      <c r="T82" s="123"/>
      <c r="U82" s="123"/>
    </row>
    <row r="83" spans="1:21" s="90" customFormat="1" ht="14.25">
      <c r="A83" s="132"/>
      <c r="B83" s="140" t="s">
        <v>226</v>
      </c>
      <c r="C83" s="141" t="s">
        <v>2</v>
      </c>
      <c r="D83" s="142">
        <v>30</v>
      </c>
      <c r="E83" s="123" t="s">
        <v>211</v>
      </c>
      <c r="F83" s="123"/>
      <c r="G83" s="123"/>
      <c r="H83" s="11" t="s">
        <v>227</v>
      </c>
      <c r="I83" s="123"/>
      <c r="J83" s="123"/>
      <c r="K83" s="123"/>
      <c r="L83" s="123"/>
      <c r="M83" s="123"/>
      <c r="N83" s="123"/>
      <c r="O83" s="123"/>
      <c r="P83" s="137"/>
      <c r="Q83" s="137"/>
      <c r="R83" s="123"/>
      <c r="S83" s="123"/>
      <c r="T83" s="123"/>
      <c r="U83" s="123"/>
    </row>
    <row r="84" spans="1:21" s="90" customFormat="1" ht="14.25">
      <c r="A84" s="132"/>
      <c r="B84" s="143" t="s">
        <v>228</v>
      </c>
      <c r="C84" s="141" t="s">
        <v>2</v>
      </c>
      <c r="D84" s="142">
        <v>415</v>
      </c>
      <c r="E84" s="123" t="s">
        <v>211</v>
      </c>
      <c r="F84" s="123"/>
      <c r="G84" s="123"/>
      <c r="H84" s="11"/>
      <c r="I84" s="123"/>
      <c r="J84" s="123"/>
      <c r="K84" s="123"/>
      <c r="L84" s="123"/>
      <c r="M84" s="123"/>
      <c r="N84" s="123"/>
      <c r="O84" s="123"/>
      <c r="P84" s="137"/>
      <c r="Q84" s="137"/>
      <c r="R84" s="123"/>
      <c r="S84" s="123"/>
      <c r="T84" s="123"/>
      <c r="U84" s="123"/>
    </row>
    <row r="85" spans="1:21" s="90" customFormat="1" ht="14.25">
      <c r="A85" s="132"/>
      <c r="B85" s="140" t="s">
        <v>229</v>
      </c>
      <c r="C85" s="141" t="s">
        <v>2</v>
      </c>
      <c r="D85" s="142">
        <f>G48*1</f>
        <v>1201.2</v>
      </c>
      <c r="E85" s="144" t="s">
        <v>9</v>
      </c>
      <c r="F85" s="144" t="s">
        <v>230</v>
      </c>
      <c r="G85" s="123"/>
      <c r="H85" s="11"/>
      <c r="I85" s="123"/>
      <c r="J85" s="123"/>
      <c r="K85" s="123"/>
      <c r="L85" s="123"/>
      <c r="M85" s="123"/>
      <c r="N85" s="123"/>
      <c r="O85" s="123"/>
      <c r="P85" s="137"/>
      <c r="Q85" s="137"/>
      <c r="R85" s="123"/>
      <c r="S85" s="123"/>
      <c r="T85" s="123"/>
      <c r="U85" s="123"/>
    </row>
    <row r="86" spans="1:21" s="90" customFormat="1" ht="14.25">
      <c r="A86" s="132"/>
      <c r="B86" s="140" t="s">
        <v>231</v>
      </c>
      <c r="C86" s="141" t="s">
        <v>2</v>
      </c>
      <c r="D86" s="142">
        <f>D85-2*(75-C51/2-C76)</f>
        <v>1100.2</v>
      </c>
      <c r="E86" s="144" t="s">
        <v>9</v>
      </c>
      <c r="F86" s="144" t="s">
        <v>232</v>
      </c>
      <c r="G86" s="123"/>
      <c r="H86" s="11"/>
      <c r="I86" s="123"/>
      <c r="J86" s="123"/>
      <c r="K86" s="123"/>
      <c r="L86" s="123"/>
      <c r="M86" s="123"/>
      <c r="N86" s="123"/>
      <c r="O86" s="123"/>
      <c r="P86" s="137"/>
      <c r="Q86" s="137"/>
      <c r="R86" s="123"/>
      <c r="S86" s="123"/>
      <c r="T86" s="123"/>
      <c r="U86" s="123"/>
    </row>
    <row r="87" spans="1:21" s="90" customFormat="1" ht="14.25">
      <c r="A87" s="132"/>
      <c r="B87" s="143" t="s">
        <v>233</v>
      </c>
      <c r="C87" s="141" t="s">
        <v>2</v>
      </c>
      <c r="D87" s="142">
        <f>0.18*D81*D82*(D83/D84)*(D85/D86-1)</f>
        <v>35.835762610522053</v>
      </c>
      <c r="E87" s="144" t="s">
        <v>9</v>
      </c>
      <c r="F87" s="144"/>
      <c r="G87" s="123"/>
      <c r="H87" s="11"/>
      <c r="I87" s="123"/>
      <c r="J87" s="123"/>
      <c r="K87" s="123"/>
      <c r="L87" s="123"/>
      <c r="M87" s="123"/>
      <c r="N87" s="123"/>
      <c r="O87" s="123"/>
      <c r="P87" s="137"/>
      <c r="Q87" s="137"/>
      <c r="R87" s="123"/>
      <c r="S87" s="123"/>
      <c r="T87" s="123"/>
      <c r="U87" s="123"/>
    </row>
    <row r="88" spans="1:21" s="90" customFormat="1" ht="14.25">
      <c r="A88" s="132"/>
      <c r="B88" s="143" t="s">
        <v>236</v>
      </c>
      <c r="C88" s="141" t="s">
        <v>2</v>
      </c>
      <c r="D88" s="142">
        <f>0.785*C76^2</f>
        <v>113.04</v>
      </c>
      <c r="E88" s="144" t="s">
        <v>9</v>
      </c>
      <c r="F88" s="142" t="s">
        <v>234</v>
      </c>
      <c r="G88" s="123"/>
      <c r="H88" s="11"/>
      <c r="I88" s="123"/>
      <c r="J88" s="123"/>
      <c r="K88" s="123"/>
      <c r="L88" s="123"/>
      <c r="M88" s="123"/>
      <c r="N88" s="123"/>
      <c r="O88" s="123"/>
      <c r="P88" s="137"/>
      <c r="Q88" s="137"/>
      <c r="R88" s="123"/>
      <c r="S88" s="123"/>
      <c r="T88" s="123"/>
      <c r="U88" s="123"/>
    </row>
    <row r="89" spans="1:21" s="90" customFormat="1">
      <c r="B89" s="135" t="s">
        <v>216</v>
      </c>
      <c r="C89" s="135" t="s">
        <v>217</v>
      </c>
      <c r="D89" s="96">
        <v>100</v>
      </c>
      <c r="E89" s="92" t="s">
        <v>1</v>
      </c>
      <c r="F89" s="92"/>
      <c r="G89" s="92"/>
      <c r="H89" s="92"/>
      <c r="I89" s="92"/>
      <c r="J89" s="92"/>
      <c r="K89" s="92"/>
      <c r="L89" s="92"/>
      <c r="M89" s="92"/>
    </row>
    <row r="90" spans="1:21" s="90" customFormat="1" ht="14.25">
      <c r="B90" s="7" t="s">
        <v>175</v>
      </c>
      <c r="C90" s="90">
        <f>C70</f>
        <v>12</v>
      </c>
      <c r="D90" s="94" t="s">
        <v>183</v>
      </c>
      <c r="E90" s="92"/>
      <c r="F90" s="96">
        <v>100</v>
      </c>
      <c r="G90" s="90" t="s">
        <v>181</v>
      </c>
      <c r="J90" s="96"/>
      <c r="K90" s="96"/>
      <c r="L90" s="96"/>
      <c r="M90" s="96"/>
      <c r="N90" s="96"/>
      <c r="O90" s="93"/>
    </row>
    <row r="91" spans="1:21" s="90" customFormat="1">
      <c r="A91" s="132"/>
      <c r="B91" s="136" t="s">
        <v>218</v>
      </c>
      <c r="C91" s="123"/>
      <c r="D91" s="123"/>
      <c r="E91" s="123"/>
      <c r="F91" s="123"/>
      <c r="G91" s="123"/>
      <c r="H91" s="11"/>
      <c r="I91" s="123"/>
      <c r="J91" s="123"/>
      <c r="K91" s="123"/>
      <c r="L91" s="123"/>
      <c r="M91" s="123"/>
      <c r="N91" s="123"/>
      <c r="O91" s="123"/>
      <c r="P91" s="137"/>
      <c r="Q91" s="137"/>
      <c r="R91" s="123"/>
      <c r="S91" s="123"/>
      <c r="T91" s="123"/>
      <c r="U91" s="123"/>
    </row>
    <row r="92" spans="1:21" s="90" customFormat="1">
      <c r="A92" s="132"/>
      <c r="B92" s="138" t="s">
        <v>219</v>
      </c>
      <c r="C92" s="123"/>
      <c r="D92" s="123"/>
      <c r="E92" s="123"/>
      <c r="F92" s="123"/>
      <c r="G92" s="123"/>
      <c r="H92" s="11"/>
      <c r="I92" s="123"/>
      <c r="J92" s="123"/>
      <c r="K92" s="123"/>
      <c r="L92" s="123"/>
      <c r="M92" s="123"/>
      <c r="N92" s="123"/>
      <c r="O92" s="123"/>
      <c r="P92" s="137"/>
      <c r="Q92" s="137"/>
      <c r="R92" s="123"/>
      <c r="S92" s="123"/>
      <c r="T92" s="123"/>
      <c r="U92" s="123"/>
    </row>
    <row r="93" spans="1:21" s="90" customFormat="1">
      <c r="A93"/>
      <c r="B93" s="1" t="s">
        <v>11</v>
      </c>
      <c r="C93"/>
      <c r="D93"/>
      <c r="E93"/>
      <c r="F93"/>
      <c r="G93"/>
      <c r="H93"/>
      <c r="I93"/>
      <c r="J93" s="2"/>
      <c r="K93"/>
      <c r="L93"/>
      <c r="M93"/>
      <c r="N93"/>
      <c r="O93"/>
      <c r="P93"/>
      <c r="Q93"/>
      <c r="R93"/>
      <c r="S93"/>
      <c r="T93"/>
      <c r="U93"/>
    </row>
    <row r="94" spans="1:21" s="90" customFormat="1">
      <c r="A94"/>
      <c r="B94" s="1" t="s">
        <v>182</v>
      </c>
      <c r="C94" s="15">
        <f>C51</f>
        <v>25</v>
      </c>
      <c r="D94" s="145" t="s">
        <v>165</v>
      </c>
      <c r="E94" s="15">
        <f>D52</f>
        <v>290</v>
      </c>
      <c r="F94" s="15" t="s">
        <v>12</v>
      </c>
      <c r="G94" s="203" t="s">
        <v>462</v>
      </c>
      <c r="H94" s="97"/>
      <c r="I94" s="1"/>
      <c r="J94" s="38"/>
      <c r="K94"/>
      <c r="L94"/>
      <c r="M94"/>
      <c r="N94"/>
      <c r="O94"/>
      <c r="P94"/>
      <c r="Q94"/>
      <c r="R94"/>
      <c r="S94"/>
      <c r="T94"/>
      <c r="U94"/>
    </row>
    <row r="95" spans="1:21" s="90" customFormat="1">
      <c r="A95"/>
      <c r="B95" s="1" t="s">
        <v>172</v>
      </c>
      <c r="C95" s="83" t="str">
        <f>CONCATENATE("   ",C90,D90,F90,G90)</f>
        <v xml:space="preserve">   12mm dia rings @100mm c/c.</v>
      </c>
      <c r="D95" s="1"/>
      <c r="E95" s="14"/>
      <c r="F95" s="12"/>
      <c r="G95"/>
      <c r="H95"/>
      <c r="I95"/>
      <c r="J95" s="2"/>
      <c r="K95"/>
      <c r="L95"/>
      <c r="M95"/>
      <c r="N95"/>
      <c r="O95"/>
      <c r="P95"/>
      <c r="Q95"/>
      <c r="R95"/>
      <c r="S95"/>
      <c r="T95"/>
      <c r="U95"/>
    </row>
    <row r="96" spans="1:21" s="90" customFormat="1">
      <c r="B96" s="17"/>
      <c r="C96" s="17"/>
      <c r="D96" s="17"/>
      <c r="E96" s="17"/>
      <c r="F96" s="17"/>
      <c r="G96" s="17"/>
      <c r="H96" s="17"/>
      <c r="I96" s="17"/>
      <c r="J96" s="17"/>
      <c r="K96" s="17"/>
      <c r="L96" s="17"/>
    </row>
    <row r="97" spans="2:15" s="90" customFormat="1">
      <c r="C97" s="91"/>
      <c r="D97" s="84"/>
      <c r="E97" s="89"/>
    </row>
    <row r="98" spans="2:15" s="90" customFormat="1"/>
    <row r="99" spans="2:15" s="90" customFormat="1"/>
    <row r="100" spans="2:15" s="90" customFormat="1">
      <c r="D100" s="91"/>
      <c r="F100" s="91"/>
      <c r="H100" s="91"/>
    </row>
    <row r="101" spans="2:15" s="90" customFormat="1">
      <c r="C101" s="91"/>
      <c r="D101" s="84"/>
      <c r="E101" s="89"/>
    </row>
    <row r="102" spans="2:15" s="90" customFormat="1">
      <c r="C102" s="91"/>
      <c r="D102" s="97"/>
      <c r="E102" s="89"/>
    </row>
    <row r="103" spans="2:15" s="90" customFormat="1"/>
    <row r="104" spans="2:15" s="90" customFormat="1">
      <c r="C104" s="91"/>
      <c r="D104" s="92"/>
    </row>
    <row r="105" spans="2:15" s="90" customFormat="1">
      <c r="C105" s="91"/>
      <c r="D105" s="96"/>
    </row>
    <row r="106" spans="2:15" s="90" customFormat="1"/>
    <row r="107" spans="2:15" s="90" customFormat="1"/>
    <row r="108" spans="2:15" s="90" customFormat="1">
      <c r="C108" s="91"/>
      <c r="D108" s="92"/>
    </row>
    <row r="109" spans="2:15" s="90" customFormat="1" ht="14.25">
      <c r="C109" s="91"/>
      <c r="D109" s="92"/>
      <c r="H109" s="93"/>
      <c r="M109" s="93"/>
    </row>
    <row r="110" spans="2:15" s="90" customFormat="1">
      <c r="C110" s="91"/>
      <c r="D110" s="94"/>
    </row>
    <row r="111" spans="2:15" s="90" customFormat="1">
      <c r="B111" s="17"/>
      <c r="C111" s="17"/>
      <c r="D111" s="17"/>
      <c r="E111" s="17"/>
      <c r="F111" s="17"/>
      <c r="G111" s="17"/>
      <c r="H111" s="17"/>
      <c r="I111" s="17"/>
      <c r="J111" s="17"/>
      <c r="K111" s="17"/>
      <c r="L111" s="17"/>
      <c r="M111" s="17"/>
      <c r="N111" s="17"/>
      <c r="O111" s="17"/>
    </row>
    <row r="112" spans="2:15" s="90" customFormat="1">
      <c r="B112" s="17"/>
      <c r="C112" s="17"/>
      <c r="D112" s="17"/>
      <c r="E112" s="17"/>
      <c r="F112" s="17"/>
      <c r="G112" s="17"/>
      <c r="H112" s="17"/>
      <c r="I112" s="17"/>
      <c r="J112" s="17"/>
      <c r="K112" s="17"/>
      <c r="L112" s="17"/>
    </row>
    <row r="113" spans="2:15" s="90" customFormat="1">
      <c r="D113" s="92"/>
      <c r="E113" s="95"/>
      <c r="F113" s="92"/>
      <c r="G113" s="92"/>
      <c r="H113" s="92"/>
      <c r="I113" s="92"/>
    </row>
    <row r="114" spans="2:15" s="90" customFormat="1">
      <c r="D114" s="96"/>
      <c r="E114" s="96"/>
      <c r="F114" s="96"/>
      <c r="G114" s="96"/>
      <c r="H114" s="96"/>
      <c r="I114" s="92"/>
      <c r="K114" s="92"/>
      <c r="L114" s="92"/>
      <c r="M114" s="92"/>
      <c r="N114" s="92"/>
      <c r="O114" s="92"/>
    </row>
    <row r="115" spans="2:15" s="90" customFormat="1">
      <c r="C115" s="91"/>
      <c r="D115" s="94"/>
      <c r="E115" s="92"/>
      <c r="F115" s="92"/>
      <c r="G115" s="92"/>
      <c r="H115" s="92"/>
      <c r="I115" s="92"/>
      <c r="J115" s="92"/>
      <c r="K115" s="92"/>
      <c r="L115" s="92"/>
      <c r="M115" s="92"/>
    </row>
    <row r="116" spans="2:15" s="90" customFormat="1">
      <c r="D116" s="92"/>
      <c r="E116" s="92"/>
    </row>
    <row r="117" spans="2:15" s="90" customFormat="1" ht="14.25">
      <c r="D117" s="96"/>
      <c r="E117" s="96"/>
      <c r="F117" s="96"/>
      <c r="I117" s="93"/>
      <c r="J117" s="92"/>
      <c r="O117" s="93"/>
    </row>
    <row r="118" spans="2:15" s="90" customFormat="1">
      <c r="D118" s="94"/>
    </row>
    <row r="119" spans="2:15" s="90" customFormat="1">
      <c r="B119" s="17"/>
      <c r="C119" s="17"/>
      <c r="D119" s="17"/>
      <c r="E119" s="17"/>
      <c r="F119" s="17"/>
      <c r="G119" s="17"/>
      <c r="H119" s="17"/>
      <c r="I119" s="17"/>
      <c r="J119" s="17"/>
      <c r="K119" s="17"/>
      <c r="L119" s="17"/>
    </row>
    <row r="120" spans="2:15" s="90" customFormat="1"/>
    <row r="121" spans="2:15" s="90" customFormat="1"/>
    <row r="122" spans="2:15" s="90" customFormat="1"/>
    <row r="123" spans="2:15" s="90" customFormat="1"/>
    <row r="124" spans="2:15" s="90" customFormat="1"/>
    <row r="125" spans="2:15" s="90" customFormat="1"/>
    <row r="126" spans="2:15" s="90" customFormat="1"/>
    <row r="127" spans="2:15" s="90" customFormat="1"/>
    <row r="128" spans="2:15" s="90" customFormat="1"/>
    <row r="129" s="90" customFormat="1"/>
    <row r="130" s="90" customFormat="1"/>
    <row r="131" s="90" customFormat="1"/>
    <row r="132" s="90" customFormat="1"/>
    <row r="133" s="90" customFormat="1"/>
    <row r="134" s="90" customFormat="1"/>
    <row r="135" s="90" customFormat="1"/>
    <row r="136" s="90" customFormat="1"/>
    <row r="137" s="90" customFormat="1"/>
    <row r="138" s="90" customFormat="1"/>
    <row r="139" s="90" customFormat="1"/>
    <row r="140" s="90" customFormat="1"/>
    <row r="141" s="90" customFormat="1"/>
    <row r="142" s="90" customFormat="1"/>
    <row r="143" s="90" customFormat="1"/>
    <row r="144" s="90" customFormat="1"/>
    <row r="145" spans="1:21" s="90" customFormat="1"/>
    <row r="146" spans="1:21" s="90" customFormat="1"/>
    <row r="147" spans="1:21" s="90" customFormat="1"/>
    <row r="148" spans="1:21" s="90" customFormat="1"/>
    <row r="149" spans="1:21" s="90" customFormat="1"/>
    <row r="150" spans="1:21" s="90" customFormat="1"/>
    <row r="151" spans="1:21" s="90" customFormat="1"/>
    <row r="152" spans="1:21" s="90" customFormat="1"/>
    <row r="153" spans="1:21" s="90" customFormat="1"/>
    <row r="154" spans="1:21" s="90" customFormat="1"/>
    <row r="155" spans="1:21" s="90" customFormat="1"/>
    <row r="156" spans="1:21">
      <c r="A156" s="90"/>
      <c r="B156" s="90"/>
      <c r="C156" s="90"/>
      <c r="D156" s="90"/>
      <c r="E156" s="90"/>
      <c r="F156" s="90"/>
      <c r="G156" s="90"/>
      <c r="H156" s="90"/>
      <c r="I156" s="90"/>
      <c r="J156" s="90"/>
      <c r="K156" s="90"/>
      <c r="L156" s="90"/>
      <c r="M156" s="90"/>
      <c r="N156" s="90"/>
      <c r="O156" s="90"/>
      <c r="P156" s="90"/>
      <c r="Q156" s="90"/>
      <c r="R156" s="90"/>
      <c r="S156" s="90"/>
      <c r="T156" s="90"/>
      <c r="U156" s="90"/>
    </row>
    <row r="157" spans="1:21">
      <c r="A157" s="90"/>
      <c r="B157" s="90"/>
      <c r="C157" s="90"/>
      <c r="D157" s="90"/>
      <c r="E157" s="90"/>
      <c r="F157" s="90"/>
      <c r="G157" s="90"/>
      <c r="H157" s="90"/>
      <c r="I157" s="90"/>
      <c r="J157" s="90"/>
      <c r="K157" s="90"/>
      <c r="L157" s="90"/>
      <c r="M157" s="90"/>
      <c r="N157" s="90"/>
      <c r="O157" s="90"/>
      <c r="P157" s="90"/>
      <c r="Q157" s="90"/>
      <c r="R157" s="90"/>
      <c r="S157" s="90"/>
      <c r="T157" s="90"/>
      <c r="U157" s="90"/>
    </row>
    <row r="158" spans="1:21">
      <c r="A158" s="90"/>
      <c r="B158" s="90"/>
      <c r="C158" s="90"/>
      <c r="D158" s="90"/>
      <c r="E158" s="90"/>
      <c r="F158" s="90"/>
      <c r="G158" s="90"/>
      <c r="H158" s="90"/>
      <c r="I158" s="90"/>
      <c r="J158" s="90"/>
      <c r="K158" s="90"/>
      <c r="L158" s="90"/>
      <c r="M158" s="90"/>
      <c r="N158" s="90"/>
      <c r="O158" s="90"/>
      <c r="P158" s="90"/>
      <c r="Q158" s="90"/>
      <c r="R158" s="90"/>
      <c r="S158" s="90"/>
      <c r="T158" s="90"/>
      <c r="U158" s="90"/>
    </row>
    <row r="159" spans="1:21">
      <c r="A159" s="90"/>
      <c r="B159" s="90"/>
      <c r="C159" s="90"/>
      <c r="D159" s="90"/>
      <c r="E159" s="90"/>
      <c r="F159" s="90"/>
      <c r="G159" s="90"/>
      <c r="H159" s="90"/>
      <c r="I159" s="90"/>
      <c r="J159" s="90"/>
      <c r="K159" s="90"/>
      <c r="L159" s="90"/>
      <c r="M159" s="90"/>
      <c r="N159" s="90"/>
      <c r="O159" s="90"/>
      <c r="P159" s="90"/>
      <c r="Q159" s="90"/>
      <c r="R159" s="90"/>
      <c r="S159" s="90"/>
      <c r="T159" s="90"/>
      <c r="U159" s="90"/>
    </row>
    <row r="160" spans="1:21">
      <c r="A160" s="90"/>
      <c r="B160" s="90"/>
      <c r="C160" s="90"/>
      <c r="D160" s="90"/>
      <c r="E160" s="90"/>
      <c r="F160" s="90"/>
      <c r="G160" s="90"/>
      <c r="H160" s="90"/>
      <c r="I160" s="90"/>
      <c r="J160" s="90"/>
      <c r="K160" s="90"/>
      <c r="L160" s="90"/>
      <c r="M160" s="90"/>
      <c r="N160" s="90"/>
      <c r="O160" s="90"/>
      <c r="P160" s="90"/>
      <c r="Q160" s="90"/>
      <c r="R160" s="90"/>
      <c r="S160" s="90"/>
      <c r="T160" s="90"/>
      <c r="U160" s="90"/>
    </row>
    <row r="161" spans="1:21">
      <c r="A161" s="90"/>
      <c r="B161" s="90"/>
      <c r="C161" s="90"/>
      <c r="D161" s="90"/>
      <c r="E161" s="90"/>
      <c r="F161" s="90"/>
      <c r="G161" s="90"/>
      <c r="H161" s="90"/>
      <c r="I161" s="90"/>
      <c r="J161" s="90"/>
      <c r="K161" s="90"/>
      <c r="L161" s="90"/>
      <c r="M161" s="90"/>
      <c r="N161" s="90"/>
      <c r="O161" s="90"/>
      <c r="P161" s="90"/>
      <c r="Q161" s="90"/>
      <c r="R161" s="90"/>
      <c r="S161" s="90"/>
      <c r="T161" s="90"/>
      <c r="U161" s="90"/>
    </row>
    <row r="162" spans="1:21">
      <c r="A162" s="90"/>
      <c r="B162" s="90"/>
      <c r="C162" s="90"/>
      <c r="D162" s="90"/>
      <c r="E162" s="90"/>
      <c r="F162" s="90"/>
      <c r="G162" s="90"/>
      <c r="H162" s="90"/>
      <c r="I162" s="90"/>
      <c r="J162" s="90"/>
      <c r="K162" s="90"/>
      <c r="L162" s="90"/>
      <c r="M162" s="90"/>
      <c r="N162" s="90"/>
      <c r="O162" s="90"/>
      <c r="P162" s="90"/>
      <c r="Q162" s="90"/>
      <c r="R162" s="90"/>
      <c r="S162" s="90"/>
      <c r="T162" s="90"/>
      <c r="U162" s="90"/>
    </row>
    <row r="163" spans="1:21">
      <c r="A163" s="90"/>
      <c r="B163" s="90"/>
      <c r="C163" s="90"/>
      <c r="D163" s="90"/>
      <c r="E163" s="90"/>
      <c r="F163" s="90"/>
      <c r="G163" s="90"/>
      <c r="H163" s="90"/>
      <c r="I163" s="90"/>
      <c r="J163" s="90"/>
      <c r="K163" s="90"/>
      <c r="L163" s="90"/>
      <c r="M163" s="90"/>
      <c r="N163" s="90"/>
      <c r="O163" s="90"/>
      <c r="P163" s="90"/>
      <c r="Q163" s="90"/>
      <c r="R163" s="90"/>
      <c r="S163" s="90"/>
      <c r="T163" s="90"/>
      <c r="U163" s="90"/>
    </row>
    <row r="164" spans="1:21">
      <c r="A164" s="90"/>
      <c r="B164" s="90"/>
      <c r="C164" s="90"/>
      <c r="D164" s="90"/>
      <c r="E164" s="90"/>
      <c r="F164" s="90"/>
      <c r="G164" s="90"/>
      <c r="H164" s="90"/>
      <c r="I164" s="90"/>
      <c r="J164" s="90"/>
      <c r="K164" s="90"/>
      <c r="L164" s="90"/>
      <c r="M164" s="90"/>
      <c r="N164" s="90"/>
      <c r="O164" s="90"/>
      <c r="P164" s="90"/>
      <c r="Q164" s="90"/>
      <c r="R164" s="90"/>
      <c r="S164" s="90"/>
      <c r="T164" s="90"/>
      <c r="U164" s="90"/>
    </row>
    <row r="165" spans="1:21">
      <c r="A165" s="90"/>
      <c r="B165" s="90"/>
      <c r="C165" s="90"/>
      <c r="D165" s="90"/>
      <c r="E165" s="90"/>
      <c r="F165" s="90"/>
      <c r="G165" s="90"/>
      <c r="H165" s="90"/>
      <c r="I165" s="90"/>
      <c r="J165" s="90"/>
      <c r="K165" s="90"/>
      <c r="L165" s="90"/>
      <c r="M165" s="90"/>
      <c r="N165" s="90"/>
      <c r="O165" s="90"/>
      <c r="P165" s="90"/>
      <c r="Q165" s="90"/>
      <c r="R165" s="90"/>
      <c r="S165" s="90"/>
      <c r="T165" s="90"/>
      <c r="U165" s="90"/>
    </row>
    <row r="166" spans="1:21">
      <c r="A166" s="90"/>
      <c r="B166" s="90"/>
      <c r="C166" s="90"/>
      <c r="D166" s="90"/>
      <c r="E166" s="90"/>
      <c r="F166" s="90"/>
      <c r="G166" s="90"/>
      <c r="H166" s="90"/>
      <c r="I166" s="90"/>
      <c r="J166" s="90"/>
      <c r="K166" s="90"/>
      <c r="L166" s="90"/>
      <c r="M166" s="90"/>
      <c r="N166" s="90"/>
      <c r="O166" s="90"/>
      <c r="P166" s="90"/>
      <c r="Q166" s="90"/>
      <c r="R166" s="90"/>
      <c r="S166" s="90"/>
      <c r="T166" s="90"/>
      <c r="U166" s="90"/>
    </row>
    <row r="167" spans="1:21">
      <c r="A167" s="90"/>
      <c r="B167" s="90"/>
      <c r="C167" s="90"/>
      <c r="D167" s="90"/>
      <c r="E167" s="90"/>
      <c r="F167" s="90"/>
      <c r="G167" s="90"/>
      <c r="H167" s="90"/>
      <c r="I167" s="90"/>
      <c r="J167" s="90"/>
      <c r="K167" s="90"/>
      <c r="L167" s="90"/>
      <c r="M167" s="90"/>
      <c r="N167" s="90"/>
      <c r="O167" s="90"/>
      <c r="P167" s="90"/>
      <c r="Q167" s="90"/>
      <c r="R167" s="90"/>
      <c r="S167" s="90"/>
      <c r="T167" s="90"/>
      <c r="U167" s="90"/>
    </row>
    <row r="168" spans="1:21">
      <c r="A168" s="90"/>
      <c r="B168" s="90"/>
      <c r="C168" s="90"/>
      <c r="D168" s="90"/>
      <c r="E168" s="90"/>
      <c r="F168" s="90"/>
      <c r="G168" s="90"/>
      <c r="H168" s="90"/>
      <c r="I168" s="90"/>
      <c r="J168" s="90"/>
      <c r="K168" s="90"/>
      <c r="L168" s="90"/>
      <c r="M168" s="90"/>
      <c r="N168" s="90"/>
      <c r="O168" s="90"/>
      <c r="P168" s="90"/>
      <c r="Q168" s="90"/>
      <c r="R168" s="90"/>
      <c r="S168" s="90"/>
      <c r="T168" s="90"/>
      <c r="U168" s="90"/>
    </row>
    <row r="169" spans="1:21">
      <c r="A169" s="90"/>
      <c r="B169" s="90"/>
      <c r="C169" s="90"/>
      <c r="D169" s="90"/>
      <c r="E169" s="90"/>
      <c r="F169" s="90"/>
      <c r="G169" s="90"/>
      <c r="H169" s="90"/>
      <c r="I169" s="90"/>
      <c r="J169" s="90"/>
      <c r="K169" s="90"/>
      <c r="L169" s="90"/>
      <c r="M169" s="90"/>
      <c r="N169" s="90"/>
      <c r="O169" s="90"/>
      <c r="P169" s="90"/>
      <c r="Q169" s="90"/>
      <c r="R169" s="90"/>
      <c r="S169" s="90"/>
      <c r="T169" s="90"/>
      <c r="U169" s="90"/>
    </row>
    <row r="170" spans="1:21">
      <c r="A170" s="90"/>
      <c r="B170" s="90"/>
      <c r="C170" s="90"/>
      <c r="D170" s="90"/>
      <c r="E170" s="90"/>
      <c r="F170" s="90"/>
      <c r="G170" s="90"/>
      <c r="H170" s="90"/>
      <c r="I170" s="90"/>
      <c r="J170" s="90"/>
      <c r="K170" s="90"/>
      <c r="L170" s="90"/>
      <c r="M170" s="90"/>
      <c r="N170" s="90"/>
      <c r="O170" s="90"/>
      <c r="P170" s="90"/>
      <c r="Q170" s="90"/>
      <c r="R170" s="90"/>
      <c r="S170" s="90"/>
      <c r="T170" s="90"/>
      <c r="U170" s="90"/>
    </row>
    <row r="171" spans="1:21">
      <c r="A171" s="90"/>
      <c r="B171" s="90"/>
      <c r="C171" s="90"/>
      <c r="D171" s="90"/>
      <c r="E171" s="90"/>
      <c r="F171" s="90"/>
      <c r="G171" s="90"/>
      <c r="H171" s="90"/>
      <c r="I171" s="90"/>
      <c r="J171" s="90"/>
      <c r="K171" s="90"/>
      <c r="L171" s="90"/>
      <c r="M171" s="90"/>
      <c r="N171" s="90"/>
      <c r="O171" s="90"/>
      <c r="P171" s="90"/>
      <c r="Q171" s="90"/>
      <c r="R171" s="90"/>
      <c r="S171" s="90"/>
      <c r="T171" s="90"/>
      <c r="U171" s="90"/>
    </row>
    <row r="172" spans="1:21">
      <c r="A172" s="90"/>
      <c r="B172" s="90"/>
      <c r="C172" s="90"/>
      <c r="D172" s="90"/>
      <c r="E172" s="90"/>
      <c r="F172" s="90"/>
      <c r="G172" s="90"/>
      <c r="H172" s="90"/>
      <c r="I172" s="90"/>
      <c r="J172" s="90"/>
      <c r="K172" s="90"/>
      <c r="L172" s="90"/>
      <c r="M172" s="90"/>
      <c r="N172" s="90"/>
      <c r="O172" s="90"/>
      <c r="P172" s="90"/>
      <c r="Q172" s="90"/>
      <c r="R172" s="90"/>
      <c r="S172" s="90"/>
      <c r="T172" s="90"/>
      <c r="U172" s="90"/>
    </row>
    <row r="173" spans="1:21">
      <c r="A173" s="90"/>
      <c r="B173" s="90"/>
      <c r="C173" s="90"/>
      <c r="D173" s="90"/>
      <c r="E173" s="90"/>
      <c r="F173" s="90"/>
      <c r="G173" s="90"/>
      <c r="H173" s="90"/>
      <c r="I173" s="90"/>
      <c r="J173" s="90"/>
      <c r="K173" s="90"/>
      <c r="L173" s="90"/>
      <c r="M173" s="90"/>
      <c r="N173" s="90"/>
      <c r="O173" s="90"/>
      <c r="P173" s="90"/>
      <c r="Q173" s="90"/>
      <c r="R173" s="90"/>
      <c r="S173" s="90"/>
      <c r="T173" s="90"/>
      <c r="U173" s="90"/>
    </row>
  </sheetData>
  <mergeCells count="6">
    <mergeCell ref="B67:D67"/>
    <mergeCell ref="B39:L39"/>
    <mergeCell ref="B38:L38"/>
    <mergeCell ref="B58:L58"/>
    <mergeCell ref="A1:O1"/>
    <mergeCell ref="A2:O2"/>
  </mergeCells>
  <phoneticPr fontId="0" type="noConversion"/>
  <pageMargins left="0.75" right="0.75" top="1" bottom="1" header="0.5" footer="0.5"/>
  <pageSetup paperSize="9" scale="94" firstPageNumber="19" fitToHeight="28" orientation="landscape" horizontalDpi="300" verticalDpi="300" r:id="rId1"/>
  <headerFooter>
    <oddFooter>&amp;L&amp;P/{&amp;N}&amp;C&amp;F&amp;R&amp;A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70"/>
  <sheetViews>
    <sheetView zoomScaleNormal="100" zoomScaleSheetLayoutView="100" workbookViewId="0">
      <selection activeCell="G16" sqref="G16"/>
    </sheetView>
  </sheetViews>
  <sheetFormatPr defaultRowHeight="12.75"/>
  <cols>
    <col min="1" max="1" width="6.7109375" customWidth="1"/>
    <col min="2" max="2" width="34.42578125" customWidth="1"/>
    <col min="3" max="3" width="15.5703125" bestFit="1" customWidth="1"/>
    <col min="4" max="4" width="11.85546875" bestFit="1" customWidth="1"/>
    <col min="5" max="5" width="12.5703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11.85546875" customWidth="1"/>
  </cols>
  <sheetData>
    <row r="1" spans="1:15">
      <c r="A1" s="724" t="s">
        <v>474</v>
      </c>
      <c r="B1" s="724"/>
      <c r="C1" s="724"/>
      <c r="D1" s="724"/>
      <c r="E1" s="724"/>
      <c r="F1" s="724"/>
      <c r="G1" s="724"/>
      <c r="H1" s="724"/>
      <c r="I1" s="724"/>
      <c r="J1" s="724"/>
      <c r="K1" s="724"/>
      <c r="L1" s="724"/>
      <c r="M1" s="724"/>
      <c r="N1" s="724"/>
      <c r="O1" s="724"/>
    </row>
    <row r="2" spans="1:15">
      <c r="A2" s="723" t="str">
        <f>'STEEL IN FLARED  PIER BASE '!A2:O2</f>
        <v>Name Of Work :- Construction of Submersible Bridge on ON KHERWARA - JAWAS - SUVERI ROAD IN KM 9/000, ACROSS RIVER SOM</v>
      </c>
      <c r="B2" s="723"/>
      <c r="C2" s="723"/>
      <c r="D2" s="723"/>
      <c r="E2" s="723"/>
      <c r="F2" s="723"/>
      <c r="G2" s="723"/>
      <c r="H2" s="723"/>
      <c r="I2" s="723"/>
      <c r="J2" s="723"/>
      <c r="K2" s="723"/>
      <c r="L2" s="723"/>
      <c r="M2" s="723"/>
      <c r="N2" s="723"/>
      <c r="O2" s="723"/>
    </row>
    <row r="3" spans="1:15">
      <c r="A3" s="1"/>
      <c r="B3" s="99" t="s">
        <v>147</v>
      </c>
      <c r="C3" s="43">
        <f>'STEEL IN FLARED  PIER BASE '!E3</f>
        <v>93.569999999999979</v>
      </c>
      <c r="D3" s="13" t="s">
        <v>148</v>
      </c>
      <c r="E3" s="43">
        <f>102-1.2</f>
        <v>100.8</v>
      </c>
      <c r="F3" s="1" t="s">
        <v>29</v>
      </c>
    </row>
    <row r="4" spans="1:15">
      <c r="A4" s="1" t="s">
        <v>149</v>
      </c>
    </row>
    <row r="5" spans="1:15">
      <c r="B5" t="s">
        <v>91</v>
      </c>
    </row>
    <row r="6" spans="1:15">
      <c r="B6" s="2" t="str">
        <f>'STABILITY CHECK FOR PIER'!B201</f>
        <v>SUPER STRUCTURE</v>
      </c>
      <c r="C6" s="2" t="str">
        <f>'STABILITY CHECK FOR PIER'!C201</f>
        <v>=</v>
      </c>
      <c r="D6" s="42">
        <f>'STABILITY CHECK FOR PIER'!D201</f>
        <v>1463.6159999999998</v>
      </c>
      <c r="E6" s="2" t="str">
        <f>'STABILITY CHECK FOR PIER'!E201</f>
        <v>kN</v>
      </c>
      <c r="F6" s="2"/>
    </row>
    <row r="7" spans="1:15">
      <c r="B7" s="2" t="str">
        <f>'STABILITY CHECK FOR PIER'!B202</f>
        <v>SUB STRUCTURE</v>
      </c>
      <c r="C7" s="2" t="str">
        <f>'STABILITY CHECK FOR PIER'!C202</f>
        <v>=</v>
      </c>
      <c r="D7" s="42">
        <f>'STABILITY CHECK FOR PIER'!D202</f>
        <v>2821.2050880000015</v>
      </c>
      <c r="E7" s="2" t="str">
        <f>'STABILITY CHECK FOR PIER'!E202</f>
        <v>kN</v>
      </c>
      <c r="F7" s="2" t="str">
        <f>'STABILITY CHECK FOR PIER'!F202</f>
        <v>Without Buoyancy</v>
      </c>
    </row>
    <row r="8" spans="1:15">
      <c r="B8" s="2" t="str">
        <f>'STABILITY CHECK FOR PIER'!B203</f>
        <v>SUB STRUCTURE</v>
      </c>
      <c r="C8" s="2" t="str">
        <f>'STABILITY CHECK FOR PIER'!C203</f>
        <v>=</v>
      </c>
      <c r="D8" s="42">
        <f>'STABILITY CHECK FOR PIER'!D203</f>
        <v>2271.8354700000018</v>
      </c>
      <c r="E8" s="2" t="str">
        <f>'STABILITY CHECK FOR PIER'!E203</f>
        <v>kN</v>
      </c>
      <c r="F8" s="2" t="str">
        <f>'STABILITY CHECK FOR PIER'!F203</f>
        <v>With Buoyancy</v>
      </c>
    </row>
    <row r="9" spans="1:15">
      <c r="B9" s="2" t="str">
        <f>'STABILITY CHECK FOR PIER'!B204</f>
        <v xml:space="preserve">LIVE LOAD </v>
      </c>
      <c r="C9" s="2" t="str">
        <f>'STABILITY CHECK FOR PIER'!C204</f>
        <v>=</v>
      </c>
      <c r="D9" s="42">
        <f>'STABILITY CHECK FOR PIER'!D204</f>
        <v>788.26634730538922</v>
      </c>
      <c r="E9" s="2" t="str">
        <f>'STABILITY CHECK FOR PIER'!E204</f>
        <v>kN</v>
      </c>
      <c r="F9" s="2"/>
    </row>
    <row r="10" spans="1:15">
      <c r="B10" s="2" t="str">
        <f>'STABILITY CHECK FOR PIER'!B205</f>
        <v>Total Load without Buoyancy</v>
      </c>
      <c r="C10" s="2" t="str">
        <f>'STABILITY CHECK FOR PIER'!C205</f>
        <v>=</v>
      </c>
      <c r="D10" s="42">
        <f>'STABILITY CHECK FOR PIER'!D205</f>
        <v>5073.0874353053905</v>
      </c>
      <c r="E10" s="2" t="str">
        <f>'STABILITY CHECK FOR PIER'!E205</f>
        <v>kN</v>
      </c>
      <c r="F10" s="2"/>
    </row>
    <row r="11" spans="1:15">
      <c r="B11" s="2" t="str">
        <f>'STABILITY CHECK FOR PIER'!B206</f>
        <v>Total Load with Buoyancy</v>
      </c>
      <c r="C11" s="2" t="str">
        <f>'STABILITY CHECK FOR PIER'!C206</f>
        <v>=</v>
      </c>
      <c r="D11" s="42">
        <f>'STABILITY CHECK FOR PIER'!D206</f>
        <v>4523.7178173053908</v>
      </c>
      <c r="E11" s="2" t="str">
        <f>'STABILITY CHECK FOR PIER'!E206</f>
        <v>kN</v>
      </c>
      <c r="F11" s="2"/>
    </row>
    <row r="12" spans="1:15">
      <c r="B12" s="2" t="str">
        <f>'STABILITY CHECK FOR PIER'!B422</f>
        <v>Total LONGITUDINAL MOMENT</v>
      </c>
      <c r="C12" s="2"/>
      <c r="D12" s="2"/>
      <c r="E12" s="2"/>
      <c r="F12" s="2"/>
    </row>
    <row r="13" spans="1:15">
      <c r="B13" s="47" t="s">
        <v>74</v>
      </c>
      <c r="C13" s="2">
        <f>C3</f>
        <v>93.569999999999979</v>
      </c>
      <c r="D13" s="2" t="str">
        <f>D15</f>
        <v>M =</v>
      </c>
      <c r="E13" s="2">
        <f>'STABILITY CHECK FOR PIER'!H207</f>
        <v>356.81410292867747</v>
      </c>
      <c r="F13" s="2" t="str">
        <f>'STABILITY CHECK FOR PIER'!K115</f>
        <v>kN-m</v>
      </c>
    </row>
    <row r="14" spans="1:15">
      <c r="B14" s="2" t="str">
        <f>'STABILITY CHECK FOR PIER'!B423</f>
        <v>Total TRANSVERSE MOMENT</v>
      </c>
    </row>
    <row r="15" spans="1:15">
      <c r="B15" s="47" t="s">
        <v>74</v>
      </c>
      <c r="C15" s="2">
        <f>C3</f>
        <v>93.569999999999979</v>
      </c>
      <c r="D15" s="2" t="str">
        <f>'STABILITY CHECK FOR PIER'!E155</f>
        <v>M =</v>
      </c>
      <c r="E15" s="2">
        <f>'STABILITY CHECK FOR PIER'!H208</f>
        <v>2360.4419807729892</v>
      </c>
      <c r="F15" s="2" t="str">
        <f>'STABILITY CHECK FOR PIER'!K156</f>
        <v>kN-m</v>
      </c>
      <c r="G15" s="2"/>
      <c r="H15" s="2"/>
      <c r="I15" s="2"/>
    </row>
    <row r="16" spans="1:15">
      <c r="B16" t="str">
        <f>[1]TROUGH!A21</f>
        <v>CONCRETE MIX</v>
      </c>
      <c r="D16" t="str">
        <f>'STEEL IN FLARED  PIER BASE '!D16</f>
        <v>M-25</v>
      </c>
    </row>
    <row r="17" spans="2:9">
      <c r="B17" t="str">
        <f>[1]TROUGH!A22</f>
        <v>CHARACTERISTIC STRENGTH OF REINFORCEMENT</v>
      </c>
      <c r="F17">
        <f>[1]TROUGH!F22</f>
        <v>415</v>
      </c>
      <c r="G17" t="str">
        <f>[1]TROUGH!G22</f>
        <v>N/mm2</v>
      </c>
    </row>
    <row r="18" spans="2:9">
      <c r="B18" t="str">
        <f>[1]TROUGH!A23</f>
        <v>PERMISSIBLE STRESSES</v>
      </c>
    </row>
    <row r="19" spans="2:9">
      <c r="B19" t="str">
        <f>[1]TROUGH!B24</f>
        <v>IN STEEL</v>
      </c>
      <c r="D19">
        <v>190</v>
      </c>
    </row>
    <row r="20" spans="2:9">
      <c r="B20" s="18" t="str">
        <f>[1]TROUGH!B31</f>
        <v>IN CONCRETE</v>
      </c>
    </row>
    <row r="21" spans="2:9" ht="25.5">
      <c r="B21" s="18" t="s">
        <v>251</v>
      </c>
      <c r="D21" t="s">
        <v>253</v>
      </c>
      <c r="E21" s="2" t="s">
        <v>2</v>
      </c>
      <c r="F21">
        <v>30</v>
      </c>
      <c r="G21" t="s">
        <v>252</v>
      </c>
    </row>
    <row r="22" spans="2:9" ht="25.5">
      <c r="B22" s="18" t="str">
        <f>[1]TROUGH!B32</f>
        <v>Permissible Compressive Stress in Bending</v>
      </c>
      <c r="D22" t="str">
        <f>[1]TROUGH!C32</f>
        <v>σcbc</v>
      </c>
      <c r="E22" s="2" t="str">
        <f>[1]TROUGH!D32</f>
        <v>=</v>
      </c>
      <c r="F22">
        <v>8</v>
      </c>
      <c r="G22" t="str">
        <f>[1]TROUGH!F32</f>
        <v>N/mm2</v>
      </c>
    </row>
    <row r="23" spans="2:9" ht="25.5">
      <c r="B23" s="18" t="str">
        <f>[1]TROUGH!B33</f>
        <v>Permissible Compressive Stress in Direct Compression</v>
      </c>
      <c r="D23" t="str">
        <f>[1]TROUGH!C33</f>
        <v>σcc</v>
      </c>
      <c r="E23" s="2" t="str">
        <f>[1]TROUGH!D33</f>
        <v>=</v>
      </c>
      <c r="F23">
        <f>[1]TROUGH!E33</f>
        <v>8</v>
      </c>
      <c r="G23" t="str">
        <f>[1]TROUGH!F33</f>
        <v>N/mm2</v>
      </c>
    </row>
    <row r="24" spans="2:9">
      <c r="D24" t="str">
        <f>[1]TROUGH!C34</f>
        <v>σct</v>
      </c>
      <c r="E24" s="2" t="str">
        <f>[1]TROUGH!D34</f>
        <v>=</v>
      </c>
      <c r="F24">
        <f>[1]TROUGH!E34</f>
        <v>3.6</v>
      </c>
      <c r="G24" t="str">
        <f>[1]TROUGH!F34</f>
        <v>N/mm2</v>
      </c>
    </row>
    <row r="25" spans="2:9" ht="15.75">
      <c r="B25" t="s">
        <v>246</v>
      </c>
      <c r="C25" s="19" t="s">
        <v>2</v>
      </c>
      <c r="D25">
        <v>1.5</v>
      </c>
      <c r="E25" s="16" t="s">
        <v>244</v>
      </c>
      <c r="F25" s="2">
        <f>D10</f>
        <v>5073.0874353053905</v>
      </c>
      <c r="G25" s="19" t="s">
        <v>2</v>
      </c>
      <c r="H25">
        <f>D25*F25</f>
        <v>7609.6311529580853</v>
      </c>
      <c r="I25" t="s">
        <v>10</v>
      </c>
    </row>
    <row r="26" spans="2:9" ht="15.75">
      <c r="B26" t="s">
        <v>249</v>
      </c>
      <c r="C26" s="19" t="s">
        <v>2</v>
      </c>
      <c r="D26">
        <v>1.5</v>
      </c>
      <c r="E26" s="16" t="s">
        <v>244</v>
      </c>
      <c r="F26" s="2">
        <f>E13</f>
        <v>356.81410292867747</v>
      </c>
      <c r="G26" s="19" t="s">
        <v>2</v>
      </c>
      <c r="H26">
        <f>D26*F26</f>
        <v>535.22115439301615</v>
      </c>
      <c r="I26" t="s">
        <v>5</v>
      </c>
    </row>
    <row r="27" spans="2:9" ht="15.75">
      <c r="B27" t="s">
        <v>250</v>
      </c>
      <c r="C27" s="19" t="s">
        <v>2</v>
      </c>
      <c r="D27">
        <v>1.5</v>
      </c>
      <c r="E27" s="16" t="s">
        <v>244</v>
      </c>
      <c r="F27" s="2">
        <f>E15</f>
        <v>2360.4419807729892</v>
      </c>
      <c r="G27" s="19" t="s">
        <v>2</v>
      </c>
      <c r="H27">
        <f>D27*F27</f>
        <v>3540.6629711594837</v>
      </c>
      <c r="I27" t="s">
        <v>5</v>
      </c>
    </row>
    <row r="28" spans="2:9">
      <c r="B28" t="s">
        <v>169</v>
      </c>
      <c r="F28">
        <v>33.33</v>
      </c>
      <c r="G28" t="s">
        <v>27</v>
      </c>
    </row>
    <row r="29" spans="2:9">
      <c r="B29" t="s">
        <v>170</v>
      </c>
    </row>
    <row r="30" spans="2:9">
      <c r="C30" s="213">
        <v>12000</v>
      </c>
      <c r="D30" s="219" t="s">
        <v>150</v>
      </c>
      <c r="E30" s="213">
        <v>1200</v>
      </c>
      <c r="F30" t="s">
        <v>1</v>
      </c>
    </row>
    <row r="31" spans="2:9">
      <c r="C31" s="85" t="s">
        <v>151</v>
      </c>
      <c r="D31">
        <v>75</v>
      </c>
    </row>
    <row r="32" spans="2:9" ht="14.25">
      <c r="B32" t="s">
        <v>152</v>
      </c>
      <c r="C32" s="19" t="s">
        <v>2</v>
      </c>
      <c r="D32">
        <f>D31+C51/2</f>
        <v>87.5</v>
      </c>
      <c r="E32" s="19" t="s">
        <v>8</v>
      </c>
      <c r="F32">
        <f>E30</f>
        <v>1200</v>
      </c>
      <c r="G32" s="19" t="s">
        <v>2</v>
      </c>
      <c r="H32" s="86">
        <f>D32/F32</f>
        <v>7.2916666666666671E-2</v>
      </c>
    </row>
    <row r="33" spans="2:13" ht="15.75">
      <c r="B33" t="s">
        <v>245</v>
      </c>
      <c r="C33" s="19" t="s">
        <v>2</v>
      </c>
      <c r="D33" s="2">
        <f>H25</f>
        <v>7609.6311529580853</v>
      </c>
      <c r="E33" s="19" t="s">
        <v>3</v>
      </c>
      <c r="F33">
        <v>1000</v>
      </c>
      <c r="G33" s="19" t="s">
        <v>153</v>
      </c>
      <c r="H33">
        <f>$F$21</f>
        <v>30</v>
      </c>
      <c r="I33" t="s">
        <v>3</v>
      </c>
      <c r="J33">
        <f>$C$30</f>
        <v>12000</v>
      </c>
      <c r="K33" s="19" t="s">
        <v>154</v>
      </c>
      <c r="L33">
        <f>$E$30</f>
        <v>1200</v>
      </c>
      <c r="M33" s="19" t="s">
        <v>15</v>
      </c>
    </row>
    <row r="34" spans="2:13">
      <c r="C34" s="19" t="s">
        <v>2</v>
      </c>
      <c r="D34" s="87">
        <f>D33*F33/(H33*J33*L33)</f>
        <v>1.7614886928143718E-2</v>
      </c>
    </row>
    <row r="35" spans="2:13">
      <c r="B35" t="s">
        <v>155</v>
      </c>
    </row>
    <row r="36" spans="2:13" ht="15.75">
      <c r="B36" t="s">
        <v>247</v>
      </c>
      <c r="C36" s="19" t="s">
        <v>2</v>
      </c>
      <c r="D36" s="2">
        <f>H26</f>
        <v>535.22115439301615</v>
      </c>
      <c r="E36" t="str">
        <f>E33</f>
        <v>x</v>
      </c>
      <c r="F36">
        <f>$F$33*1000</f>
        <v>1000000</v>
      </c>
      <c r="G36" t="s">
        <v>153</v>
      </c>
      <c r="H36">
        <f>$F$21</f>
        <v>30</v>
      </c>
      <c r="I36" t="s">
        <v>3</v>
      </c>
      <c r="J36">
        <f>$C$30</f>
        <v>12000</v>
      </c>
      <c r="K36" s="19" t="s">
        <v>154</v>
      </c>
      <c r="L36">
        <f>$E$30</f>
        <v>1200</v>
      </c>
      <c r="M36" s="88" t="s">
        <v>156</v>
      </c>
    </row>
    <row r="37" spans="2:13">
      <c r="C37" s="19" t="s">
        <v>2</v>
      </c>
      <c r="D37" s="87">
        <f>D36*F36/(H36*J36*L36^2)</f>
        <v>1.032448214492701E-3</v>
      </c>
    </row>
    <row r="38" spans="2:13" s="17" customFormat="1" ht="31.5" customHeight="1">
      <c r="B38" s="727" t="s">
        <v>248</v>
      </c>
      <c r="C38" s="727"/>
      <c r="D38" s="727"/>
      <c r="E38" s="727"/>
      <c r="F38" s="727"/>
      <c r="G38" s="727"/>
      <c r="H38" s="727"/>
      <c r="I38" s="727"/>
      <c r="J38" s="727"/>
      <c r="K38" s="727"/>
      <c r="L38" s="727"/>
    </row>
    <row r="39" spans="2:13" ht="12.75" customHeight="1">
      <c r="B39" s="726" t="s">
        <v>168</v>
      </c>
      <c r="C39" s="726"/>
      <c r="D39" s="726"/>
      <c r="E39" s="726"/>
      <c r="F39" s="726"/>
      <c r="G39" s="726"/>
      <c r="H39" s="726"/>
      <c r="I39" s="726"/>
      <c r="J39" s="726"/>
      <c r="K39" s="726"/>
      <c r="L39" s="726"/>
    </row>
    <row r="40" spans="2:13">
      <c r="B40" t="s">
        <v>157</v>
      </c>
    </row>
    <row r="42" spans="2:13">
      <c r="B42" t="s">
        <v>158</v>
      </c>
      <c r="D42" s="2">
        <f>$D$11</f>
        <v>4523.7178173053908</v>
      </c>
      <c r="E42" s="2" t="str">
        <f>E33</f>
        <v>x</v>
      </c>
      <c r="F42" s="3">
        <f>F33</f>
        <v>1000</v>
      </c>
      <c r="G42" s="19" t="s">
        <v>8</v>
      </c>
      <c r="H42">
        <f>$F$22</f>
        <v>8</v>
      </c>
    </row>
    <row r="43" spans="2:13" ht="14.25">
      <c r="C43" s="19" t="s">
        <v>2</v>
      </c>
      <c r="D43" s="3">
        <f>D42*F42/H42</f>
        <v>565464.72716317384</v>
      </c>
      <c r="E43" s="17" t="s">
        <v>9</v>
      </c>
    </row>
    <row r="44" spans="2:13">
      <c r="B44" t="s">
        <v>159</v>
      </c>
      <c r="C44">
        <f>0.8</f>
        <v>0.8</v>
      </c>
      <c r="D44" s="19" t="s">
        <v>3</v>
      </c>
      <c r="E44" s="3">
        <f>D43</f>
        <v>565464.72716317384</v>
      </c>
      <c r="F44" s="19" t="s">
        <v>8</v>
      </c>
      <c r="G44">
        <v>100</v>
      </c>
    </row>
    <row r="45" spans="2:13" ht="14.25">
      <c r="C45" s="19" t="s">
        <v>2</v>
      </c>
      <c r="D45" s="84">
        <f>C44*E44/100</f>
        <v>4523.7178173053908</v>
      </c>
      <c r="E45" s="89" t="s">
        <v>160</v>
      </c>
    </row>
    <row r="47" spans="2:13">
      <c r="B47" t="s">
        <v>161</v>
      </c>
    </row>
    <row r="48" spans="2:13">
      <c r="B48" t="s">
        <v>162</v>
      </c>
      <c r="C48">
        <v>0.3</v>
      </c>
      <c r="D48" s="19" t="s">
        <v>3</v>
      </c>
      <c r="E48">
        <f>C30</f>
        <v>12000</v>
      </c>
      <c r="F48" s="19" t="s">
        <v>154</v>
      </c>
      <c r="G48">
        <f>$E$30</f>
        <v>1200</v>
      </c>
      <c r="H48" s="19" t="s">
        <v>8</v>
      </c>
      <c r="I48">
        <v>100</v>
      </c>
    </row>
    <row r="49" spans="1:21" ht="14.25">
      <c r="C49" s="19" t="s">
        <v>2</v>
      </c>
      <c r="D49" s="84">
        <f>C48*E48*G48/100</f>
        <v>43200</v>
      </c>
      <c r="E49" s="89" t="s">
        <v>160</v>
      </c>
    </row>
    <row r="50" spans="1:21" ht="14.25">
      <c r="B50" t="s">
        <v>163</v>
      </c>
      <c r="C50" s="19" t="s">
        <v>2</v>
      </c>
      <c r="D50" s="11">
        <f>D49</f>
        <v>43200</v>
      </c>
      <c r="E50" s="89" t="s">
        <v>160</v>
      </c>
    </row>
    <row r="51" spans="1:21">
      <c r="B51" t="s">
        <v>164</v>
      </c>
      <c r="C51">
        <v>25</v>
      </c>
      <c r="D51" t="s">
        <v>165</v>
      </c>
      <c r="E51" s="19" t="s">
        <v>2</v>
      </c>
      <c r="F51" s="3">
        <f>D50/(0.785*C51^2)</f>
        <v>88.050955414012734</v>
      </c>
      <c r="G51" t="s">
        <v>171</v>
      </c>
    </row>
    <row r="52" spans="1:21">
      <c r="B52" t="s">
        <v>166</v>
      </c>
      <c r="C52" s="19" t="s">
        <v>2</v>
      </c>
      <c r="D52" s="224">
        <f>ROUNDDOWN((2*(E48+G48)/F51),-1)</f>
        <v>290</v>
      </c>
      <c r="E52" t="s">
        <v>12</v>
      </c>
    </row>
    <row r="53" spans="1:21">
      <c r="B53" t="s">
        <v>167</v>
      </c>
    </row>
    <row r="55" spans="1:21" ht="15.75">
      <c r="B55" t="s">
        <v>247</v>
      </c>
      <c r="C55" s="19" t="s">
        <v>2</v>
      </c>
      <c r="D55" s="2">
        <f>H27</f>
        <v>3540.6629711594837</v>
      </c>
      <c r="E55" t="str">
        <f>E36</f>
        <v>x</v>
      </c>
      <c r="F55">
        <f>$F$33*1000</f>
        <v>1000000</v>
      </c>
      <c r="G55" t="str">
        <f>G36</f>
        <v>/ (</v>
      </c>
      <c r="H55">
        <f>$F$21</f>
        <v>30</v>
      </c>
      <c r="I55" t="str">
        <f>I36</f>
        <v>x</v>
      </c>
    </row>
    <row r="56" spans="1:21" ht="14.25">
      <c r="C56" s="19"/>
      <c r="D56" s="2"/>
      <c r="E56">
        <f>$C$30</f>
        <v>12000</v>
      </c>
      <c r="F56" s="19" t="s">
        <v>154</v>
      </c>
      <c r="G56">
        <f>$E$30</f>
        <v>1200</v>
      </c>
      <c r="H56" s="88" t="s">
        <v>156</v>
      </c>
      <c r="M56" s="88"/>
    </row>
    <row r="57" spans="1:21">
      <c r="C57" s="19" t="s">
        <v>2</v>
      </c>
      <c r="D57" s="87">
        <f>D55*F55/(H55*E56*G56^2)</f>
        <v>6.8299825832551769E-3</v>
      </c>
    </row>
    <row r="58" spans="1:21" ht="29.25" customHeight="1">
      <c r="B58" s="727" t="s">
        <v>248</v>
      </c>
      <c r="C58" s="727"/>
      <c r="D58" s="727"/>
      <c r="E58" s="727"/>
      <c r="F58" s="727"/>
      <c r="G58" s="727"/>
      <c r="H58" s="727"/>
      <c r="I58" s="727"/>
      <c r="J58" s="727"/>
      <c r="K58" s="727"/>
      <c r="L58" s="727"/>
      <c r="M58" s="17"/>
      <c r="N58" s="17"/>
      <c r="O58" s="17"/>
    </row>
    <row r="59" spans="1:21" s="90" customFormat="1">
      <c r="B59" s="98" t="s">
        <v>172</v>
      </c>
    </row>
    <row r="60" spans="1:21" s="90" customFormat="1">
      <c r="A60"/>
      <c r="B60" s="20" t="s">
        <v>208</v>
      </c>
      <c r="C60" s="115"/>
      <c r="D60" s="3"/>
      <c r="E60" s="116"/>
      <c r="F60" s="117"/>
      <c r="G60" s="118"/>
      <c r="H60" s="109"/>
      <c r="I60" s="109"/>
      <c r="J60"/>
      <c r="K60"/>
      <c r="L60"/>
      <c r="M60"/>
      <c r="N60"/>
      <c r="O60"/>
      <c r="P60"/>
      <c r="Q60"/>
      <c r="R60"/>
      <c r="S60"/>
      <c r="T60"/>
      <c r="U60"/>
    </row>
    <row r="61" spans="1:21" s="90" customFormat="1">
      <c r="A61"/>
      <c r="B61" s="20"/>
      <c r="C61" s="119">
        <f>E15</f>
        <v>2360.4419807729892</v>
      </c>
      <c r="D61" s="120" t="s">
        <v>8</v>
      </c>
      <c r="E61" s="60">
        <f>102+1.2+0.925/2-91.79</f>
        <v>11.872500000000002</v>
      </c>
      <c r="F61" s="117" t="s">
        <v>2</v>
      </c>
      <c r="G61" s="118">
        <f>C61/E61</f>
        <v>198.81591752141409</v>
      </c>
      <c r="H61" s="109" t="s">
        <v>10</v>
      </c>
      <c r="I61" s="109"/>
      <c r="J61"/>
      <c r="K61"/>
      <c r="L61"/>
      <c r="M61"/>
      <c r="N61"/>
      <c r="O61"/>
      <c r="P61"/>
      <c r="Q61"/>
      <c r="R61"/>
      <c r="S61"/>
      <c r="T61"/>
      <c r="U61"/>
    </row>
    <row r="62" spans="1:21" s="90" customFormat="1">
      <c r="A62" s="121" t="s">
        <v>209</v>
      </c>
      <c r="B62" s="122"/>
      <c r="C62" s="122"/>
      <c r="D62" s="123"/>
      <c r="E62" s="124"/>
      <c r="F62" s="123"/>
      <c r="G62" s="124"/>
      <c r="H62" s="123"/>
      <c r="I62" s="124"/>
      <c r="J62" s="125"/>
      <c r="K62" s="124"/>
      <c r="L62" s="123"/>
      <c r="M62" s="125"/>
      <c r="N62" s="125"/>
      <c r="O62" s="125"/>
      <c r="P62" s="125"/>
      <c r="Q62" s="125"/>
      <c r="R62" s="125"/>
      <c r="S62" s="125"/>
      <c r="T62" s="125"/>
      <c r="U62" s="125"/>
    </row>
    <row r="63" spans="1:21" s="17" customFormat="1">
      <c r="A63" s="122"/>
      <c r="B63" s="126" t="s">
        <v>210</v>
      </c>
      <c r="C63" s="127">
        <f>G61</f>
        <v>198.81591752141409</v>
      </c>
      <c r="D63" s="128" t="s">
        <v>3</v>
      </c>
      <c r="E63" s="124">
        <v>1000</v>
      </c>
      <c r="F63" s="128" t="s">
        <v>153</v>
      </c>
      <c r="G63" s="124">
        <f>E56</f>
        <v>12000</v>
      </c>
      <c r="H63" s="128" t="s">
        <v>3</v>
      </c>
      <c r="I63" s="124">
        <f>G56</f>
        <v>1200</v>
      </c>
      <c r="J63" s="129" t="s">
        <v>15</v>
      </c>
      <c r="K63" s="124"/>
      <c r="L63" s="123"/>
      <c r="M63" s="125"/>
      <c r="N63" s="125"/>
      <c r="O63" s="125"/>
      <c r="P63" s="125"/>
      <c r="Q63" s="125"/>
      <c r="R63" s="125"/>
      <c r="S63" s="125"/>
      <c r="T63" s="125"/>
      <c r="U63" s="125"/>
    </row>
    <row r="64" spans="1:21" s="90" customFormat="1" ht="14.25">
      <c r="A64" s="125"/>
      <c r="B64" s="122"/>
      <c r="C64" s="130" t="s">
        <v>2</v>
      </c>
      <c r="D64" s="123">
        <f>C63*E63/(G63*I63)</f>
        <v>1.380666093898709E-2</v>
      </c>
      <c r="E64" s="125" t="s">
        <v>211</v>
      </c>
      <c r="F64" s="123"/>
      <c r="G64" s="124"/>
      <c r="H64" s="123"/>
      <c r="I64" s="124"/>
      <c r="J64" s="125"/>
      <c r="K64" s="124"/>
      <c r="L64" s="123"/>
      <c r="M64" s="125"/>
      <c r="N64" s="125"/>
      <c r="O64" s="125"/>
      <c r="P64" s="125"/>
      <c r="Q64" s="125"/>
      <c r="R64" s="125"/>
      <c r="S64" s="125"/>
      <c r="T64" s="125"/>
      <c r="U64" s="125"/>
    </row>
    <row r="65" spans="1:21" s="90" customFormat="1">
      <c r="A65" s="125"/>
      <c r="B65" s="131" t="s">
        <v>212</v>
      </c>
      <c r="C65" s="123">
        <f>F51*0.785*C51^2/(E56*G56)*100</f>
        <v>0.3</v>
      </c>
      <c r="D65" s="89"/>
      <c r="E65" s="132"/>
      <c r="F65" s="124"/>
      <c r="G65" s="125"/>
      <c r="H65" s="125"/>
      <c r="I65" s="125"/>
      <c r="J65" s="123"/>
      <c r="K65" s="125"/>
      <c r="L65" s="125"/>
      <c r="M65" s="125"/>
      <c r="N65" s="125"/>
      <c r="O65" s="125"/>
      <c r="P65" s="125"/>
      <c r="Q65" s="125"/>
      <c r="R65" s="125"/>
      <c r="S65" s="125"/>
      <c r="T65" s="125"/>
      <c r="U65" s="125"/>
    </row>
    <row r="66" spans="1:21" s="90" customFormat="1" ht="14.25">
      <c r="A66" s="125"/>
      <c r="B66" s="124" t="s">
        <v>213</v>
      </c>
      <c r="C66" s="123">
        <v>0.4</v>
      </c>
      <c r="D66" s="125" t="s">
        <v>211</v>
      </c>
      <c r="E66" s="133" t="s">
        <v>214</v>
      </c>
      <c r="F66" s="133"/>
      <c r="G66" s="125"/>
      <c r="H66" s="125"/>
      <c r="I66" s="125"/>
      <c r="J66" s="123"/>
      <c r="K66" s="125"/>
      <c r="L66" s="125"/>
      <c r="M66" s="125"/>
      <c r="N66" s="125"/>
      <c r="O66" s="125"/>
      <c r="P66" s="125"/>
      <c r="Q66" s="125"/>
      <c r="R66" s="125"/>
      <c r="S66" s="125"/>
      <c r="T66" s="125"/>
      <c r="U66" s="125"/>
    </row>
    <row r="67" spans="1:21" s="90" customFormat="1">
      <c r="A67" s="122"/>
      <c r="B67" s="725" t="s">
        <v>215</v>
      </c>
      <c r="C67" s="725"/>
      <c r="D67" s="725"/>
      <c r="E67" s="134"/>
      <c r="F67" s="83"/>
      <c r="G67" s="125"/>
      <c r="H67" s="125"/>
      <c r="I67" s="125"/>
      <c r="J67" s="123"/>
      <c r="K67" s="125"/>
      <c r="L67" s="125"/>
      <c r="M67" s="125"/>
      <c r="N67" s="125"/>
      <c r="O67" s="125"/>
      <c r="P67" s="125"/>
      <c r="Q67" s="125"/>
      <c r="R67" s="125"/>
      <c r="S67" s="125"/>
      <c r="T67" s="125"/>
      <c r="U67" s="125"/>
    </row>
    <row r="68" spans="1:21" s="90" customFormat="1">
      <c r="B68" s="90" t="s">
        <v>173</v>
      </c>
    </row>
    <row r="69" spans="1:21" ht="14.25">
      <c r="A69" s="90"/>
      <c r="B69" s="90" t="s">
        <v>174</v>
      </c>
      <c r="C69" s="91" t="s">
        <v>2</v>
      </c>
      <c r="D69" s="96">
        <f>C51</f>
        <v>25</v>
      </c>
      <c r="E69" s="91" t="s">
        <v>8</v>
      </c>
      <c r="F69" s="90">
        <v>4</v>
      </c>
      <c r="G69" s="91" t="s">
        <v>2</v>
      </c>
      <c r="H69" s="90">
        <f>D69/F69</f>
        <v>6.25</v>
      </c>
      <c r="I69" s="90" t="s">
        <v>1</v>
      </c>
      <c r="J69" s="90"/>
      <c r="K69" s="90"/>
      <c r="L69" s="90"/>
      <c r="M69" s="93"/>
      <c r="N69" s="90"/>
      <c r="O69" s="90"/>
      <c r="P69" s="90"/>
      <c r="Q69" s="90"/>
      <c r="R69" s="90"/>
      <c r="S69" s="90"/>
      <c r="T69" s="90"/>
      <c r="U69" s="90"/>
    </row>
    <row r="70" spans="1:21">
      <c r="A70" s="90"/>
      <c r="B70" s="7" t="s">
        <v>175</v>
      </c>
      <c r="C70" s="91">
        <v>12</v>
      </c>
      <c r="D70" s="94" t="s">
        <v>176</v>
      </c>
      <c r="E70" s="90"/>
      <c r="F70" s="90"/>
      <c r="G70" s="90"/>
      <c r="H70" s="90"/>
      <c r="I70" s="90"/>
      <c r="J70" s="90"/>
      <c r="K70" s="90"/>
      <c r="L70" s="90"/>
      <c r="M70" s="90"/>
      <c r="N70" s="90"/>
      <c r="O70" s="90"/>
      <c r="P70" s="90"/>
      <c r="Q70" s="90"/>
      <c r="R70" s="90"/>
      <c r="S70" s="90"/>
      <c r="T70" s="90"/>
      <c r="U70" s="90"/>
    </row>
    <row r="71" spans="1:21">
      <c r="A71" s="17"/>
      <c r="B71" s="17" t="s">
        <v>177</v>
      </c>
      <c r="C71" s="17"/>
      <c r="D71" s="17"/>
      <c r="E71" s="17"/>
      <c r="F71" s="17"/>
      <c r="G71" s="17"/>
      <c r="H71" s="17"/>
      <c r="I71" s="17"/>
      <c r="J71" s="17"/>
      <c r="K71" s="17"/>
      <c r="L71" s="17"/>
      <c r="M71" s="17"/>
      <c r="N71" s="17"/>
      <c r="O71" s="17"/>
      <c r="P71" s="17"/>
      <c r="Q71" s="17"/>
      <c r="R71" s="17"/>
      <c r="S71" s="17"/>
      <c r="T71" s="17"/>
      <c r="U71" s="17"/>
    </row>
    <row r="72" spans="1:21">
      <c r="A72" s="90"/>
      <c r="B72" s="20" t="s">
        <v>178</v>
      </c>
      <c r="C72">
        <f>I63</f>
        <v>1200</v>
      </c>
      <c r="D72" s="17" t="s">
        <v>1</v>
      </c>
      <c r="E72" s="17"/>
      <c r="F72" s="17"/>
      <c r="G72" s="17"/>
      <c r="H72" s="17"/>
      <c r="I72" s="17"/>
      <c r="J72" s="17"/>
      <c r="K72" s="17"/>
      <c r="L72" s="17"/>
      <c r="M72" s="90"/>
      <c r="N72" s="90"/>
      <c r="O72" s="90"/>
      <c r="P72" s="90"/>
      <c r="Q72" s="90"/>
      <c r="R72" s="90"/>
      <c r="S72" s="90"/>
      <c r="T72" s="90"/>
      <c r="U72" s="90"/>
    </row>
    <row r="73" spans="1:21" s="90" customFormat="1">
      <c r="B73" s="6" t="s">
        <v>179</v>
      </c>
      <c r="C73" s="90">
        <v>12</v>
      </c>
      <c r="D73" s="95" t="s">
        <v>3</v>
      </c>
      <c r="E73" s="96">
        <f>C70</f>
        <v>12</v>
      </c>
      <c r="F73" s="95" t="s">
        <v>2</v>
      </c>
      <c r="G73" s="96">
        <f>C73*E73</f>
        <v>144</v>
      </c>
      <c r="H73" s="96" t="s">
        <v>1</v>
      </c>
      <c r="I73" s="96"/>
      <c r="J73" s="96"/>
      <c r="K73" s="96"/>
      <c r="L73" s="96"/>
      <c r="M73" s="96"/>
      <c r="N73" s="96"/>
      <c r="O73" s="92"/>
    </row>
    <row r="74" spans="1:21" s="90" customFormat="1">
      <c r="B74" s="6" t="s">
        <v>180</v>
      </c>
      <c r="C74" s="91">
        <v>300</v>
      </c>
      <c r="D74" s="94" t="s">
        <v>1</v>
      </c>
      <c r="E74" s="92"/>
      <c r="F74" s="92"/>
      <c r="G74" s="92"/>
      <c r="H74" s="92"/>
      <c r="I74" s="92"/>
      <c r="J74" s="92"/>
      <c r="K74" s="92"/>
      <c r="L74" s="92"/>
      <c r="M74" s="92"/>
    </row>
    <row r="75" spans="1:21" s="90" customFormat="1">
      <c r="B75" s="135" t="s">
        <v>216</v>
      </c>
      <c r="C75" s="135" t="s">
        <v>217</v>
      </c>
      <c r="D75" s="96">
        <v>100</v>
      </c>
      <c r="E75" s="92" t="s">
        <v>1</v>
      </c>
      <c r="F75" s="92"/>
      <c r="G75" s="92"/>
      <c r="H75" s="92"/>
      <c r="I75" s="92"/>
      <c r="J75" s="92"/>
      <c r="K75" s="92"/>
      <c r="L75" s="92"/>
      <c r="M75" s="92"/>
    </row>
    <row r="76" spans="1:21" s="90" customFormat="1" ht="14.25">
      <c r="B76" s="7" t="s">
        <v>175</v>
      </c>
      <c r="C76" s="90">
        <f>C70</f>
        <v>12</v>
      </c>
      <c r="D76" s="94" t="s">
        <v>183</v>
      </c>
      <c r="E76" s="92"/>
      <c r="F76" s="96">
        <v>100</v>
      </c>
      <c r="G76" s="90" t="s">
        <v>181</v>
      </c>
      <c r="J76" s="96"/>
      <c r="K76" s="96"/>
      <c r="L76" s="96"/>
      <c r="M76" s="96"/>
      <c r="N76" s="96"/>
      <c r="O76" s="93"/>
    </row>
    <row r="77" spans="1:21" s="90" customFormat="1">
      <c r="A77" s="132"/>
      <c r="B77" s="136" t="s">
        <v>218</v>
      </c>
      <c r="C77" s="123"/>
      <c r="D77" s="123"/>
      <c r="E77" s="123"/>
      <c r="F77" s="123"/>
      <c r="G77" s="123"/>
      <c r="H77" s="11"/>
      <c r="I77" s="123"/>
      <c r="J77" s="123"/>
      <c r="K77" s="123"/>
      <c r="L77" s="123"/>
      <c r="M77" s="123"/>
      <c r="N77" s="123"/>
      <c r="O77" s="123"/>
      <c r="P77" s="137"/>
      <c r="Q77" s="137"/>
      <c r="R77" s="123"/>
      <c r="S77" s="123"/>
      <c r="T77" s="123"/>
      <c r="U77" s="123"/>
    </row>
    <row r="78" spans="1:21" s="90" customFormat="1">
      <c r="A78" s="132"/>
      <c r="B78" s="138" t="s">
        <v>235</v>
      </c>
      <c r="C78" s="123"/>
      <c r="D78" s="123"/>
      <c r="E78" s="123"/>
      <c r="F78" s="123"/>
      <c r="G78" s="123"/>
      <c r="H78" s="11"/>
      <c r="I78" s="123"/>
      <c r="J78" s="123"/>
      <c r="K78" s="123"/>
      <c r="L78" s="123"/>
      <c r="M78" s="123"/>
      <c r="N78" s="123"/>
      <c r="O78" s="123"/>
      <c r="P78" s="137"/>
      <c r="Q78" s="137"/>
      <c r="R78" s="123"/>
      <c r="S78" s="123"/>
      <c r="T78" s="123"/>
      <c r="U78" s="123"/>
    </row>
    <row r="79" spans="1:21" s="90" customFormat="1">
      <c r="A79" s="132"/>
      <c r="B79" s="139" t="s">
        <v>220</v>
      </c>
      <c r="C79" s="123"/>
      <c r="D79" s="139" t="s">
        <v>221</v>
      </c>
      <c r="E79" s="123"/>
      <c r="F79" s="123"/>
      <c r="G79" s="123"/>
      <c r="H79" s="11"/>
      <c r="I79" s="123"/>
      <c r="J79" s="123"/>
      <c r="K79" s="123"/>
      <c r="L79" s="123"/>
      <c r="M79" s="123"/>
      <c r="N79" s="123"/>
      <c r="O79" s="123"/>
      <c r="P79" s="137"/>
      <c r="Q79" s="137"/>
      <c r="R79" s="123"/>
      <c r="S79" s="123"/>
      <c r="T79" s="123"/>
      <c r="U79" s="123"/>
    </row>
    <row r="80" spans="1:21" s="90" customFormat="1">
      <c r="A80" s="132"/>
      <c r="B80" s="123"/>
      <c r="C80" s="123" t="s">
        <v>222</v>
      </c>
      <c r="D80" s="123"/>
      <c r="E80" s="123"/>
      <c r="F80" s="123"/>
      <c r="G80" s="123"/>
      <c r="H80" s="11"/>
      <c r="I80" s="123"/>
      <c r="J80" s="123"/>
      <c r="K80" s="123"/>
      <c r="L80" s="123"/>
      <c r="M80" s="123"/>
      <c r="N80" s="123"/>
      <c r="O80" s="123"/>
      <c r="P80" s="137"/>
      <c r="Q80" s="137"/>
      <c r="R80" s="123"/>
      <c r="S80" s="123"/>
      <c r="T80" s="123"/>
      <c r="U80" s="123"/>
    </row>
    <row r="81" spans="1:21" s="90" customFormat="1">
      <c r="A81" s="132"/>
      <c r="B81" s="140" t="s">
        <v>223</v>
      </c>
      <c r="C81" s="141" t="s">
        <v>2</v>
      </c>
      <c r="D81" s="142">
        <f>F76</f>
        <v>100</v>
      </c>
      <c r="E81" s="123" t="s">
        <v>1</v>
      </c>
      <c r="F81" s="123"/>
      <c r="G81" s="123"/>
      <c r="H81" s="11"/>
      <c r="I81" s="123"/>
      <c r="J81" s="123"/>
      <c r="K81" s="123"/>
      <c r="L81" s="123"/>
      <c r="M81" s="123"/>
      <c r="N81" s="123"/>
      <c r="O81" s="123"/>
      <c r="P81" s="137"/>
      <c r="Q81" s="137"/>
      <c r="R81" s="123"/>
      <c r="S81" s="123"/>
      <c r="T81" s="123"/>
      <c r="U81" s="123"/>
    </row>
    <row r="82" spans="1:21" s="90" customFormat="1" ht="14.25">
      <c r="A82" s="132"/>
      <c r="B82" s="140" t="s">
        <v>224</v>
      </c>
      <c r="C82" s="141" t="s">
        <v>2</v>
      </c>
      <c r="D82" s="142">
        <v>300</v>
      </c>
      <c r="E82" s="123" t="s">
        <v>211</v>
      </c>
      <c r="F82" s="123" t="s">
        <v>225</v>
      </c>
      <c r="G82" s="123"/>
      <c r="H82" s="11"/>
      <c r="I82" s="123"/>
      <c r="J82" s="123"/>
      <c r="K82" s="123"/>
      <c r="L82" s="123"/>
      <c r="M82" s="123"/>
      <c r="N82" s="123"/>
      <c r="O82" s="123"/>
      <c r="P82" s="137"/>
      <c r="Q82" s="137"/>
      <c r="R82" s="123"/>
      <c r="S82" s="123"/>
      <c r="T82" s="123"/>
      <c r="U82" s="123"/>
    </row>
    <row r="83" spans="1:21" s="90" customFormat="1" ht="14.25">
      <c r="A83" s="132"/>
      <c r="B83" s="140" t="s">
        <v>226</v>
      </c>
      <c r="C83" s="141" t="s">
        <v>2</v>
      </c>
      <c r="D83" s="142">
        <v>30</v>
      </c>
      <c r="E83" s="123" t="s">
        <v>211</v>
      </c>
      <c r="F83" s="123"/>
      <c r="G83" s="123"/>
      <c r="H83" s="11" t="s">
        <v>227</v>
      </c>
      <c r="I83" s="123"/>
      <c r="J83" s="123"/>
      <c r="K83" s="123"/>
      <c r="L83" s="123"/>
      <c r="M83" s="123"/>
      <c r="N83" s="123"/>
      <c r="O83" s="123"/>
      <c r="P83" s="137"/>
      <c r="Q83" s="137"/>
      <c r="R83" s="123"/>
      <c r="S83" s="123"/>
      <c r="T83" s="123"/>
      <c r="U83" s="123"/>
    </row>
    <row r="84" spans="1:21" s="90" customFormat="1" ht="14.25">
      <c r="A84" s="132"/>
      <c r="B84" s="143" t="s">
        <v>228</v>
      </c>
      <c r="C84" s="141" t="s">
        <v>2</v>
      </c>
      <c r="D84" s="142">
        <v>415</v>
      </c>
      <c r="E84" s="123" t="s">
        <v>211</v>
      </c>
      <c r="F84" s="123"/>
      <c r="G84" s="123"/>
      <c r="H84" s="11"/>
      <c r="I84" s="123"/>
      <c r="J84" s="123"/>
      <c r="K84" s="123"/>
      <c r="L84" s="123"/>
      <c r="M84" s="123"/>
      <c r="N84" s="123"/>
      <c r="O84" s="123"/>
      <c r="P84" s="137"/>
      <c r="Q84" s="137"/>
      <c r="R84" s="123"/>
      <c r="S84" s="123"/>
      <c r="T84" s="123"/>
      <c r="U84" s="123"/>
    </row>
    <row r="85" spans="1:21" s="90" customFormat="1" ht="14.25">
      <c r="A85" s="132"/>
      <c r="B85" s="140" t="s">
        <v>229</v>
      </c>
      <c r="C85" s="141" t="s">
        <v>2</v>
      </c>
      <c r="D85" s="142">
        <f>G48*1</f>
        <v>1200</v>
      </c>
      <c r="E85" s="144" t="s">
        <v>9</v>
      </c>
      <c r="F85" s="144" t="s">
        <v>230</v>
      </c>
      <c r="G85" s="123"/>
      <c r="H85" s="11"/>
      <c r="I85" s="123"/>
      <c r="J85" s="123"/>
      <c r="K85" s="123"/>
      <c r="L85" s="123"/>
      <c r="M85" s="123"/>
      <c r="N85" s="123"/>
      <c r="O85" s="123"/>
      <c r="P85" s="137"/>
      <c r="Q85" s="137"/>
      <c r="R85" s="123"/>
      <c r="S85" s="123"/>
      <c r="T85" s="123"/>
      <c r="U85" s="123"/>
    </row>
    <row r="86" spans="1:21" s="90" customFormat="1" ht="14.25">
      <c r="A86" s="132"/>
      <c r="B86" s="140" t="s">
        <v>231</v>
      </c>
      <c r="C86" s="141" t="s">
        <v>2</v>
      </c>
      <c r="D86" s="142">
        <f>D85-2*(75-C51/2-C76)</f>
        <v>1099</v>
      </c>
      <c r="E86" s="144" t="s">
        <v>9</v>
      </c>
      <c r="F86" s="144" t="s">
        <v>232</v>
      </c>
      <c r="G86" s="123"/>
      <c r="H86" s="11"/>
      <c r="I86" s="123"/>
      <c r="J86" s="123"/>
      <c r="K86" s="123"/>
      <c r="L86" s="123"/>
      <c r="M86" s="123"/>
      <c r="N86" s="123"/>
      <c r="O86" s="123"/>
      <c r="P86" s="137"/>
      <c r="Q86" s="137"/>
      <c r="R86" s="123"/>
      <c r="S86" s="123"/>
      <c r="T86" s="123"/>
      <c r="U86" s="123"/>
    </row>
    <row r="87" spans="1:21" s="90" customFormat="1" ht="14.25">
      <c r="A87" s="132"/>
      <c r="B87" s="143" t="s">
        <v>233</v>
      </c>
      <c r="C87" s="141" t="s">
        <v>2</v>
      </c>
      <c r="D87" s="142">
        <f>0.18*D81*D82*(D83/D84)*(D85/D86-1)</f>
        <v>35.874891741670936</v>
      </c>
      <c r="E87" s="144" t="s">
        <v>9</v>
      </c>
      <c r="F87" s="144"/>
      <c r="G87" s="123"/>
      <c r="H87" s="11"/>
      <c r="I87" s="123"/>
      <c r="J87" s="123"/>
      <c r="K87" s="123"/>
      <c r="L87" s="123"/>
      <c r="M87" s="123"/>
      <c r="N87" s="123"/>
      <c r="O87" s="123"/>
      <c r="P87" s="137"/>
      <c r="Q87" s="137"/>
      <c r="R87" s="123"/>
      <c r="S87" s="123"/>
      <c r="T87" s="123"/>
      <c r="U87" s="123"/>
    </row>
    <row r="88" spans="1:21" s="90" customFormat="1" ht="14.25">
      <c r="A88" s="132"/>
      <c r="B88" s="143" t="s">
        <v>236</v>
      </c>
      <c r="C88" s="141" t="s">
        <v>2</v>
      </c>
      <c r="D88" s="142">
        <f>0.785*C76^2</f>
        <v>113.04</v>
      </c>
      <c r="E88" s="144" t="s">
        <v>9</v>
      </c>
      <c r="F88" s="142" t="s">
        <v>234</v>
      </c>
      <c r="G88" s="123"/>
      <c r="H88" s="11"/>
      <c r="I88" s="123"/>
      <c r="J88" s="123"/>
      <c r="K88" s="123"/>
      <c r="L88" s="123"/>
      <c r="M88" s="123"/>
      <c r="N88" s="123"/>
      <c r="O88" s="123"/>
      <c r="P88" s="137"/>
      <c r="Q88" s="137"/>
      <c r="R88" s="123"/>
      <c r="S88" s="123"/>
      <c r="T88" s="123"/>
      <c r="U88" s="123"/>
    </row>
    <row r="89" spans="1:21" s="90" customFormat="1">
      <c r="B89" s="135" t="s">
        <v>216</v>
      </c>
      <c r="C89" s="135" t="s">
        <v>217</v>
      </c>
      <c r="D89" s="96">
        <v>100</v>
      </c>
      <c r="E89" s="92" t="s">
        <v>1</v>
      </c>
      <c r="F89" s="92"/>
      <c r="G89" s="92"/>
      <c r="H89" s="92"/>
      <c r="I89" s="92"/>
      <c r="J89" s="92"/>
      <c r="K89" s="92"/>
      <c r="L89" s="92"/>
      <c r="M89" s="92"/>
    </row>
    <row r="90" spans="1:21" s="90" customFormat="1" ht="14.25">
      <c r="B90" s="7" t="s">
        <v>175</v>
      </c>
      <c r="C90" s="90">
        <f>C70</f>
        <v>12</v>
      </c>
      <c r="D90" s="94" t="s">
        <v>183</v>
      </c>
      <c r="E90" s="92"/>
      <c r="F90" s="96">
        <v>100</v>
      </c>
      <c r="G90" s="90" t="s">
        <v>181</v>
      </c>
      <c r="J90" s="96"/>
      <c r="K90" s="96"/>
      <c r="L90" s="96"/>
      <c r="M90" s="96"/>
      <c r="N90" s="96"/>
      <c r="O90" s="93"/>
    </row>
    <row r="91" spans="1:21" s="90" customFormat="1">
      <c r="A91" s="132"/>
      <c r="B91" s="136" t="s">
        <v>218</v>
      </c>
      <c r="C91" s="123"/>
      <c r="D91" s="123"/>
      <c r="E91" s="123"/>
      <c r="F91" s="123"/>
      <c r="G91" s="123"/>
      <c r="H91" s="11"/>
      <c r="I91" s="123"/>
      <c r="J91" s="123"/>
      <c r="K91" s="123"/>
      <c r="L91" s="123"/>
      <c r="M91" s="123"/>
      <c r="N91" s="123"/>
      <c r="O91" s="123"/>
      <c r="P91" s="137"/>
      <c r="Q91" s="137"/>
      <c r="R91" s="123"/>
      <c r="S91" s="123"/>
      <c r="T91" s="123"/>
      <c r="U91" s="123"/>
    </row>
    <row r="92" spans="1:21" s="90" customFormat="1">
      <c r="A92" s="132"/>
      <c r="B92" s="138" t="s">
        <v>219</v>
      </c>
      <c r="C92" s="123"/>
      <c r="D92" s="123"/>
      <c r="E92" s="123"/>
      <c r="F92" s="123"/>
      <c r="G92" s="123"/>
      <c r="H92" s="11"/>
      <c r="I92" s="123"/>
      <c r="J92" s="123"/>
      <c r="K92" s="123"/>
      <c r="L92" s="123"/>
      <c r="M92" s="123"/>
      <c r="N92" s="123"/>
      <c r="O92" s="123"/>
      <c r="P92" s="137"/>
      <c r="Q92" s="137"/>
      <c r="R92" s="123"/>
      <c r="S92" s="123"/>
      <c r="T92" s="123"/>
      <c r="U92" s="123"/>
    </row>
    <row r="93" spans="1:21" s="90" customFormat="1">
      <c r="A93"/>
      <c r="B93" s="1" t="s">
        <v>11</v>
      </c>
      <c r="C93"/>
      <c r="D93"/>
      <c r="E93"/>
      <c r="F93"/>
      <c r="G93"/>
      <c r="H93"/>
      <c r="I93"/>
      <c r="J93" s="2"/>
      <c r="K93"/>
      <c r="L93"/>
      <c r="M93"/>
      <c r="N93"/>
      <c r="O93"/>
      <c r="P93"/>
      <c r="Q93"/>
      <c r="R93"/>
      <c r="S93"/>
      <c r="T93"/>
      <c r="U93"/>
    </row>
    <row r="94" spans="1:21" s="90" customFormat="1">
      <c r="A94"/>
      <c r="B94" s="1" t="s">
        <v>182</v>
      </c>
      <c r="C94" s="15">
        <f>C51</f>
        <v>25</v>
      </c>
      <c r="D94" s="145" t="s">
        <v>165</v>
      </c>
      <c r="E94" s="15">
        <f>D52</f>
        <v>290</v>
      </c>
      <c r="F94" s="15" t="s">
        <v>12</v>
      </c>
      <c r="G94" s="100"/>
      <c r="H94" s="203" t="s">
        <v>462</v>
      </c>
      <c r="I94" s="1"/>
      <c r="J94" s="38"/>
      <c r="K94"/>
      <c r="L94"/>
      <c r="M94"/>
      <c r="N94"/>
      <c r="O94"/>
      <c r="P94"/>
      <c r="Q94"/>
      <c r="R94"/>
      <c r="S94"/>
      <c r="T94"/>
      <c r="U94"/>
    </row>
    <row r="95" spans="1:21" s="90" customFormat="1">
      <c r="A95"/>
      <c r="B95" s="1" t="s">
        <v>172</v>
      </c>
      <c r="C95" s="83" t="str">
        <f>CONCATENATE("   ",C90,D90,F90,G90)</f>
        <v xml:space="preserve">   12mm dia rings @100mm c/c.</v>
      </c>
      <c r="D95" s="1"/>
      <c r="E95" s="14"/>
      <c r="F95" s="12"/>
      <c r="G95"/>
      <c r="H95"/>
      <c r="I95"/>
      <c r="J95" s="2"/>
      <c r="K95"/>
      <c r="L95"/>
      <c r="M95"/>
      <c r="N95"/>
      <c r="O95"/>
      <c r="P95"/>
      <c r="Q95"/>
      <c r="R95"/>
      <c r="S95"/>
      <c r="T95"/>
      <c r="U95"/>
    </row>
    <row r="96" spans="1:21" s="90" customFormat="1"/>
    <row r="97" spans="2:15" s="90" customFormat="1">
      <c r="D97" s="91"/>
      <c r="F97" s="91"/>
      <c r="H97" s="91"/>
    </row>
    <row r="98" spans="2:15" s="90" customFormat="1">
      <c r="C98" s="91"/>
      <c r="D98" s="84"/>
      <c r="E98" s="89"/>
    </row>
    <row r="99" spans="2:15" s="90" customFormat="1">
      <c r="C99" s="91"/>
      <c r="D99" s="97"/>
      <c r="E99" s="89"/>
    </row>
    <row r="100" spans="2:15" s="90" customFormat="1"/>
    <row r="101" spans="2:15" s="90" customFormat="1">
      <c r="C101" s="91"/>
      <c r="D101" s="92"/>
    </row>
    <row r="102" spans="2:15" s="90" customFormat="1">
      <c r="C102" s="91"/>
      <c r="D102" s="96"/>
    </row>
    <row r="103" spans="2:15" s="90" customFormat="1"/>
    <row r="104" spans="2:15" s="90" customFormat="1"/>
    <row r="105" spans="2:15" s="90" customFormat="1">
      <c r="C105" s="91"/>
      <c r="D105" s="92"/>
    </row>
    <row r="106" spans="2:15" s="90" customFormat="1" ht="14.25">
      <c r="C106" s="91"/>
      <c r="D106" s="92"/>
      <c r="H106" s="93"/>
      <c r="M106" s="93"/>
    </row>
    <row r="107" spans="2:15" s="90" customFormat="1">
      <c r="C107" s="91"/>
      <c r="D107" s="94"/>
    </row>
    <row r="108" spans="2:15" s="90" customFormat="1">
      <c r="B108" s="17"/>
      <c r="C108" s="17"/>
      <c r="D108" s="17"/>
      <c r="E108" s="17"/>
      <c r="F108" s="17"/>
      <c r="G108" s="17"/>
      <c r="H108" s="17"/>
      <c r="I108" s="17"/>
      <c r="J108" s="17"/>
      <c r="K108" s="17"/>
      <c r="L108" s="17"/>
      <c r="M108" s="17"/>
      <c r="N108" s="17"/>
      <c r="O108" s="17"/>
    </row>
    <row r="109" spans="2:15" s="90" customFormat="1">
      <c r="B109" s="17"/>
      <c r="C109" s="17"/>
      <c r="D109" s="17"/>
      <c r="E109" s="17"/>
      <c r="F109" s="17"/>
      <c r="G109" s="17"/>
      <c r="H109" s="17"/>
      <c r="I109" s="17"/>
      <c r="J109" s="17"/>
      <c r="K109" s="17"/>
      <c r="L109" s="17"/>
    </row>
    <row r="110" spans="2:15" s="90" customFormat="1">
      <c r="D110" s="92"/>
      <c r="E110" s="95"/>
      <c r="F110" s="92"/>
      <c r="G110" s="92"/>
      <c r="H110" s="92"/>
      <c r="I110" s="92"/>
    </row>
    <row r="111" spans="2:15" s="90" customFormat="1">
      <c r="D111" s="96"/>
      <c r="E111" s="96"/>
      <c r="F111" s="96"/>
      <c r="G111" s="96"/>
      <c r="H111" s="96"/>
      <c r="I111" s="92"/>
      <c r="K111" s="92"/>
      <c r="L111" s="92"/>
      <c r="M111" s="92"/>
      <c r="N111" s="92"/>
      <c r="O111" s="92"/>
    </row>
    <row r="112" spans="2:15" s="90" customFormat="1">
      <c r="C112" s="91"/>
      <c r="D112" s="94"/>
      <c r="E112" s="92"/>
      <c r="F112" s="92"/>
      <c r="G112" s="92"/>
      <c r="H112" s="92"/>
      <c r="I112" s="92"/>
      <c r="J112" s="92"/>
      <c r="K112" s="92"/>
      <c r="L112" s="92"/>
      <c r="M112" s="92"/>
    </row>
    <row r="113" spans="2:15" s="90" customFormat="1">
      <c r="D113" s="92"/>
      <c r="E113" s="92"/>
    </row>
    <row r="114" spans="2:15" s="90" customFormat="1" ht="14.25">
      <c r="D114" s="96"/>
      <c r="E114" s="96"/>
      <c r="F114" s="96"/>
      <c r="I114" s="93"/>
      <c r="J114" s="92"/>
      <c r="O114" s="93"/>
    </row>
    <row r="115" spans="2:15" s="90" customFormat="1">
      <c r="D115" s="94"/>
    </row>
    <row r="116" spans="2:15" s="90" customFormat="1">
      <c r="B116" s="17"/>
      <c r="C116" s="17"/>
      <c r="D116" s="17"/>
      <c r="E116" s="17"/>
      <c r="F116" s="17"/>
      <c r="G116" s="17"/>
      <c r="H116" s="17"/>
      <c r="I116" s="17"/>
      <c r="J116" s="17"/>
      <c r="K116" s="17"/>
      <c r="L116" s="17"/>
    </row>
    <row r="117" spans="2:15" s="90" customFormat="1"/>
    <row r="118" spans="2:15" s="90" customFormat="1"/>
    <row r="119" spans="2:15" s="90" customFormat="1"/>
    <row r="120" spans="2:15" s="90" customFormat="1"/>
    <row r="121" spans="2:15" s="90" customFormat="1"/>
    <row r="122" spans="2:15" s="90" customFormat="1"/>
    <row r="123" spans="2:15" s="90" customFormat="1"/>
    <row r="124" spans="2:15" s="90" customFormat="1"/>
    <row r="125" spans="2:15" s="90" customFormat="1"/>
    <row r="126" spans="2:15" s="90" customFormat="1"/>
    <row r="127" spans="2:15" s="90" customFormat="1"/>
    <row r="128" spans="2:15" s="90" customFormat="1"/>
    <row r="129" s="90" customFormat="1"/>
    <row r="130" s="90" customFormat="1"/>
    <row r="131" s="90" customFormat="1"/>
    <row r="132" s="90" customFormat="1"/>
    <row r="133" s="90" customFormat="1"/>
    <row r="134" s="90" customFormat="1"/>
    <row r="135" s="90" customFormat="1"/>
    <row r="136" s="90" customFormat="1"/>
    <row r="137" s="90" customFormat="1"/>
    <row r="138" s="90" customFormat="1"/>
    <row r="139" s="90" customFormat="1"/>
    <row r="140" s="90" customFormat="1"/>
    <row r="141" s="90" customFormat="1"/>
    <row r="142" s="90" customFormat="1"/>
    <row r="143" s="90" customFormat="1"/>
    <row r="144" s="90" customFormat="1"/>
    <row r="145" spans="1:21" s="90" customFormat="1"/>
    <row r="146" spans="1:21" s="90" customFormat="1"/>
    <row r="147" spans="1:21" s="90" customFormat="1"/>
    <row r="148" spans="1:21" s="90" customFormat="1"/>
    <row r="149" spans="1:21" s="90" customFormat="1"/>
    <row r="150" spans="1:21" s="90" customFormat="1"/>
    <row r="151" spans="1:21" s="90" customFormat="1"/>
    <row r="152" spans="1:21" s="90" customFormat="1"/>
    <row r="153" spans="1:21">
      <c r="A153" s="90"/>
      <c r="B153" s="90"/>
      <c r="C153" s="90"/>
      <c r="D153" s="90"/>
      <c r="E153" s="90"/>
      <c r="F153" s="90"/>
      <c r="G153" s="90"/>
      <c r="H153" s="90"/>
      <c r="I153" s="90"/>
      <c r="J153" s="90"/>
      <c r="K153" s="90"/>
      <c r="L153" s="90"/>
      <c r="M153" s="90"/>
      <c r="N153" s="90"/>
      <c r="O153" s="90"/>
      <c r="P153" s="90"/>
      <c r="Q153" s="90"/>
      <c r="R153" s="90"/>
      <c r="S153" s="90"/>
      <c r="T153" s="90"/>
      <c r="U153" s="90"/>
    </row>
    <row r="154" spans="1:21">
      <c r="A154" s="90"/>
      <c r="B154" s="90"/>
      <c r="C154" s="90"/>
      <c r="D154" s="90"/>
      <c r="E154" s="90"/>
      <c r="F154" s="90"/>
      <c r="G154" s="90"/>
      <c r="H154" s="90"/>
      <c r="I154" s="90"/>
      <c r="J154" s="90"/>
      <c r="K154" s="90"/>
      <c r="L154" s="90"/>
      <c r="M154" s="90"/>
      <c r="N154" s="90"/>
      <c r="O154" s="90"/>
      <c r="P154" s="90"/>
      <c r="Q154" s="90"/>
      <c r="R154" s="90"/>
      <c r="S154" s="90"/>
      <c r="T154" s="90"/>
      <c r="U154" s="90"/>
    </row>
    <row r="155" spans="1:21">
      <c r="A155" s="90"/>
      <c r="B155" s="90"/>
      <c r="C155" s="90"/>
      <c r="D155" s="90"/>
      <c r="E155" s="90"/>
      <c r="F155" s="90"/>
      <c r="G155" s="90"/>
      <c r="H155" s="90"/>
      <c r="I155" s="90"/>
      <c r="J155" s="90"/>
      <c r="K155" s="90"/>
      <c r="L155" s="90"/>
      <c r="M155" s="90"/>
      <c r="N155" s="90"/>
      <c r="O155" s="90"/>
      <c r="P155" s="90"/>
      <c r="Q155" s="90"/>
      <c r="R155" s="90"/>
      <c r="S155" s="90"/>
      <c r="T155" s="90"/>
      <c r="U155" s="90"/>
    </row>
    <row r="156" spans="1:21">
      <c r="A156" s="90"/>
      <c r="B156" s="90"/>
      <c r="C156" s="90"/>
      <c r="D156" s="90"/>
      <c r="E156" s="90"/>
      <c r="F156" s="90"/>
      <c r="G156" s="90"/>
      <c r="H156" s="90"/>
      <c r="I156" s="90"/>
      <c r="J156" s="90"/>
      <c r="K156" s="90"/>
      <c r="L156" s="90"/>
      <c r="M156" s="90"/>
      <c r="N156" s="90"/>
      <c r="O156" s="90"/>
      <c r="P156" s="90"/>
      <c r="Q156" s="90"/>
      <c r="R156" s="90"/>
      <c r="S156" s="90"/>
      <c r="T156" s="90"/>
      <c r="U156" s="90"/>
    </row>
    <row r="157" spans="1:21">
      <c r="A157" s="90"/>
      <c r="B157" s="90"/>
      <c r="C157" s="90"/>
      <c r="D157" s="90"/>
      <c r="E157" s="90"/>
      <c r="F157" s="90"/>
      <c r="G157" s="90"/>
      <c r="H157" s="90"/>
      <c r="I157" s="90"/>
      <c r="J157" s="90"/>
      <c r="K157" s="90"/>
      <c r="L157" s="90"/>
      <c r="M157" s="90"/>
      <c r="N157" s="90"/>
      <c r="O157" s="90"/>
      <c r="P157" s="90"/>
      <c r="Q157" s="90"/>
      <c r="R157" s="90"/>
      <c r="S157" s="90"/>
      <c r="T157" s="90"/>
      <c r="U157" s="90"/>
    </row>
    <row r="158" spans="1:21">
      <c r="A158" s="90"/>
      <c r="B158" s="90"/>
      <c r="C158" s="90"/>
      <c r="D158" s="90"/>
      <c r="E158" s="90"/>
      <c r="F158" s="90"/>
      <c r="G158" s="90"/>
      <c r="H158" s="90"/>
      <c r="I158" s="90"/>
      <c r="J158" s="90"/>
      <c r="K158" s="90"/>
      <c r="L158" s="90"/>
      <c r="M158" s="90"/>
      <c r="N158" s="90"/>
      <c r="O158" s="90"/>
      <c r="P158" s="90"/>
      <c r="Q158" s="90"/>
      <c r="R158" s="90"/>
      <c r="S158" s="90"/>
      <c r="T158" s="90"/>
      <c r="U158" s="90"/>
    </row>
    <row r="159" spans="1:21">
      <c r="A159" s="90"/>
      <c r="B159" s="90"/>
      <c r="C159" s="90"/>
      <c r="D159" s="90"/>
      <c r="E159" s="90"/>
      <c r="F159" s="90"/>
      <c r="G159" s="90"/>
      <c r="H159" s="90"/>
      <c r="I159" s="90"/>
      <c r="J159" s="90"/>
      <c r="K159" s="90"/>
      <c r="L159" s="90"/>
      <c r="M159" s="90"/>
      <c r="N159" s="90"/>
      <c r="O159" s="90"/>
      <c r="P159" s="90"/>
      <c r="Q159" s="90"/>
      <c r="R159" s="90"/>
      <c r="S159" s="90"/>
      <c r="T159" s="90"/>
      <c r="U159" s="90"/>
    </row>
    <row r="160" spans="1:21">
      <c r="A160" s="90"/>
      <c r="B160" s="90"/>
      <c r="C160" s="90"/>
      <c r="D160" s="90"/>
      <c r="E160" s="90"/>
      <c r="F160" s="90"/>
      <c r="G160" s="90"/>
      <c r="H160" s="90"/>
      <c r="I160" s="90"/>
      <c r="J160" s="90"/>
      <c r="K160" s="90"/>
      <c r="L160" s="90"/>
      <c r="M160" s="90"/>
      <c r="N160" s="90"/>
      <c r="O160" s="90"/>
      <c r="P160" s="90"/>
      <c r="Q160" s="90"/>
      <c r="R160" s="90"/>
      <c r="S160" s="90"/>
      <c r="T160" s="90"/>
      <c r="U160" s="90"/>
    </row>
    <row r="161" spans="1:21">
      <c r="A161" s="90"/>
      <c r="B161" s="90"/>
      <c r="C161" s="90"/>
      <c r="D161" s="90"/>
      <c r="E161" s="90"/>
      <c r="F161" s="90"/>
      <c r="G161" s="90"/>
      <c r="H161" s="90"/>
      <c r="I161" s="90"/>
      <c r="J161" s="90"/>
      <c r="K161" s="90"/>
      <c r="L161" s="90"/>
      <c r="M161" s="90"/>
      <c r="N161" s="90"/>
      <c r="O161" s="90"/>
      <c r="P161" s="90"/>
      <c r="Q161" s="90"/>
      <c r="R161" s="90"/>
      <c r="S161" s="90"/>
      <c r="T161" s="90"/>
      <c r="U161" s="90"/>
    </row>
    <row r="162" spans="1:21">
      <c r="A162" s="90"/>
      <c r="B162" s="90"/>
      <c r="C162" s="90"/>
      <c r="D162" s="90"/>
      <c r="E162" s="90"/>
      <c r="F162" s="90"/>
      <c r="G162" s="90"/>
      <c r="H162" s="90"/>
      <c r="I162" s="90"/>
      <c r="J162" s="90"/>
      <c r="K162" s="90"/>
      <c r="L162" s="90"/>
      <c r="M162" s="90"/>
      <c r="N162" s="90"/>
      <c r="O162" s="90"/>
      <c r="P162" s="90"/>
      <c r="Q162" s="90"/>
      <c r="R162" s="90"/>
      <c r="S162" s="90"/>
      <c r="T162" s="90"/>
      <c r="U162" s="90"/>
    </row>
    <row r="163" spans="1:21">
      <c r="A163" s="90"/>
      <c r="B163" s="90"/>
      <c r="C163" s="90"/>
      <c r="D163" s="90"/>
      <c r="E163" s="90"/>
      <c r="F163" s="90"/>
      <c r="G163" s="90"/>
      <c r="H163" s="90"/>
      <c r="I163" s="90"/>
      <c r="J163" s="90"/>
      <c r="K163" s="90"/>
      <c r="L163" s="90"/>
      <c r="M163" s="90"/>
      <c r="N163" s="90"/>
      <c r="O163" s="90"/>
      <c r="P163" s="90"/>
      <c r="Q163" s="90"/>
      <c r="R163" s="90"/>
      <c r="S163" s="90"/>
      <c r="T163" s="90"/>
      <c r="U163" s="90"/>
    </row>
    <row r="164" spans="1:21">
      <c r="A164" s="90"/>
      <c r="B164" s="90"/>
      <c r="C164" s="90"/>
      <c r="D164" s="90"/>
      <c r="E164" s="90"/>
      <c r="F164" s="90"/>
      <c r="G164" s="90"/>
      <c r="H164" s="90"/>
      <c r="I164" s="90"/>
      <c r="J164" s="90"/>
      <c r="K164" s="90"/>
      <c r="L164" s="90"/>
      <c r="M164" s="90"/>
      <c r="N164" s="90"/>
      <c r="O164" s="90"/>
      <c r="P164" s="90"/>
      <c r="Q164" s="90"/>
      <c r="R164" s="90"/>
      <c r="S164" s="90"/>
      <c r="T164" s="90"/>
      <c r="U164" s="90"/>
    </row>
    <row r="165" spans="1:21">
      <c r="A165" s="90"/>
      <c r="B165" s="90"/>
      <c r="C165" s="90"/>
      <c r="D165" s="90"/>
      <c r="E165" s="90"/>
      <c r="F165" s="90"/>
      <c r="G165" s="90"/>
      <c r="H165" s="90"/>
      <c r="I165" s="90"/>
      <c r="J165" s="90"/>
      <c r="K165" s="90"/>
      <c r="L165" s="90"/>
      <c r="M165" s="90"/>
      <c r="N165" s="90"/>
      <c r="O165" s="90"/>
      <c r="P165" s="90"/>
      <c r="Q165" s="90"/>
      <c r="R165" s="90"/>
      <c r="S165" s="90"/>
      <c r="T165" s="90"/>
      <c r="U165" s="90"/>
    </row>
    <row r="166" spans="1:21">
      <c r="A166" s="90"/>
      <c r="B166" s="90"/>
      <c r="C166" s="90"/>
      <c r="D166" s="90"/>
      <c r="E166" s="90"/>
      <c r="F166" s="90"/>
      <c r="G166" s="90"/>
      <c r="H166" s="90"/>
      <c r="I166" s="90"/>
      <c r="J166" s="90"/>
      <c r="K166" s="90"/>
      <c r="L166" s="90"/>
      <c r="M166" s="90"/>
      <c r="N166" s="90"/>
      <c r="O166" s="90"/>
      <c r="P166" s="90"/>
      <c r="Q166" s="90"/>
      <c r="R166" s="90"/>
      <c r="S166" s="90"/>
      <c r="T166" s="90"/>
      <c r="U166" s="90"/>
    </row>
    <row r="167" spans="1:21">
      <c r="A167" s="90"/>
      <c r="B167" s="90"/>
      <c r="C167" s="90"/>
      <c r="D167" s="90"/>
      <c r="E167" s="90"/>
      <c r="F167" s="90"/>
      <c r="G167" s="90"/>
      <c r="H167" s="90"/>
      <c r="I167" s="90"/>
      <c r="J167" s="90"/>
      <c r="K167" s="90"/>
      <c r="L167" s="90"/>
      <c r="M167" s="90"/>
      <c r="N167" s="90"/>
      <c r="O167" s="90"/>
      <c r="P167" s="90"/>
      <c r="Q167" s="90"/>
      <c r="R167" s="90"/>
      <c r="S167" s="90"/>
      <c r="T167" s="90"/>
      <c r="U167" s="90"/>
    </row>
    <row r="168" spans="1:21">
      <c r="A168" s="90"/>
      <c r="B168" s="90"/>
      <c r="C168" s="90"/>
      <c r="D168" s="90"/>
      <c r="E168" s="90"/>
      <c r="F168" s="90"/>
      <c r="G168" s="90"/>
      <c r="H168" s="90"/>
      <c r="I168" s="90"/>
      <c r="J168" s="90"/>
      <c r="K168" s="90"/>
      <c r="L168" s="90"/>
      <c r="M168" s="90"/>
      <c r="N168" s="90"/>
      <c r="O168" s="90"/>
      <c r="P168" s="90"/>
      <c r="Q168" s="90"/>
      <c r="R168" s="90"/>
      <c r="S168" s="90"/>
      <c r="T168" s="90"/>
      <c r="U168" s="90"/>
    </row>
    <row r="169" spans="1:21">
      <c r="A169" s="90"/>
      <c r="B169" s="90"/>
      <c r="C169" s="90"/>
      <c r="D169" s="90"/>
      <c r="E169" s="90"/>
      <c r="F169" s="90"/>
      <c r="G169" s="90"/>
      <c r="H169" s="90"/>
      <c r="I169" s="90"/>
      <c r="J169" s="90"/>
      <c r="K169" s="90"/>
      <c r="L169" s="90"/>
      <c r="M169" s="90"/>
      <c r="N169" s="90"/>
      <c r="O169" s="90"/>
      <c r="P169" s="90"/>
      <c r="Q169" s="90"/>
      <c r="R169" s="90"/>
      <c r="S169" s="90"/>
      <c r="T169" s="90"/>
      <c r="U169" s="90"/>
    </row>
    <row r="170" spans="1:21">
      <c r="A170" s="90"/>
      <c r="B170" s="90"/>
      <c r="C170" s="90"/>
      <c r="D170" s="90"/>
      <c r="E170" s="90"/>
      <c r="F170" s="90"/>
      <c r="G170" s="90"/>
      <c r="H170" s="90"/>
      <c r="I170" s="90"/>
      <c r="J170" s="90"/>
      <c r="K170" s="90"/>
      <c r="L170" s="90"/>
      <c r="M170" s="90"/>
      <c r="N170" s="90"/>
      <c r="O170" s="90"/>
      <c r="P170" s="90"/>
      <c r="Q170" s="90"/>
      <c r="R170" s="90"/>
      <c r="S170" s="90"/>
      <c r="T170" s="90"/>
      <c r="U170" s="90"/>
    </row>
  </sheetData>
  <mergeCells count="6">
    <mergeCell ref="A1:O1"/>
    <mergeCell ref="B67:D67"/>
    <mergeCell ref="B39:L39"/>
    <mergeCell ref="B38:L38"/>
    <mergeCell ref="B58:L58"/>
    <mergeCell ref="A2:O2"/>
  </mergeCells>
  <phoneticPr fontId="0" type="noConversion"/>
  <pageMargins left="0.75" right="0.75" top="1" bottom="1" header="0.5" footer="0.5"/>
  <pageSetup paperSize="9" scale="88" firstPageNumber="19" fitToHeight="28" orientation="landscape" horizontalDpi="300" verticalDpi="300" r:id="rId1"/>
  <headerFooter>
    <oddFooter>&amp;L&amp;P/{&amp;N}&amp;C&amp;F&amp;R&amp;A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5"/>
  <sheetViews>
    <sheetView zoomScaleNormal="100" zoomScaleSheetLayoutView="100" workbookViewId="0">
      <selection activeCell="G16" sqref="G16"/>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c r="A1" s="724" t="s">
        <v>485</v>
      </c>
      <c r="B1" s="724"/>
      <c r="C1" s="724"/>
      <c r="D1" s="724"/>
      <c r="E1" s="724"/>
      <c r="F1" s="724"/>
      <c r="G1" s="724"/>
      <c r="H1" s="724"/>
      <c r="I1" s="724"/>
      <c r="J1" s="724"/>
      <c r="K1" s="724"/>
      <c r="L1" s="724"/>
      <c r="M1" s="724"/>
      <c r="N1" s="724"/>
    </row>
    <row r="2" spans="1:14">
      <c r="A2" s="723" t="str">
        <f>'STEEL IN PIER'!A2:O2</f>
        <v>Name Of Work :- Construction of Submersible Bridge on ON KHERWARA - JAWAS - SUVERI ROAD IN KM 9/000, ACROSS RIVER SOM</v>
      </c>
      <c r="B2" s="723"/>
      <c r="C2" s="723"/>
      <c r="D2" s="723"/>
      <c r="E2" s="723"/>
      <c r="F2" s="723"/>
      <c r="G2" s="723"/>
      <c r="H2" s="723"/>
      <c r="I2" s="723"/>
      <c r="J2" s="723"/>
      <c r="K2" s="723"/>
      <c r="L2" s="723"/>
      <c r="M2" s="723"/>
      <c r="N2" s="723"/>
    </row>
    <row r="3" spans="1:14">
      <c r="A3" s="1" t="s">
        <v>356</v>
      </c>
      <c r="B3" s="2"/>
      <c r="C3" s="19"/>
      <c r="E3"/>
    </row>
    <row r="4" spans="1:14" ht="15.75">
      <c r="A4" s="1"/>
      <c r="B4" s="6" t="s">
        <v>357</v>
      </c>
      <c r="C4" t="s">
        <v>412</v>
      </c>
      <c r="D4" s="2">
        <f>'STABILITY CHECK FOR PIER'!E52</f>
        <v>12</v>
      </c>
      <c r="E4" s="7" t="s">
        <v>0</v>
      </c>
    </row>
    <row r="5" spans="1:14" ht="15.75">
      <c r="A5" s="1"/>
      <c r="B5" s="6" t="s">
        <v>358</v>
      </c>
      <c r="C5" t="s">
        <v>413</v>
      </c>
      <c r="D5" s="2">
        <f>'STABILITY CHECK FOR PIER'!G52</f>
        <v>3.8</v>
      </c>
      <c r="E5" s="7" t="s">
        <v>0</v>
      </c>
    </row>
    <row r="6" spans="1:14">
      <c r="A6" s="1"/>
      <c r="B6" s="6" t="s">
        <v>359</v>
      </c>
      <c r="D6" s="2">
        <v>1.2</v>
      </c>
      <c r="E6" s="7" t="s">
        <v>0</v>
      </c>
    </row>
    <row r="7" spans="1:14">
      <c r="A7" s="1"/>
      <c r="B7" s="6" t="s">
        <v>360</v>
      </c>
      <c r="C7" t="s">
        <v>44</v>
      </c>
      <c r="D7" s="2">
        <f>'STABILITY CHECK FOR PIER'!D263</f>
        <v>5073.0874353053905</v>
      </c>
      <c r="E7" s="7" t="s">
        <v>10</v>
      </c>
    </row>
    <row r="8" spans="1:14" ht="15.75">
      <c r="A8" s="1"/>
      <c r="B8" s="6" t="s">
        <v>361</v>
      </c>
      <c r="C8" s="19" t="s">
        <v>414</v>
      </c>
      <c r="D8" s="2">
        <f>'STABILITY CHECK FOR PIER'!J265</f>
        <v>356.81410292867747</v>
      </c>
      <c r="E8" s="7" t="s">
        <v>5</v>
      </c>
    </row>
    <row r="9" spans="1:14" ht="15.75">
      <c r="B9" s="6" t="s">
        <v>362</v>
      </c>
      <c r="C9" t="s">
        <v>415</v>
      </c>
      <c r="D9" s="2">
        <f>'STABILITY CHECK FOR PIER'!J266</f>
        <v>2467.3357388865829</v>
      </c>
      <c r="E9" s="7" t="s">
        <v>5</v>
      </c>
    </row>
    <row r="10" spans="1:14" ht="15.75" hidden="1">
      <c r="A10" s="1"/>
      <c r="B10" s="7" t="s">
        <v>416</v>
      </c>
      <c r="C10" s="19" t="s">
        <v>417</v>
      </c>
      <c r="D10" s="2">
        <f>D8/D7</f>
        <v>7.0334703960645992E-2</v>
      </c>
      <c r="E10" s="7" t="s">
        <v>0</v>
      </c>
    </row>
    <row r="11" spans="1:14" ht="15.75" hidden="1">
      <c r="B11" s="7" t="s">
        <v>418</v>
      </c>
      <c r="C11" s="19" t="s">
        <v>419</v>
      </c>
      <c r="D11" s="2">
        <f>D9/D7</f>
        <v>0.48635781865605748</v>
      </c>
      <c r="E11" s="7" t="s">
        <v>0</v>
      </c>
    </row>
    <row r="12" spans="1:14" ht="15.75" hidden="1">
      <c r="B12" s="47" t="s">
        <v>420</v>
      </c>
      <c r="C12" s="2"/>
      <c r="D12" s="2">
        <f>D10/D4</f>
        <v>5.8612253300538326E-3</v>
      </c>
      <c r="E12" s="730" t="s">
        <v>363</v>
      </c>
      <c r="F12" s="730"/>
      <c r="G12" s="730"/>
    </row>
    <row r="13" spans="1:14" ht="15.75" hidden="1">
      <c r="B13" s="47" t="s">
        <v>421</v>
      </c>
      <c r="C13" s="2"/>
      <c r="D13" s="2">
        <f>D11/D5</f>
        <v>0.12798889964633092</v>
      </c>
      <c r="E13" s="730"/>
      <c r="F13" s="730"/>
      <c r="G13" s="730"/>
    </row>
    <row r="14" spans="1:14" ht="12.75" hidden="1" customHeight="1">
      <c r="B14" s="47" t="s">
        <v>364</v>
      </c>
      <c r="C14" s="2"/>
      <c r="D14" s="185">
        <v>1</v>
      </c>
      <c r="E14" s="730"/>
      <c r="F14" s="730"/>
      <c r="G14" s="730"/>
    </row>
    <row r="15" spans="1:14" hidden="1">
      <c r="B15" s="47" t="s">
        <v>365</v>
      </c>
      <c r="C15" s="2"/>
      <c r="D15" s="186">
        <v>0</v>
      </c>
      <c r="E15" s="730"/>
      <c r="F15" s="730"/>
      <c r="G15" s="730"/>
    </row>
    <row r="16" spans="1:14" ht="15.75">
      <c r="B16" s="122" t="s">
        <v>422</v>
      </c>
      <c r="C16" s="122"/>
      <c r="D16" s="187"/>
      <c r="E16" s="143">
        <f>D5*D15</f>
        <v>0</v>
      </c>
      <c r="F16" s="42" t="s">
        <v>423</v>
      </c>
      <c r="G16" s="123">
        <f>E16/D5*100</f>
        <v>0</v>
      </c>
      <c r="H16" s="19" t="s">
        <v>27</v>
      </c>
    </row>
    <row r="17" spans="1:8" ht="14.25">
      <c r="A17" s="1"/>
      <c r="B17" s="6" t="s">
        <v>366</v>
      </c>
      <c r="C17" s="6"/>
      <c r="E17" s="143">
        <f>'STABILITY CHECK FOR PIER'!D279</f>
        <v>138.66109635051396</v>
      </c>
      <c r="F17" s="42" t="s">
        <v>108</v>
      </c>
    </row>
    <row r="18" spans="1:8" ht="14.25">
      <c r="A18" s="1"/>
      <c r="B18" s="6" t="s">
        <v>367</v>
      </c>
      <c r="C18" s="6"/>
      <c r="E18" s="143">
        <f>E17*D14</f>
        <v>138.66109635051396</v>
      </c>
      <c r="F18" s="42" t="s">
        <v>108</v>
      </c>
    </row>
    <row r="19" spans="1:8" s="125" customFormat="1" ht="14.25">
      <c r="B19" s="122" t="s">
        <v>368</v>
      </c>
      <c r="C19" s="122"/>
      <c r="D19" s="187"/>
      <c r="E19" s="143">
        <f>E18</f>
        <v>138.66109635051396</v>
      </c>
      <c r="F19" s="42" t="s">
        <v>108</v>
      </c>
    </row>
    <row r="20" spans="1:8" s="125" customFormat="1" ht="15" customHeight="1">
      <c r="B20" s="122" t="s">
        <v>369</v>
      </c>
      <c r="C20" s="122"/>
      <c r="D20" s="187"/>
      <c r="E20" s="143">
        <f>'Footing STRESS DIAGRAM'!C4</f>
        <v>1.2999999999999998</v>
      </c>
      <c r="F20" s="188" t="s">
        <v>0</v>
      </c>
    </row>
    <row r="21" spans="1:8" s="125" customFormat="1" ht="14.25">
      <c r="B21" s="122" t="s">
        <v>370</v>
      </c>
      <c r="C21" s="122"/>
      <c r="D21" s="187"/>
      <c r="E21" s="143">
        <f>(D5-E16-E20)*E19/(D5-E16)</f>
        <v>91.224405493759193</v>
      </c>
      <c r="F21" s="42" t="s">
        <v>108</v>
      </c>
    </row>
    <row r="22" spans="1:8" s="125" customFormat="1" ht="14.25">
      <c r="B22" s="122" t="s">
        <v>371</v>
      </c>
      <c r="C22" s="122"/>
      <c r="D22" s="187"/>
      <c r="E22" s="143">
        <f>(E19+E21)/2</f>
        <v>114.94275092213658</v>
      </c>
      <c r="F22" s="42" t="s">
        <v>108</v>
      </c>
    </row>
    <row r="23" spans="1:8" s="125" customFormat="1" ht="14.25">
      <c r="B23" s="122" t="s">
        <v>372</v>
      </c>
      <c r="C23" s="122"/>
      <c r="D23" s="187"/>
      <c r="E23" s="143">
        <f>E20*1</f>
        <v>1.2999999999999998</v>
      </c>
      <c r="F23" s="42" t="s">
        <v>423</v>
      </c>
    </row>
    <row r="24" spans="1:8" s="125" customFormat="1" ht="25.5">
      <c r="B24" s="122" t="s">
        <v>373</v>
      </c>
      <c r="C24" s="122"/>
      <c r="D24" s="187"/>
      <c r="E24" s="143">
        <f>E20/3*(E21+2*E19)/(E19+E21)</f>
        <v>0.69470899470899461</v>
      </c>
      <c r="F24" s="188" t="s">
        <v>0</v>
      </c>
    </row>
    <row r="25" spans="1:8" s="125" customFormat="1">
      <c r="B25" s="122" t="s">
        <v>374</v>
      </c>
      <c r="C25" s="122"/>
      <c r="D25" s="187"/>
      <c r="E25" s="189">
        <f>E22*E23*E24</f>
        <v>103.80729182486502</v>
      </c>
      <c r="F25" s="42" t="s">
        <v>5</v>
      </c>
    </row>
    <row r="26" spans="1:8" s="125" customFormat="1">
      <c r="B26" s="190" t="s">
        <v>375</v>
      </c>
      <c r="C26" s="191"/>
      <c r="D26" s="191"/>
      <c r="E26" s="192" t="str">
        <f>'STEEL IN PIER'!D16</f>
        <v>M-25</v>
      </c>
      <c r="F26" s="191"/>
      <c r="G26" s="193"/>
      <c r="H26" s="193"/>
    </row>
    <row r="27" spans="1:8" s="125" customFormat="1">
      <c r="B27" s="190" t="s">
        <v>424</v>
      </c>
      <c r="C27" s="191"/>
      <c r="D27" s="191"/>
      <c r="E27" s="192">
        <v>10</v>
      </c>
      <c r="F27" s="17" t="s">
        <v>252</v>
      </c>
      <c r="G27" s="193"/>
      <c r="H27" s="193"/>
    </row>
    <row r="28" spans="1:8" s="125" customFormat="1">
      <c r="B28" s="190" t="s">
        <v>0</v>
      </c>
      <c r="C28" s="191"/>
      <c r="D28" s="191"/>
      <c r="E28" s="194">
        <f>280/(3*E27)</f>
        <v>9.3333333333333339</v>
      </c>
      <c r="F28" s="191"/>
      <c r="G28" s="193"/>
      <c r="H28" s="193"/>
    </row>
    <row r="29" spans="1:8" s="125" customFormat="1">
      <c r="B29" s="195" t="s">
        <v>376</v>
      </c>
      <c r="C29" s="191"/>
      <c r="D29" s="191"/>
      <c r="E29" s="192">
        <v>200</v>
      </c>
      <c r="F29" s="191"/>
      <c r="G29" s="193"/>
      <c r="H29" s="193"/>
    </row>
    <row r="30" spans="1:8" s="125" customFormat="1">
      <c r="B30" s="190" t="s">
        <v>377</v>
      </c>
      <c r="C30" s="17"/>
      <c r="D30" s="17"/>
      <c r="E30" s="196">
        <f>(E28*E27)/(E27*E28+E29)</f>
        <v>0.31818181818181818</v>
      </c>
      <c r="F30" s="17"/>
      <c r="G30"/>
      <c r="H30"/>
    </row>
    <row r="31" spans="1:8" s="125" customFormat="1">
      <c r="B31" s="190" t="s">
        <v>378</v>
      </c>
      <c r="C31" s="17"/>
      <c r="D31" s="17"/>
      <c r="E31" s="196">
        <f>1-(E30/3)</f>
        <v>0.89393939393939392</v>
      </c>
      <c r="F31" s="17"/>
      <c r="G31"/>
      <c r="H31"/>
    </row>
    <row r="32" spans="1:8" s="125" customFormat="1">
      <c r="B32" s="191" t="s">
        <v>18</v>
      </c>
      <c r="C32" s="17"/>
      <c r="D32" s="17"/>
      <c r="E32" s="196">
        <f>0.5*E27*E31*E30</f>
        <v>1.4221763085399448</v>
      </c>
      <c r="F32" s="17"/>
      <c r="G32"/>
      <c r="H32"/>
    </row>
    <row r="33" spans="2:10" s="125" customFormat="1">
      <c r="B33" s="191" t="s">
        <v>379</v>
      </c>
      <c r="C33" s="17"/>
      <c r="D33" s="17"/>
      <c r="E33" s="197">
        <f>SQRT((E25*1000*1000)/(E32*1000))</f>
        <v>270.17005471507701</v>
      </c>
      <c r="F33" s="17" t="s">
        <v>1</v>
      </c>
      <c r="G33"/>
      <c r="H33"/>
    </row>
    <row r="34" spans="2:10" s="125" customFormat="1">
      <c r="B34" s="191" t="s">
        <v>380</v>
      </c>
      <c r="C34" s="17"/>
      <c r="D34" s="17"/>
      <c r="E34" s="221">
        <f>'STABILITY CHECK FOR PIER'!J52*1000</f>
        <v>1000</v>
      </c>
      <c r="F34" s="17" t="s">
        <v>1</v>
      </c>
      <c r="G34"/>
      <c r="H34"/>
    </row>
    <row r="35" spans="2:10" s="125" customFormat="1">
      <c r="B35" s="121" t="s">
        <v>381</v>
      </c>
      <c r="C35" s="20"/>
      <c r="D35" s="20"/>
      <c r="E35" s="197">
        <v>50</v>
      </c>
      <c r="F35" s="17" t="s">
        <v>1</v>
      </c>
    </row>
    <row r="36" spans="2:10" s="125" customFormat="1">
      <c r="B36" s="121" t="s">
        <v>382</v>
      </c>
      <c r="C36" s="20"/>
      <c r="D36" s="20"/>
      <c r="E36" s="198">
        <v>25</v>
      </c>
      <c r="F36" s="17" t="s">
        <v>1</v>
      </c>
    </row>
    <row r="37" spans="2:10" s="125" customFormat="1">
      <c r="B37" s="199" t="s">
        <v>427</v>
      </c>
      <c r="C37" s="20"/>
      <c r="D37" s="20"/>
      <c r="E37" s="197">
        <f>E34-E35-E36/2</f>
        <v>937.5</v>
      </c>
      <c r="F37" s="17" t="s">
        <v>1</v>
      </c>
    </row>
    <row r="38" spans="2:10" s="125" customFormat="1">
      <c r="B38" s="191" t="s">
        <v>383</v>
      </c>
      <c r="C38" s="17"/>
      <c r="D38" s="17"/>
      <c r="E38" s="85">
        <f>IF(E33&gt;E37,E33,E37)</f>
        <v>937.5</v>
      </c>
      <c r="F38" s="17" t="s">
        <v>1</v>
      </c>
    </row>
    <row r="39" spans="2:10" s="125" customFormat="1" ht="14.25">
      <c r="B39" s="191" t="s">
        <v>384</v>
      </c>
      <c r="C39" s="17"/>
      <c r="D39" s="17"/>
      <c r="E39" s="197">
        <f>(E25*1000*1000)/(E29*E31*E38)</f>
        <v>619.32485970088965</v>
      </c>
      <c r="F39" s="17" t="s">
        <v>9</v>
      </c>
    </row>
    <row r="40" spans="2:10" s="125" customFormat="1" ht="14.25">
      <c r="B40" s="89" t="s">
        <v>385</v>
      </c>
      <c r="C40" s="17"/>
      <c r="D40" s="17"/>
      <c r="E40" s="197">
        <f>3.14*E36*E36/4</f>
        <v>490.625</v>
      </c>
      <c r="F40" s="17" t="s">
        <v>9</v>
      </c>
    </row>
    <row r="41" spans="2:10" s="125" customFormat="1">
      <c r="B41" s="190" t="s">
        <v>386</v>
      </c>
      <c r="C41" s="17"/>
      <c r="D41" s="17"/>
      <c r="E41" s="222">
        <f>(E40*1000)/E39</f>
        <v>792.19329293022929</v>
      </c>
      <c r="F41" s="223" t="s">
        <v>1</v>
      </c>
    </row>
    <row r="42" spans="2:10" s="125" customFormat="1">
      <c r="B42" s="191" t="s">
        <v>387</v>
      </c>
      <c r="C42" s="200">
        <f>E36</f>
        <v>25</v>
      </c>
      <c r="D42" s="17" t="s">
        <v>1</v>
      </c>
      <c r="E42" s="203" t="s">
        <v>411</v>
      </c>
      <c r="F42" s="17"/>
    </row>
    <row r="43" spans="2:10" s="125" customFormat="1" ht="14.25">
      <c r="B43" s="191" t="s">
        <v>388</v>
      </c>
      <c r="C43" s="17"/>
      <c r="D43" s="17"/>
      <c r="E43" s="197">
        <f>(0.2*1000*10)</f>
        <v>2000</v>
      </c>
      <c r="F43" s="17" t="s">
        <v>9</v>
      </c>
    </row>
    <row r="44" spans="2:10" s="125" customFormat="1" ht="21" customHeight="1">
      <c r="B44" s="191" t="s">
        <v>389</v>
      </c>
      <c r="C44" s="17"/>
      <c r="D44" s="17"/>
      <c r="E44" s="85">
        <v>20</v>
      </c>
      <c r="F44" s="17" t="s">
        <v>1</v>
      </c>
      <c r="G44" s="201"/>
      <c r="H44" s="201"/>
      <c r="I44" s="201"/>
      <c r="J44" s="201"/>
    </row>
    <row r="45" spans="2:10" s="125" customFormat="1" ht="14.25">
      <c r="B45" s="191" t="s">
        <v>390</v>
      </c>
      <c r="C45" s="17"/>
      <c r="D45" s="17"/>
      <c r="E45" s="85">
        <f>3.14*E44*E44/4</f>
        <v>314</v>
      </c>
      <c r="F45" s="17" t="s">
        <v>9</v>
      </c>
      <c r="G45" s="201"/>
      <c r="H45" s="201"/>
      <c r="I45" s="201"/>
      <c r="J45" s="201"/>
    </row>
    <row r="46" spans="2:10" s="125" customFormat="1">
      <c r="B46" s="121" t="s">
        <v>391</v>
      </c>
      <c r="C46" s="121"/>
      <c r="D46" s="121"/>
      <c r="E46" s="197">
        <f>(E45*1000)/E43</f>
        <v>157</v>
      </c>
      <c r="F46" s="17" t="s">
        <v>1</v>
      </c>
      <c r="G46" s="201"/>
      <c r="H46" s="201"/>
      <c r="I46" s="201"/>
      <c r="J46" s="201"/>
    </row>
    <row r="47" spans="2:10" s="125" customFormat="1">
      <c r="B47" s="191" t="s">
        <v>387</v>
      </c>
      <c r="C47" s="17">
        <f>E44</f>
        <v>20</v>
      </c>
      <c r="D47" s="17" t="s">
        <v>1</v>
      </c>
      <c r="E47" s="85">
        <f>ROUNDDOWN(E46,-1)</f>
        <v>150</v>
      </c>
      <c r="F47" s="17" t="s">
        <v>1</v>
      </c>
      <c r="G47" s="201"/>
      <c r="H47" s="201"/>
      <c r="I47" s="201"/>
      <c r="J47" s="201"/>
    </row>
    <row r="48" spans="2:10" s="90" customFormat="1">
      <c r="C48" s="91"/>
      <c r="D48" s="96"/>
      <c r="E48" s="7"/>
    </row>
    <row r="49" spans="1:14" s="90" customFormat="1" ht="25.5">
      <c r="B49" s="190" t="s">
        <v>392</v>
      </c>
      <c r="C49">
        <v>12</v>
      </c>
      <c r="D49" t="s">
        <v>1</v>
      </c>
      <c r="E49" s="7">
        <v>150</v>
      </c>
      <c r="F49" t="s">
        <v>1</v>
      </c>
    </row>
    <row r="50" spans="1:14" s="90" customFormat="1" ht="25.5">
      <c r="B50" s="190" t="s">
        <v>393</v>
      </c>
      <c r="C50">
        <v>12</v>
      </c>
      <c r="D50" t="s">
        <v>1</v>
      </c>
      <c r="E50" s="7">
        <v>150</v>
      </c>
      <c r="F50" t="s">
        <v>1</v>
      </c>
    </row>
    <row r="51" spans="1:14" s="90" customFormat="1">
      <c r="C51" s="91"/>
      <c r="D51" s="92"/>
      <c r="E51" s="7"/>
    </row>
    <row r="52" spans="1:14" s="90" customFormat="1" ht="14.25">
      <c r="A52" s="98" t="s">
        <v>394</v>
      </c>
      <c r="C52" s="90" t="s">
        <v>395</v>
      </c>
      <c r="D52" s="92"/>
      <c r="E52" s="7"/>
      <c r="H52" s="93"/>
      <c r="M52" s="93"/>
    </row>
    <row r="53" spans="1:14" s="90" customFormat="1">
      <c r="B53" s="90" t="s">
        <v>396</v>
      </c>
      <c r="C53" s="91"/>
      <c r="D53" s="94"/>
      <c r="E53" s="7">
        <f>E38</f>
        <v>937.5</v>
      </c>
      <c r="F53" s="90" t="s">
        <v>1</v>
      </c>
    </row>
    <row r="54" spans="1:14" s="90" customFormat="1">
      <c r="B54" s="17" t="s">
        <v>397</v>
      </c>
      <c r="C54" s="17"/>
      <c r="D54" s="17"/>
      <c r="E54" s="202">
        <f>E20-E53/1000</f>
        <v>0.36249999999999982</v>
      </c>
      <c r="F54" s="17" t="s">
        <v>0</v>
      </c>
      <c r="G54" s="17"/>
      <c r="H54" s="17"/>
      <c r="I54" s="17"/>
      <c r="J54" s="17"/>
      <c r="K54" s="17"/>
      <c r="L54" s="17"/>
      <c r="M54" s="17"/>
      <c r="N54" s="17"/>
    </row>
    <row r="55" spans="1:14" s="125" customFormat="1" ht="14.25">
      <c r="B55" s="122" t="s">
        <v>368</v>
      </c>
      <c r="C55" s="122"/>
      <c r="D55" s="187"/>
      <c r="E55" s="143">
        <f>E19</f>
        <v>138.66109635051396</v>
      </c>
      <c r="F55" s="42" t="s">
        <v>108</v>
      </c>
    </row>
    <row r="56" spans="1:14" s="125" customFormat="1" ht="14.25">
      <c r="B56" s="122" t="s">
        <v>398</v>
      </c>
      <c r="C56" s="122"/>
      <c r="D56" s="187"/>
      <c r="E56" s="143">
        <f>E55/('[2]STRESS DIAGRAM'!D18-'[2]STRESS DIAGRAM'!B21)*(-'FOOTING DESIGN'!E54+'[2]STRESS DIAGRAM'!D18-'[2]STRESS DIAGRAM'!B21)</f>
        <v>124.69869428744138</v>
      </c>
      <c r="F56" s="42" t="s">
        <v>108</v>
      </c>
    </row>
    <row r="57" spans="1:14" s="125" customFormat="1" ht="14.25">
      <c r="B57" s="122" t="s">
        <v>371</v>
      </c>
      <c r="C57" s="122"/>
      <c r="D57" s="187"/>
      <c r="E57" s="143">
        <f>(E55+E56)/2</f>
        <v>131.67989531897769</v>
      </c>
      <c r="F57" s="42" t="s">
        <v>108</v>
      </c>
    </row>
    <row r="58" spans="1:14" s="90" customFormat="1">
      <c r="B58" s="17" t="s">
        <v>399</v>
      </c>
      <c r="C58" s="17"/>
      <c r="D58" s="17"/>
      <c r="E58" s="202">
        <f>E57*E54</f>
        <v>47.733962053129389</v>
      </c>
      <c r="F58" s="17" t="s">
        <v>10</v>
      </c>
      <c r="G58" s="17"/>
      <c r="H58" s="17"/>
      <c r="I58" s="17"/>
      <c r="J58" s="17"/>
      <c r="K58" s="17"/>
      <c r="L58" s="17"/>
    </row>
    <row r="59" spans="1:14" s="90" customFormat="1">
      <c r="B59" s="122" t="s">
        <v>400</v>
      </c>
      <c r="C59" s="90" t="s">
        <v>401</v>
      </c>
      <c r="D59" s="92"/>
      <c r="E59" s="5"/>
      <c r="F59" s="92"/>
      <c r="G59" s="92"/>
      <c r="H59" s="92"/>
      <c r="I59" s="92"/>
    </row>
    <row r="60" spans="1:14" s="90" customFormat="1" ht="14.25">
      <c r="B60" s="122" t="s">
        <v>402</v>
      </c>
      <c r="D60" s="96"/>
      <c r="E60" s="47">
        <f>E58*1000/E53/1000</f>
        <v>5.0916226190004688E-2</v>
      </c>
      <c r="F60" s="42" t="s">
        <v>425</v>
      </c>
      <c r="G60" s="96"/>
      <c r="H60" s="96"/>
      <c r="I60" s="92"/>
      <c r="K60" s="92"/>
      <c r="L60" s="92"/>
      <c r="M60" s="92"/>
      <c r="N60" s="92"/>
    </row>
    <row r="61" spans="1:14" s="90" customFormat="1">
      <c r="B61" s="122" t="s">
        <v>403</v>
      </c>
      <c r="C61" s="90" t="s">
        <v>404</v>
      </c>
      <c r="D61" s="92"/>
      <c r="E61" s="47">
        <f>100*E39/(1000*E38)</f>
        <v>6.6061318368094896E-2</v>
      </c>
    </row>
    <row r="62" spans="1:14" s="90" customFormat="1" ht="14.25">
      <c r="B62" s="122" t="s">
        <v>405</v>
      </c>
      <c r="D62" s="96"/>
      <c r="E62" s="47">
        <v>0.23</v>
      </c>
      <c r="F62" s="42" t="s">
        <v>425</v>
      </c>
      <c r="I62" s="93"/>
      <c r="J62" s="92"/>
      <c r="N62" s="93"/>
    </row>
    <row r="63" spans="1:14" s="90" customFormat="1">
      <c r="B63" s="122" t="s">
        <v>406</v>
      </c>
      <c r="D63" s="94"/>
      <c r="E63" s="7"/>
    </row>
    <row r="64" spans="1:14" s="90" customFormat="1" ht="14.25">
      <c r="B64" s="122" t="s">
        <v>407</v>
      </c>
      <c r="C64" s="91"/>
      <c r="D64" s="94"/>
      <c r="E64" s="47">
        <f>E62</f>
        <v>0.23</v>
      </c>
      <c r="F64" s="42" t="s">
        <v>425</v>
      </c>
      <c r="G64" s="92"/>
      <c r="H64" s="92"/>
      <c r="I64" s="92"/>
      <c r="J64" s="92"/>
      <c r="K64" s="92"/>
      <c r="L64" s="92"/>
      <c r="M64" s="92"/>
    </row>
    <row r="65" spans="2:12" s="90" customFormat="1" ht="26.25" customHeight="1">
      <c r="B65" s="17"/>
      <c r="C65" s="17"/>
      <c r="D65" s="706" t="s">
        <v>408</v>
      </c>
      <c r="E65" s="706"/>
      <c r="F65" s="706"/>
      <c r="G65" s="706"/>
      <c r="H65" s="17"/>
      <c r="I65" s="17"/>
      <c r="J65" s="17"/>
      <c r="K65" s="17"/>
      <c r="L65" s="17"/>
    </row>
    <row r="66" spans="2:12" s="125" customFormat="1" ht="21" customHeight="1">
      <c r="B66" s="191" t="s">
        <v>409</v>
      </c>
      <c r="C66" s="17"/>
      <c r="D66" s="17"/>
      <c r="E66" s="85">
        <v>16</v>
      </c>
      <c r="F66" s="17" t="s">
        <v>1</v>
      </c>
      <c r="G66" s="201"/>
      <c r="H66" s="201"/>
      <c r="I66" s="201"/>
      <c r="J66" s="201"/>
    </row>
    <row r="67" spans="2:12" s="125" customFormat="1" ht="14.25">
      <c r="B67" s="191" t="s">
        <v>390</v>
      </c>
      <c r="C67" s="17"/>
      <c r="D67" s="17"/>
      <c r="E67" s="197">
        <f>3.14*E66*E66/4</f>
        <v>200.96</v>
      </c>
      <c r="F67" s="17" t="s">
        <v>9</v>
      </c>
      <c r="G67" s="201"/>
      <c r="H67" s="201"/>
      <c r="I67" s="201"/>
      <c r="J67" s="201"/>
    </row>
    <row r="68" spans="2:12" s="125" customFormat="1">
      <c r="B68" s="121" t="s">
        <v>410</v>
      </c>
      <c r="C68" s="121"/>
      <c r="D68" s="121"/>
      <c r="E68" s="197">
        <f>2*E67*E29*E38/(E58*1000)</f>
        <v>1578.7501552065166</v>
      </c>
      <c r="F68" s="17" t="s">
        <v>1</v>
      </c>
      <c r="G68" s="201"/>
      <c r="H68" s="201"/>
      <c r="I68" s="201"/>
      <c r="J68" s="201"/>
    </row>
    <row r="69" spans="2:12" s="125" customFormat="1">
      <c r="B69" s="191" t="s">
        <v>387</v>
      </c>
      <c r="C69" s="89">
        <f>E66</f>
        <v>16</v>
      </c>
      <c r="D69" s="89" t="s">
        <v>1</v>
      </c>
      <c r="E69" s="1" t="s">
        <v>411</v>
      </c>
      <c r="F69" s="17"/>
      <c r="H69" s="201"/>
      <c r="I69" s="201"/>
      <c r="J69" s="201"/>
    </row>
    <row r="70" spans="2:12" s="90" customFormat="1">
      <c r="E70" s="7"/>
    </row>
    <row r="71" spans="2:12" s="90" customFormat="1">
      <c r="E71" s="7"/>
    </row>
    <row r="72" spans="2:12" s="90" customFormat="1">
      <c r="E72" s="7"/>
    </row>
    <row r="73" spans="2:12" s="90" customFormat="1">
      <c r="E73" s="7"/>
    </row>
    <row r="74" spans="2:12" s="90" customFormat="1">
      <c r="E74" s="7"/>
    </row>
    <row r="75" spans="2:12" s="90" customFormat="1">
      <c r="E75" s="7"/>
    </row>
  </sheetData>
  <mergeCells count="4">
    <mergeCell ref="D65:G65"/>
    <mergeCell ref="E12:G15"/>
    <mergeCell ref="A1:N1"/>
    <mergeCell ref="A2:N2"/>
  </mergeCells>
  <phoneticPr fontId="0" type="noConversion"/>
  <pageMargins left="0.75" right="0.75" top="1" bottom="1" header="0.5" footer="0.5"/>
  <pageSetup paperSize="9" firstPageNumber="14" fitToHeight="28" orientation="landscape" horizontalDpi="300" verticalDpi="300" r:id="rId1"/>
  <headerFooter>
    <oddFooter>&amp;L&amp;P/{&amp;N}&amp;C&amp;F&amp;R&amp;A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zoomScaleNormal="100" workbookViewId="0">
      <selection activeCell="G16" sqref="G16"/>
    </sheetView>
  </sheetViews>
  <sheetFormatPr defaultRowHeight="12.75"/>
  <cols>
    <col min="1" max="1" width="11.85546875" customWidth="1"/>
    <col min="2" max="2" width="8.42578125" customWidth="1"/>
  </cols>
  <sheetData>
    <row r="1" spans="3:5">
      <c r="D1" s="41">
        <f>'FOOTING DESIGN'!D6</f>
        <v>1.2</v>
      </c>
      <c r="E1" t="s">
        <v>0</v>
      </c>
    </row>
    <row r="4" spans="3:5">
      <c r="C4" s="41">
        <f>(D18-D1)/2</f>
        <v>1.2999999999999998</v>
      </c>
      <c r="D4" t="s">
        <v>0</v>
      </c>
    </row>
    <row r="18" spans="1:9">
      <c r="D18" s="41">
        <f>'FOOTING DESIGN'!D5</f>
        <v>3.8</v>
      </c>
      <c r="E18" t="s">
        <v>0</v>
      </c>
    </row>
    <row r="21" spans="1:9">
      <c r="B21" s="2">
        <f>'FOOTING DESIGN'!E16</f>
        <v>0</v>
      </c>
      <c r="C21" t="s">
        <v>0</v>
      </c>
      <c r="D21" s="41"/>
    </row>
    <row r="22" spans="1:9">
      <c r="I22" s="2"/>
    </row>
    <row r="25" spans="1:9">
      <c r="E25" s="2">
        <f>'FOOTING DESIGN'!E21</f>
        <v>91.224405493759193</v>
      </c>
    </row>
    <row r="26" spans="1:9" ht="14.25">
      <c r="E26" s="48" t="s">
        <v>108</v>
      </c>
      <c r="G26" s="2">
        <f>'FOOTING DESIGN'!E19</f>
        <v>138.66109635051396</v>
      </c>
      <c r="H26" s="42" t="s">
        <v>108</v>
      </c>
    </row>
    <row r="29" spans="1:9">
      <c r="D29" s="1" t="s">
        <v>426</v>
      </c>
    </row>
    <row r="31" spans="1:9">
      <c r="A31" s="724" t="s">
        <v>355</v>
      </c>
      <c r="B31" s="724"/>
      <c r="C31" s="724"/>
      <c r="D31" s="724"/>
      <c r="E31" s="724"/>
      <c r="F31" s="724"/>
    </row>
  </sheetData>
  <mergeCells count="1">
    <mergeCell ref="A31:F31"/>
  </mergeCells>
  <phoneticPr fontId="16" type="noConversion"/>
  <pageMargins left="0.75" right="0.75" top="1" bottom="1" header="0.5" footer="0.5"/>
  <pageSetup paperSize="9" firstPageNumber="49" fitToHeight="28" orientation="landscape" r:id="rId1"/>
  <headerFooter>
    <oddFooter>&amp;L&amp;P/{&amp;N}&amp;C&amp;F&amp;R&amp;A</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H94"/>
  <sheetViews>
    <sheetView topLeftCell="A14" zoomScaleNormal="100" zoomScaleSheetLayoutView="100" workbookViewId="0">
      <selection activeCell="A59" sqref="A59"/>
    </sheetView>
  </sheetViews>
  <sheetFormatPr defaultRowHeight="12.75"/>
  <sheetData>
    <row r="1" spans="1:3">
      <c r="A1" t="s">
        <v>611</v>
      </c>
    </row>
    <row r="3" spans="1:3">
      <c r="A3" t="s">
        <v>612</v>
      </c>
    </row>
    <row r="5" spans="1:3">
      <c r="A5" s="1" t="s">
        <v>613</v>
      </c>
    </row>
    <row r="7" spans="1:3">
      <c r="A7" t="s">
        <v>614</v>
      </c>
    </row>
    <row r="9" spans="1:3">
      <c r="A9" t="s">
        <v>615</v>
      </c>
    </row>
    <row r="11" spans="1:3">
      <c r="A11" t="s">
        <v>616</v>
      </c>
      <c r="B11" s="105">
        <v>3.6</v>
      </c>
      <c r="C11" t="s">
        <v>617</v>
      </c>
    </row>
    <row r="13" spans="1:3">
      <c r="A13" t="s">
        <v>616</v>
      </c>
      <c r="B13">
        <v>5.3</v>
      </c>
      <c r="C13" t="s">
        <v>29</v>
      </c>
    </row>
    <row r="14" spans="1:3">
      <c r="A14" s="1" t="s">
        <v>618</v>
      </c>
    </row>
    <row r="16" spans="1:3">
      <c r="A16" t="s">
        <v>614</v>
      </c>
    </row>
    <row r="18" spans="1:5">
      <c r="A18" t="s">
        <v>619</v>
      </c>
    </row>
    <row r="19" spans="1:5">
      <c r="A19" t="s">
        <v>620</v>
      </c>
    </row>
    <row r="20" spans="1:5">
      <c r="A20" t="s">
        <v>621</v>
      </c>
    </row>
    <row r="21" spans="1:5">
      <c r="A21" t="s">
        <v>622</v>
      </c>
    </row>
    <row r="22" spans="1:5">
      <c r="A22" t="s">
        <v>623</v>
      </c>
    </row>
    <row r="23" spans="1:5">
      <c r="A23" t="s">
        <v>624</v>
      </c>
    </row>
    <row r="24" spans="1:5">
      <c r="A24" t="s">
        <v>625</v>
      </c>
    </row>
    <row r="25" spans="1:5">
      <c r="A25" t="s">
        <v>626</v>
      </c>
    </row>
    <row r="26" spans="1:5">
      <c r="A26" t="s">
        <v>627</v>
      </c>
    </row>
    <row r="27" spans="1:5">
      <c r="B27" t="s">
        <v>628</v>
      </c>
    </row>
    <row r="29" spans="1:5">
      <c r="A29" t="s">
        <v>629</v>
      </c>
      <c r="B29" s="732" t="s">
        <v>616</v>
      </c>
      <c r="C29" s="395">
        <v>7</v>
      </c>
      <c r="D29" s="732" t="s">
        <v>616</v>
      </c>
      <c r="E29" s="732">
        <v>0.7</v>
      </c>
    </row>
    <row r="30" spans="1:5">
      <c r="A30" t="s">
        <v>630</v>
      </c>
      <c r="B30" s="732"/>
      <c r="C30" s="396">
        <v>10</v>
      </c>
      <c r="D30" s="732"/>
      <c r="E30" s="732"/>
    </row>
    <row r="31" spans="1:5">
      <c r="A31" t="s">
        <v>631</v>
      </c>
      <c r="C31">
        <v>2.4</v>
      </c>
    </row>
    <row r="33" spans="1:5">
      <c r="A33" t="s">
        <v>632</v>
      </c>
      <c r="B33" t="s">
        <v>633</v>
      </c>
      <c r="D33" t="s">
        <v>634</v>
      </c>
    </row>
    <row r="35" spans="1:5">
      <c r="A35" t="s">
        <v>635</v>
      </c>
      <c r="B35" s="732" t="s">
        <v>616</v>
      </c>
      <c r="C35" s="397">
        <v>10</v>
      </c>
      <c r="D35" s="732" t="s">
        <v>616</v>
      </c>
      <c r="E35" s="732" t="s">
        <v>636</v>
      </c>
    </row>
    <row r="36" spans="1:5">
      <c r="A36" s="7">
        <v>2</v>
      </c>
      <c r="B36" s="732"/>
      <c r="C36" s="105">
        <v>2</v>
      </c>
      <c r="D36" s="732"/>
      <c r="E36" s="732"/>
    </row>
    <row r="37" spans="1:5">
      <c r="A37" t="s">
        <v>637</v>
      </c>
      <c r="C37" t="s">
        <v>638</v>
      </c>
      <c r="D37" s="19" t="s">
        <v>7</v>
      </c>
      <c r="E37">
        <v>1</v>
      </c>
    </row>
    <row r="38" spans="1:5" ht="15" customHeight="1">
      <c r="A38" t="s">
        <v>639</v>
      </c>
      <c r="B38" s="105">
        <f>2.4*4*0.5+1</f>
        <v>5.8</v>
      </c>
      <c r="C38" t="s">
        <v>29</v>
      </c>
    </row>
    <row r="39" spans="1:5">
      <c r="A39" t="s">
        <v>640</v>
      </c>
    </row>
    <row r="41" spans="1:5">
      <c r="A41" s="1" t="s">
        <v>641</v>
      </c>
    </row>
    <row r="42" spans="1:5">
      <c r="A42" t="s">
        <v>642</v>
      </c>
    </row>
    <row r="43" spans="1:5">
      <c r="A43" t="s">
        <v>643</v>
      </c>
    </row>
    <row r="44" spans="1:5">
      <c r="A44" t="s">
        <v>644</v>
      </c>
    </row>
    <row r="45" spans="1:5">
      <c r="A45" t="s">
        <v>645</v>
      </c>
    </row>
    <row r="46" spans="1:5">
      <c r="A46" t="s">
        <v>646</v>
      </c>
    </row>
    <row r="47" spans="1:5">
      <c r="A47" t="s">
        <v>647</v>
      </c>
    </row>
    <row r="48" spans="1:5">
      <c r="A48" t="s">
        <v>648</v>
      </c>
    </row>
    <row r="49" spans="1:8">
      <c r="A49" t="s">
        <v>649</v>
      </c>
    </row>
    <row r="50" spans="1:8">
      <c r="A50" t="s">
        <v>650</v>
      </c>
    </row>
    <row r="51" spans="1:8">
      <c r="A51" t="s">
        <v>651</v>
      </c>
    </row>
    <row r="52" spans="1:8">
      <c r="A52" s="19" t="s">
        <v>652</v>
      </c>
    </row>
    <row r="53" spans="1:8">
      <c r="A53" t="s">
        <v>653</v>
      </c>
    </row>
    <row r="54" spans="1:8">
      <c r="A54" t="s">
        <v>654</v>
      </c>
    </row>
    <row r="56" spans="1:8">
      <c r="A56" t="s">
        <v>288</v>
      </c>
      <c r="B56" s="733">
        <v>79.63</v>
      </c>
      <c r="C56" s="733"/>
      <c r="D56" s="732" t="s">
        <v>616</v>
      </c>
      <c r="E56" s="734">
        <f>79.63/5.3/6.695</f>
        <v>2.244141643298998</v>
      </c>
      <c r="F56" t="s">
        <v>655</v>
      </c>
    </row>
    <row r="57" spans="1:8">
      <c r="B57" s="731" t="s">
        <v>656</v>
      </c>
      <c r="C57" s="731"/>
      <c r="D57" s="732"/>
      <c r="E57" s="734"/>
    </row>
    <row r="58" spans="1:8">
      <c r="A58" t="s">
        <v>657</v>
      </c>
    </row>
    <row r="59" spans="1:8" ht="32.25" customHeight="1">
      <c r="B59" s="706" t="s">
        <v>658</v>
      </c>
      <c r="C59" s="706"/>
      <c r="D59" s="706"/>
      <c r="E59" s="706"/>
      <c r="F59" s="706"/>
      <c r="G59" s="706"/>
      <c r="H59" s="706"/>
    </row>
    <row r="61" spans="1:8" ht="15.75">
      <c r="B61" t="s">
        <v>659</v>
      </c>
    </row>
    <row r="62" spans="1:8">
      <c r="C62" s="19" t="s">
        <v>2</v>
      </c>
      <c r="D62" s="2">
        <f>2.24*3*1.5*1/10</f>
        <v>1.0080000000000002</v>
      </c>
      <c r="E62" t="s">
        <v>660</v>
      </c>
    </row>
    <row r="63" spans="1:8" ht="15.75">
      <c r="B63" t="s">
        <v>661</v>
      </c>
    </row>
    <row r="64" spans="1:8">
      <c r="C64" s="19" t="s">
        <v>2</v>
      </c>
      <c r="D64">
        <f>2.24*3-1.01</f>
        <v>5.7100000000000009</v>
      </c>
      <c r="E64" t="s">
        <v>660</v>
      </c>
    </row>
    <row r="66" spans="1:4">
      <c r="A66" s="1" t="s">
        <v>662</v>
      </c>
    </row>
    <row r="67" spans="1:4">
      <c r="A67" s="1" t="s">
        <v>663</v>
      </c>
    </row>
    <row r="68" spans="1:4">
      <c r="A68" t="s">
        <v>664</v>
      </c>
      <c r="B68" t="s">
        <v>665</v>
      </c>
    </row>
    <row r="69" spans="1:4">
      <c r="A69" t="s">
        <v>666</v>
      </c>
      <c r="B69" t="s">
        <v>667</v>
      </c>
    </row>
    <row r="70" spans="1:4">
      <c r="A70" t="s">
        <v>668</v>
      </c>
      <c r="B70" t="s">
        <v>669</v>
      </c>
    </row>
    <row r="71" spans="1:4">
      <c r="A71" t="s">
        <v>670</v>
      </c>
      <c r="B71" t="s">
        <v>671</v>
      </c>
    </row>
    <row r="72" spans="1:4">
      <c r="A72" t="s">
        <v>672</v>
      </c>
      <c r="B72" t="s">
        <v>673</v>
      </c>
      <c r="C72" t="s">
        <v>674</v>
      </c>
    </row>
    <row r="73" spans="1:4">
      <c r="A73" t="s">
        <v>675</v>
      </c>
    </row>
    <row r="74" spans="1:4">
      <c r="A74" t="s">
        <v>676</v>
      </c>
    </row>
    <row r="75" spans="1:4">
      <c r="A75" t="s">
        <v>616</v>
      </c>
      <c r="B75">
        <v>1.9</v>
      </c>
      <c r="C75" t="s">
        <v>29</v>
      </c>
    </row>
    <row r="76" spans="1:4">
      <c r="A76" t="s">
        <v>677</v>
      </c>
    </row>
    <row r="77" spans="1:4">
      <c r="A77" t="s">
        <v>678</v>
      </c>
    </row>
    <row r="78" spans="1:4">
      <c r="A78" t="s">
        <v>679</v>
      </c>
      <c r="D78" s="399" t="s">
        <v>680</v>
      </c>
    </row>
    <row r="79" spans="1:4">
      <c r="A79" t="s">
        <v>681</v>
      </c>
      <c r="D79" t="s">
        <v>682</v>
      </c>
    </row>
    <row r="80" spans="1:4">
      <c r="A80" t="s">
        <v>683</v>
      </c>
      <c r="C80" t="s">
        <v>7</v>
      </c>
      <c r="D80">
        <v>1.9</v>
      </c>
    </row>
    <row r="81" spans="1:8">
      <c r="A81" t="s">
        <v>684</v>
      </c>
      <c r="B81" t="s">
        <v>685</v>
      </c>
    </row>
    <row r="82" spans="1:8">
      <c r="A82" t="s">
        <v>650</v>
      </c>
    </row>
    <row r="83" spans="1:8">
      <c r="A83" t="s">
        <v>651</v>
      </c>
    </row>
    <row r="84" spans="1:8">
      <c r="A84" s="19" t="s">
        <v>652</v>
      </c>
    </row>
    <row r="85" spans="1:8">
      <c r="A85" t="s">
        <v>653</v>
      </c>
    </row>
    <row r="86" spans="1:8">
      <c r="A86" t="s">
        <v>654</v>
      </c>
    </row>
    <row r="87" spans="1:8">
      <c r="A87" t="s">
        <v>288</v>
      </c>
      <c r="B87" s="733">
        <v>79.63</v>
      </c>
      <c r="C87" s="733"/>
      <c r="D87" s="732" t="s">
        <v>616</v>
      </c>
      <c r="E87" s="734">
        <f>79.63/5.3/1.9</f>
        <v>7.907646474677259</v>
      </c>
      <c r="F87" s="732" t="s">
        <v>655</v>
      </c>
    </row>
    <row r="88" spans="1:8">
      <c r="B88" s="731" t="s">
        <v>686</v>
      </c>
      <c r="C88" s="731"/>
      <c r="D88" s="732"/>
      <c r="E88" s="734"/>
      <c r="F88" s="732"/>
    </row>
    <row r="89" spans="1:8">
      <c r="A89" t="s">
        <v>657</v>
      </c>
    </row>
    <row r="90" spans="1:8" ht="32.25" customHeight="1">
      <c r="B90" s="706" t="s">
        <v>658</v>
      </c>
      <c r="C90" s="706"/>
      <c r="D90" s="706"/>
      <c r="E90" s="706"/>
      <c r="F90" s="706"/>
      <c r="G90" s="706"/>
      <c r="H90" s="706"/>
    </row>
    <row r="91" spans="1:8" ht="15.75">
      <c r="B91" t="s">
        <v>687</v>
      </c>
    </row>
    <row r="92" spans="1:8">
      <c r="C92" s="19" t="s">
        <v>2</v>
      </c>
      <c r="D92" s="2">
        <f>7.91*3*1.5*1/10</f>
        <v>3.5594999999999999</v>
      </c>
      <c r="E92" t="s">
        <v>660</v>
      </c>
    </row>
    <row r="93" spans="1:8" ht="15.75">
      <c r="B93" t="s">
        <v>688</v>
      </c>
    </row>
    <row r="94" spans="1:8">
      <c r="C94" s="19" t="s">
        <v>2</v>
      </c>
      <c r="D94">
        <f>7.91*3-3.56</f>
        <v>20.170000000000002</v>
      </c>
      <c r="E94" t="s">
        <v>660</v>
      </c>
    </row>
  </sheetData>
  <mergeCells count="17">
    <mergeCell ref="B90:H90"/>
    <mergeCell ref="B56:C56"/>
    <mergeCell ref="D56:D57"/>
    <mergeCell ref="E56:E57"/>
    <mergeCell ref="B57:C57"/>
    <mergeCell ref="B59:H59"/>
    <mergeCell ref="B87:C87"/>
    <mergeCell ref="D87:D88"/>
    <mergeCell ref="E87:E88"/>
    <mergeCell ref="F87:F88"/>
    <mergeCell ref="B88:C88"/>
    <mergeCell ref="B29:B30"/>
    <mergeCell ref="D29:D30"/>
    <mergeCell ref="E29:E30"/>
    <mergeCell ref="B35:B36"/>
    <mergeCell ref="D35:D36"/>
    <mergeCell ref="E35:E36"/>
  </mergeCells>
  <pageMargins left="0.75" right="0.75" top="1" bottom="1" header="0.5" footer="0.5"/>
  <pageSetup paperSize="9" fitToHeight="28" orientation="landscape" verticalDpi="1200" r:id="rId1"/>
  <headerFooter>
    <oddFooter>&amp;L&amp;P/{&amp;N}&amp;C&amp;F&amp;R&amp;A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N108"/>
  <sheetViews>
    <sheetView zoomScaleNormal="100" zoomScaleSheetLayoutView="100" workbookViewId="0">
      <selection activeCell="G16" sqref="G16"/>
    </sheetView>
  </sheetViews>
  <sheetFormatPr defaultRowHeight="12.75"/>
  <cols>
    <col min="2" max="2" width="67.28515625" customWidth="1"/>
    <col min="3" max="3" width="26.85546875" bestFit="1" customWidth="1"/>
    <col min="4" max="4" width="7" bestFit="1" customWidth="1"/>
  </cols>
  <sheetData>
    <row r="1" spans="1:10">
      <c r="A1" s="1" t="s">
        <v>689</v>
      </c>
    </row>
    <row r="2" spans="1:10">
      <c r="A2" t="s">
        <v>690</v>
      </c>
    </row>
    <row r="3" spans="1:10">
      <c r="A3" t="s">
        <v>691</v>
      </c>
      <c r="C3" s="2">
        <f>'[6]STABILITY CHECK FOR PIER'!H27</f>
        <v>0.75</v>
      </c>
      <c r="D3" t="s">
        <v>154</v>
      </c>
      <c r="E3" s="2">
        <f>'[6]STABILITY CHECK ABUTMENT'!F4</f>
        <v>8.4</v>
      </c>
      <c r="F3" t="s">
        <v>692</v>
      </c>
      <c r="G3">
        <v>2.4</v>
      </c>
      <c r="H3" s="19" t="s">
        <v>2</v>
      </c>
      <c r="I3" s="16">
        <f>C3*E3*G3</f>
        <v>15.120000000000001</v>
      </c>
      <c r="J3" t="s">
        <v>660</v>
      </c>
    </row>
    <row r="4" spans="1:10">
      <c r="A4" t="s">
        <v>693</v>
      </c>
      <c r="C4" s="2">
        <f>'[6]STABILITY CHECK FOR PIER'!H28</f>
        <v>7.4999999999999997E-2</v>
      </c>
      <c r="D4" t="s">
        <v>154</v>
      </c>
      <c r="E4" s="2">
        <f>E3</f>
        <v>8.4</v>
      </c>
      <c r="F4" t="s">
        <v>692</v>
      </c>
      <c r="G4">
        <v>2.4</v>
      </c>
      <c r="H4" s="19" t="s">
        <v>2</v>
      </c>
      <c r="I4" s="16">
        <f>C4*E4*G4</f>
        <v>1.512</v>
      </c>
      <c r="J4" t="s">
        <v>660</v>
      </c>
    </row>
    <row r="5" spans="1:10">
      <c r="G5" s="225" t="s">
        <v>41</v>
      </c>
      <c r="H5" s="225"/>
      <c r="I5" s="400">
        <f>SUM(I3:I4)</f>
        <v>16.632000000000001</v>
      </c>
      <c r="J5" t="s">
        <v>660</v>
      </c>
    </row>
    <row r="6" spans="1:10">
      <c r="A6" t="s">
        <v>694</v>
      </c>
      <c r="E6" s="19" t="s">
        <v>2</v>
      </c>
      <c r="F6" s="2"/>
      <c r="G6" s="19"/>
    </row>
    <row r="7" spans="1:10">
      <c r="E7" s="2">
        <f>I5</f>
        <v>16.632000000000001</v>
      </c>
      <c r="F7" s="19" t="s">
        <v>8</v>
      </c>
      <c r="G7">
        <v>2</v>
      </c>
      <c r="H7" s="19" t="s">
        <v>2</v>
      </c>
      <c r="I7" s="16">
        <f>E7/G7</f>
        <v>8.3160000000000007</v>
      </c>
      <c r="J7" t="s">
        <v>660</v>
      </c>
    </row>
    <row r="8" spans="1:10">
      <c r="A8" t="s">
        <v>695</v>
      </c>
    </row>
    <row r="9" spans="1:10">
      <c r="D9" t="s">
        <v>696</v>
      </c>
      <c r="E9" s="2">
        <v>82.5</v>
      </c>
      <c r="F9" s="19" t="s">
        <v>154</v>
      </c>
      <c r="G9">
        <v>1.1375</v>
      </c>
      <c r="H9" s="19" t="s">
        <v>2</v>
      </c>
      <c r="I9" s="2">
        <f>E9*G9</f>
        <v>93.84375</v>
      </c>
      <c r="J9" t="s">
        <v>660</v>
      </c>
    </row>
    <row r="10" spans="1:10">
      <c r="A10" t="s">
        <v>697</v>
      </c>
    </row>
    <row r="11" spans="1:10">
      <c r="A11" t="s">
        <v>698</v>
      </c>
    </row>
    <row r="12" spans="1:10">
      <c r="A12" t="s">
        <v>699</v>
      </c>
      <c r="D12" t="s">
        <v>700</v>
      </c>
      <c r="E12">
        <v>6.6950000000000003</v>
      </c>
      <c r="F12" t="s">
        <v>29</v>
      </c>
    </row>
    <row r="13" spans="1:10">
      <c r="A13" t="s">
        <v>701</v>
      </c>
    </row>
    <row r="14" spans="1:10">
      <c r="A14" t="s">
        <v>702</v>
      </c>
      <c r="D14" t="s">
        <v>696</v>
      </c>
      <c r="E14" s="2">
        <f>I9</f>
        <v>93.84375</v>
      </c>
      <c r="F14" s="19" t="s">
        <v>8</v>
      </c>
      <c r="G14">
        <f>E12</f>
        <v>6.6950000000000003</v>
      </c>
      <c r="H14" s="19" t="s">
        <v>2</v>
      </c>
      <c r="I14" s="2">
        <f>E14/G14</f>
        <v>14.016990291262136</v>
      </c>
      <c r="J14" t="s">
        <v>660</v>
      </c>
    </row>
    <row r="15" spans="1:10">
      <c r="B15" t="s">
        <v>703</v>
      </c>
      <c r="D15" s="105"/>
    </row>
    <row r="16" spans="1:10">
      <c r="A16" t="s">
        <v>704</v>
      </c>
      <c r="D16" s="2">
        <f>I7</f>
        <v>8.3160000000000007</v>
      </c>
      <c r="E16" s="19" t="s">
        <v>7</v>
      </c>
      <c r="F16" s="2">
        <f>I14</f>
        <v>14.016990291262136</v>
      </c>
      <c r="H16" s="19" t="s">
        <v>2</v>
      </c>
      <c r="I16" s="2">
        <f>D16+F16</f>
        <v>22.332990291262135</v>
      </c>
      <c r="J16" t="s">
        <v>660</v>
      </c>
    </row>
    <row r="17" spans="1:9">
      <c r="A17" t="s">
        <v>705</v>
      </c>
      <c r="I17" t="s">
        <v>706</v>
      </c>
    </row>
    <row r="18" spans="1:9">
      <c r="A18" t="s">
        <v>707</v>
      </c>
      <c r="D18">
        <f>C3*100-2.5-2.5/2</f>
        <v>71.25</v>
      </c>
      <c r="E18" t="s">
        <v>708</v>
      </c>
    </row>
    <row r="19" spans="1:9">
      <c r="A19" t="s">
        <v>709</v>
      </c>
    </row>
    <row r="20" spans="1:9">
      <c r="A20" t="s">
        <v>710</v>
      </c>
      <c r="D20" s="19" t="s">
        <v>2</v>
      </c>
      <c r="E20">
        <f>D18-75/2</f>
        <v>33.75</v>
      </c>
      <c r="F20" t="s">
        <v>708</v>
      </c>
      <c r="G20" s="19" t="s">
        <v>2</v>
      </c>
      <c r="H20" s="2">
        <f>E20/100</f>
        <v>0.33750000000000002</v>
      </c>
      <c r="I20" t="s">
        <v>29</v>
      </c>
    </row>
    <row r="21" spans="1:9" ht="28.5" customHeight="1">
      <c r="A21" s="706" t="s">
        <v>711</v>
      </c>
      <c r="B21" s="706"/>
      <c r="C21" s="2">
        <f>I16</f>
        <v>22.332990291262135</v>
      </c>
      <c r="D21" s="19" t="s">
        <v>3</v>
      </c>
      <c r="E21" s="2">
        <f>H20</f>
        <v>0.33750000000000002</v>
      </c>
      <c r="H21" s="2">
        <f>ROUNDUP(C21*E21,2)</f>
        <v>7.54</v>
      </c>
      <c r="I21" t="s">
        <v>712</v>
      </c>
    </row>
    <row r="22" spans="1:9" ht="28.5" customHeight="1">
      <c r="A22" s="392"/>
      <c r="B22" s="401" t="s">
        <v>2</v>
      </c>
      <c r="C22" s="2">
        <f>H21</f>
        <v>7.54</v>
      </c>
      <c r="D22" s="19" t="s">
        <v>3</v>
      </c>
      <c r="E22" s="2">
        <v>10</v>
      </c>
      <c r="F22" s="19" t="s">
        <v>2</v>
      </c>
      <c r="G22" s="1">
        <f>ROUNDUP(C22*10,2)</f>
        <v>75.400000000000006</v>
      </c>
      <c r="H22" s="1" t="s">
        <v>713</v>
      </c>
      <c r="I22" s="1"/>
    </row>
    <row r="23" spans="1:9">
      <c r="A23" t="s">
        <v>714</v>
      </c>
    </row>
    <row r="24" spans="1:9" s="402" customFormat="1">
      <c r="B24" s="394" t="s">
        <v>715</v>
      </c>
      <c r="C24" s="403"/>
      <c r="D24" s="187"/>
      <c r="E24" s="189">
        <f>G22</f>
        <v>75.400000000000006</v>
      </c>
      <c r="F24" s="42" t="s">
        <v>5</v>
      </c>
    </row>
    <row r="25" spans="1:9" s="402" customFormat="1">
      <c r="B25" s="404" t="s">
        <v>375</v>
      </c>
      <c r="C25" s="405"/>
      <c r="D25" s="405"/>
      <c r="E25" s="406" t="s">
        <v>716</v>
      </c>
      <c r="F25" s="405"/>
      <c r="G25" s="407"/>
      <c r="H25" s="407"/>
    </row>
    <row r="26" spans="1:9" s="402" customFormat="1">
      <c r="B26" s="404" t="s">
        <v>424</v>
      </c>
      <c r="C26" s="405"/>
      <c r="D26" s="405"/>
      <c r="E26" s="406">
        <v>10</v>
      </c>
      <c r="F26" s="17" t="s">
        <v>252</v>
      </c>
      <c r="G26" s="407"/>
      <c r="H26" s="407"/>
    </row>
    <row r="27" spans="1:9" s="402" customFormat="1">
      <c r="B27" s="404" t="s">
        <v>0</v>
      </c>
      <c r="C27" s="405"/>
      <c r="D27" s="405"/>
      <c r="E27" s="408">
        <f>280/(3*E26)</f>
        <v>9.3333333333333339</v>
      </c>
      <c r="F27" s="405"/>
      <c r="G27" s="407"/>
      <c r="H27" s="407"/>
    </row>
    <row r="28" spans="1:9" s="402" customFormat="1">
      <c r="B28" s="195" t="s">
        <v>376</v>
      </c>
      <c r="C28" s="405"/>
      <c r="D28" s="405"/>
      <c r="E28" s="406">
        <v>200</v>
      </c>
      <c r="F28" s="405"/>
      <c r="G28" s="407"/>
      <c r="H28" s="407"/>
    </row>
    <row r="29" spans="1:9" s="402" customFormat="1">
      <c r="B29" s="404" t="s">
        <v>377</v>
      </c>
      <c r="C29" s="17"/>
      <c r="D29" s="17"/>
      <c r="E29" s="196">
        <f>(E27*E26)/(E26*E27+E28)</f>
        <v>0.31818181818181818</v>
      </c>
      <c r="F29" s="17"/>
      <c r="G29"/>
      <c r="H29"/>
    </row>
    <row r="30" spans="1:9" s="402" customFormat="1">
      <c r="B30" s="404" t="s">
        <v>378</v>
      </c>
      <c r="C30" s="17"/>
      <c r="D30" s="17"/>
      <c r="E30" s="196">
        <f>1-(E29/3)</f>
        <v>0.89393939393939392</v>
      </c>
      <c r="F30" s="17"/>
      <c r="G30"/>
      <c r="H30"/>
    </row>
    <row r="31" spans="1:9" s="402" customFormat="1">
      <c r="B31" s="405" t="s">
        <v>18</v>
      </c>
      <c r="C31" s="17"/>
      <c r="D31" s="17"/>
      <c r="E31" s="196">
        <f>0.5*E26*E30*E29</f>
        <v>1.4221763085399448</v>
      </c>
      <c r="F31" s="17"/>
      <c r="G31"/>
      <c r="H31"/>
    </row>
    <row r="32" spans="1:9" s="402" customFormat="1">
      <c r="B32" s="405" t="s">
        <v>379</v>
      </c>
      <c r="C32" s="17"/>
      <c r="D32" s="17"/>
      <c r="E32" s="197">
        <f>SQRT((E24*1000*1000)/(E31*1000))</f>
        <v>230.25493819187318</v>
      </c>
      <c r="F32" s="17" t="s">
        <v>1</v>
      </c>
      <c r="G32"/>
      <c r="H32"/>
    </row>
    <row r="33" spans="1:10" s="402" customFormat="1">
      <c r="B33" s="405" t="s">
        <v>380</v>
      </c>
      <c r="C33" s="17"/>
      <c r="D33" s="17"/>
      <c r="E33" s="197">
        <f>1200</f>
        <v>1200</v>
      </c>
      <c r="F33" s="17" t="s">
        <v>1</v>
      </c>
      <c r="G33"/>
      <c r="H33"/>
    </row>
    <row r="34" spans="1:10" s="402" customFormat="1">
      <c r="B34" s="121" t="s">
        <v>381</v>
      </c>
      <c r="C34" s="20"/>
      <c r="D34" s="20"/>
      <c r="E34" s="197">
        <v>50</v>
      </c>
      <c r="F34" s="17" t="s">
        <v>1</v>
      </c>
    </row>
    <row r="35" spans="1:10" s="402" customFormat="1">
      <c r="B35" s="121" t="s">
        <v>382</v>
      </c>
      <c r="C35" s="20"/>
      <c r="D35" s="20"/>
      <c r="E35" s="198">
        <v>25</v>
      </c>
      <c r="F35" s="17" t="s">
        <v>1</v>
      </c>
    </row>
    <row r="36" spans="1:10" s="402" customFormat="1">
      <c r="B36" s="409" t="s">
        <v>427</v>
      </c>
      <c r="C36" s="20"/>
      <c r="D36" s="20"/>
      <c r="E36" s="197">
        <f>E33-E34-E35/2</f>
        <v>1137.5</v>
      </c>
      <c r="F36" s="17" t="s">
        <v>1</v>
      </c>
    </row>
    <row r="37" spans="1:10" s="402" customFormat="1">
      <c r="B37" s="405" t="s">
        <v>383</v>
      </c>
      <c r="C37" s="17"/>
      <c r="D37" s="17"/>
      <c r="E37" s="85">
        <f>IF(E32&gt;E36,E32,E36)</f>
        <v>1137.5</v>
      </c>
      <c r="F37" s="17" t="s">
        <v>1</v>
      </c>
    </row>
    <row r="38" spans="1:10" s="402" customFormat="1" ht="14.25">
      <c r="B38" s="405" t="s">
        <v>384</v>
      </c>
      <c r="C38" s="17"/>
      <c r="D38" s="17"/>
      <c r="E38" s="197">
        <f>(E24*1000*1000)/(E28*E30*E37)</f>
        <v>370.7506053268765</v>
      </c>
      <c r="F38" s="17" t="s">
        <v>9</v>
      </c>
    </row>
    <row r="39" spans="1:10" s="402" customFormat="1" ht="14.25">
      <c r="B39" s="89" t="s">
        <v>385</v>
      </c>
      <c r="C39" s="17"/>
      <c r="D39" s="17"/>
      <c r="E39" s="197">
        <f>3.14*E35*E35/4</f>
        <v>490.625</v>
      </c>
      <c r="F39" s="17" t="s">
        <v>9</v>
      </c>
    </row>
    <row r="40" spans="1:10" s="402" customFormat="1">
      <c r="B40" s="404" t="s">
        <v>386</v>
      </c>
      <c r="C40" s="17"/>
      <c r="D40" s="17"/>
      <c r="E40" s="197">
        <f>(E39*1000)/E38</f>
        <v>1323.3289250261234</v>
      </c>
      <c r="F40" s="17" t="s">
        <v>1</v>
      </c>
    </row>
    <row r="41" spans="1:10" s="402" customFormat="1">
      <c r="B41" s="405" t="s">
        <v>387</v>
      </c>
      <c r="C41" s="200">
        <f>E35</f>
        <v>25</v>
      </c>
      <c r="D41" s="17" t="s">
        <v>1</v>
      </c>
      <c r="E41" s="410">
        <v>100</v>
      </c>
      <c r="F41" s="17" t="s">
        <v>1</v>
      </c>
      <c r="G41" s="203" t="s">
        <v>717</v>
      </c>
    </row>
    <row r="42" spans="1:10">
      <c r="B42" s="404" t="s">
        <v>392</v>
      </c>
      <c r="C42" s="3">
        <f>C41</f>
        <v>25</v>
      </c>
      <c r="D42" t="s">
        <v>1</v>
      </c>
      <c r="E42" s="411">
        <f>E41</f>
        <v>100</v>
      </c>
      <c r="F42" t="s">
        <v>1</v>
      </c>
    </row>
    <row r="43" spans="1:10">
      <c r="B43" s="404" t="s">
        <v>718</v>
      </c>
      <c r="C43">
        <v>16</v>
      </c>
      <c r="D43" t="s">
        <v>1</v>
      </c>
      <c r="E43" s="411">
        <f>E42</f>
        <v>100</v>
      </c>
      <c r="F43" t="s">
        <v>1</v>
      </c>
    </row>
    <row r="44" spans="1:10">
      <c r="A44" s="1" t="s">
        <v>719</v>
      </c>
    </row>
    <row r="45" spans="1:10">
      <c r="A45" t="s">
        <v>720</v>
      </c>
    </row>
    <row r="46" spans="1:10" s="412" customFormat="1">
      <c r="A46" s="412" t="s">
        <v>721</v>
      </c>
      <c r="C46" s="412">
        <v>0.97499999999999998</v>
      </c>
      <c r="D46" s="412" t="s">
        <v>154</v>
      </c>
      <c r="E46" s="412">
        <v>15</v>
      </c>
      <c r="F46" s="412" t="s">
        <v>692</v>
      </c>
      <c r="G46" s="412">
        <v>2.4</v>
      </c>
      <c r="H46" s="413" t="s">
        <v>2</v>
      </c>
      <c r="I46" s="414">
        <f>C46*E46*G46</f>
        <v>35.1</v>
      </c>
      <c r="J46" s="412" t="s">
        <v>660</v>
      </c>
    </row>
    <row r="47" spans="1:10" s="412" customFormat="1">
      <c r="A47" s="412" t="s">
        <v>693</v>
      </c>
      <c r="C47" s="412">
        <v>7.4999999999999997E-2</v>
      </c>
      <c r="D47" s="412" t="s">
        <v>154</v>
      </c>
      <c r="E47" s="412">
        <v>12</v>
      </c>
      <c r="F47" s="412" t="s">
        <v>692</v>
      </c>
      <c r="G47" s="412">
        <v>2.4</v>
      </c>
      <c r="H47" s="413" t="s">
        <v>2</v>
      </c>
      <c r="I47" s="414">
        <f>C47*E47*G47</f>
        <v>2.1599999999999997</v>
      </c>
      <c r="J47" s="412" t="s">
        <v>660</v>
      </c>
    </row>
    <row r="48" spans="1:10" s="412" customFormat="1">
      <c r="G48" s="412" t="s">
        <v>41</v>
      </c>
      <c r="I48" s="415">
        <f>SUM(I46:I47)</f>
        <v>37.26</v>
      </c>
      <c r="J48" s="412" t="s">
        <v>660</v>
      </c>
    </row>
    <row r="49" spans="1:10" s="412" customFormat="1">
      <c r="A49" s="412" t="s">
        <v>722</v>
      </c>
      <c r="E49" s="413" t="s">
        <v>2</v>
      </c>
      <c r="F49" s="416"/>
      <c r="G49" s="413"/>
    </row>
    <row r="50" spans="1:10" s="412" customFormat="1">
      <c r="E50" s="416">
        <f>I48</f>
        <v>37.26</v>
      </c>
      <c r="F50" s="413" t="s">
        <v>8</v>
      </c>
      <c r="G50" s="412">
        <v>2</v>
      </c>
      <c r="H50" s="413" t="s">
        <v>2</v>
      </c>
      <c r="I50" s="414">
        <f>E50/G50</f>
        <v>18.63</v>
      </c>
      <c r="J50" s="412" t="s">
        <v>723</v>
      </c>
    </row>
    <row r="51" spans="1:10">
      <c r="A51" t="s">
        <v>724</v>
      </c>
      <c r="E51" t="s">
        <v>725</v>
      </c>
      <c r="I51">
        <v>64.69</v>
      </c>
      <c r="J51" t="s">
        <v>660</v>
      </c>
    </row>
    <row r="53" spans="1:10">
      <c r="A53" t="s">
        <v>726</v>
      </c>
    </row>
    <row r="54" spans="1:10">
      <c r="A54" t="s">
        <v>727</v>
      </c>
      <c r="C54" t="s">
        <v>725</v>
      </c>
      <c r="D54">
        <v>5.3</v>
      </c>
      <c r="E54" t="s">
        <v>29</v>
      </c>
    </row>
    <row r="56" spans="1:10" s="412" customFormat="1">
      <c r="A56" s="412" t="s">
        <v>728</v>
      </c>
      <c r="E56" s="416">
        <f>I51</f>
        <v>64.69</v>
      </c>
      <c r="F56" s="413" t="s">
        <v>8</v>
      </c>
      <c r="G56" s="412">
        <f>D54</f>
        <v>5.3</v>
      </c>
      <c r="H56" s="413" t="s">
        <v>2</v>
      </c>
      <c r="I56" s="414">
        <f>E56/G56</f>
        <v>12.205660377358491</v>
      </c>
      <c r="J56" s="412" t="s">
        <v>723</v>
      </c>
    </row>
    <row r="57" spans="1:10">
      <c r="A57" t="s">
        <v>729</v>
      </c>
      <c r="D57" s="2">
        <f>I50</f>
        <v>18.63</v>
      </c>
      <c r="E57" s="19" t="s">
        <v>7</v>
      </c>
      <c r="F57" s="2">
        <f>I56</f>
        <v>12.205660377358491</v>
      </c>
      <c r="H57" s="19" t="s">
        <v>2</v>
      </c>
      <c r="I57" s="2">
        <f>ROUNDUP((D57+F57),2)</f>
        <v>30.84</v>
      </c>
      <c r="J57" t="s">
        <v>660</v>
      </c>
    </row>
    <row r="58" spans="1:10">
      <c r="A58" t="s">
        <v>730</v>
      </c>
      <c r="I58" t="s">
        <v>706</v>
      </c>
    </row>
    <row r="59" spans="1:10">
      <c r="A59" t="s">
        <v>731</v>
      </c>
    </row>
    <row r="60" spans="1:10">
      <c r="A60" t="s">
        <v>732</v>
      </c>
    </row>
    <row r="61" spans="1:10" ht="28.5" customHeight="1">
      <c r="A61" s="706" t="s">
        <v>733</v>
      </c>
      <c r="B61" s="706"/>
      <c r="C61" s="2">
        <f>I57</f>
        <v>30.84</v>
      </c>
      <c r="D61" s="19" t="s">
        <v>3</v>
      </c>
      <c r="E61">
        <v>0</v>
      </c>
      <c r="H61" s="2">
        <f>C61*E61</f>
        <v>0</v>
      </c>
      <c r="I61" t="s">
        <v>712</v>
      </c>
    </row>
    <row r="62" spans="1:10">
      <c r="A62" t="s">
        <v>734</v>
      </c>
    </row>
    <row r="63" spans="1:10">
      <c r="A63" s="1" t="s">
        <v>735</v>
      </c>
    </row>
    <row r="64" spans="1:10">
      <c r="A64" t="s">
        <v>736</v>
      </c>
    </row>
    <row r="65" spans="1:12">
      <c r="A65" t="s">
        <v>737</v>
      </c>
    </row>
    <row r="66" spans="1:12">
      <c r="A66" t="s">
        <v>738</v>
      </c>
    </row>
    <row r="67" spans="1:12">
      <c r="A67" t="s">
        <v>739</v>
      </c>
    </row>
    <row r="68" spans="1:12">
      <c r="A68" t="s">
        <v>740</v>
      </c>
    </row>
    <row r="69" spans="1:12">
      <c r="A69" t="s">
        <v>741</v>
      </c>
    </row>
    <row r="70" spans="1:12" ht="14.25">
      <c r="A70" t="s">
        <v>742</v>
      </c>
      <c r="F70">
        <v>250</v>
      </c>
      <c r="G70" s="19" t="s">
        <v>3</v>
      </c>
      <c r="H70">
        <v>1.2</v>
      </c>
      <c r="I70" s="19" t="s">
        <v>2</v>
      </c>
      <c r="J70">
        <f>F70*H70</f>
        <v>300</v>
      </c>
      <c r="K70" t="s">
        <v>9</v>
      </c>
    </row>
    <row r="71" spans="1:12">
      <c r="A71" s="1" t="s">
        <v>743</v>
      </c>
    </row>
    <row r="72" spans="1:12">
      <c r="A72" s="1" t="s">
        <v>744</v>
      </c>
    </row>
    <row r="73" spans="1:12">
      <c r="A73" t="s">
        <v>745</v>
      </c>
    </row>
    <row r="74" spans="1:12" ht="14.25">
      <c r="A74" s="19" t="s">
        <v>746</v>
      </c>
      <c r="C74" s="19" t="s">
        <v>2</v>
      </c>
      <c r="D74">
        <f>14*491</f>
        <v>6874</v>
      </c>
      <c r="E74" t="s">
        <v>9</v>
      </c>
      <c r="F74" t="s">
        <v>747</v>
      </c>
      <c r="H74" t="s">
        <v>748</v>
      </c>
    </row>
    <row r="76" spans="1:12">
      <c r="A76" t="s">
        <v>749</v>
      </c>
    </row>
    <row r="77" spans="1:12" ht="14.25">
      <c r="A77" s="19" t="s">
        <v>750</v>
      </c>
      <c r="C77" s="19" t="s">
        <v>2</v>
      </c>
      <c r="D77">
        <v>2814</v>
      </c>
      <c r="E77" t="s">
        <v>9</v>
      </c>
      <c r="F77" t="s">
        <v>747</v>
      </c>
      <c r="H77" t="s">
        <v>748</v>
      </c>
    </row>
    <row r="78" spans="1:12">
      <c r="A78" s="1" t="s">
        <v>751</v>
      </c>
    </row>
    <row r="79" spans="1:12">
      <c r="B79" t="s">
        <v>752</v>
      </c>
      <c r="C79" s="2">
        <f>I57</f>
        <v>30.84</v>
      </c>
      <c r="D79" t="s">
        <v>660</v>
      </c>
    </row>
    <row r="80" spans="1:12">
      <c r="B80" s="17" t="s">
        <v>399</v>
      </c>
      <c r="C80" s="17"/>
      <c r="D80" s="17"/>
      <c r="E80" s="202">
        <f>C79*10</f>
        <v>308.39999999999998</v>
      </c>
      <c r="F80" s="17" t="s">
        <v>10</v>
      </c>
      <c r="G80" s="17"/>
      <c r="H80" s="17"/>
      <c r="I80" s="17"/>
      <c r="J80" s="17"/>
      <c r="K80" s="17"/>
      <c r="L80" s="17"/>
    </row>
    <row r="81" spans="1:14">
      <c r="B81" s="403" t="s">
        <v>400</v>
      </c>
      <c r="C81" t="s">
        <v>401</v>
      </c>
      <c r="D81" s="2"/>
      <c r="E81" s="5"/>
      <c r="F81" s="2"/>
      <c r="G81" s="2"/>
      <c r="H81" s="2"/>
      <c r="I81" s="2"/>
    </row>
    <row r="82" spans="1:14" ht="14.25">
      <c r="B82" s="403" t="s">
        <v>402</v>
      </c>
      <c r="D82" s="3"/>
      <c r="E82" s="47">
        <f>E80*1000/$E$37/1000</f>
        <v>0.27112087912087912</v>
      </c>
      <c r="F82" s="42" t="s">
        <v>425</v>
      </c>
      <c r="G82" s="3"/>
      <c r="H82" s="3"/>
      <c r="I82" s="2"/>
      <c r="K82" s="2"/>
      <c r="L82" s="2"/>
      <c r="M82" s="2"/>
      <c r="N82" s="2"/>
    </row>
    <row r="83" spans="1:14">
      <c r="B83" s="403" t="s">
        <v>403</v>
      </c>
      <c r="C83" t="s">
        <v>404</v>
      </c>
      <c r="D83" s="2"/>
      <c r="E83" s="47">
        <f>100*$D$77/(1000*$E$37)</f>
        <v>0.2473846153846154</v>
      </c>
    </row>
    <row r="84" spans="1:14" ht="14.25">
      <c r="B84" s="403" t="s">
        <v>405</v>
      </c>
      <c r="D84" s="3"/>
      <c r="E84" s="47">
        <v>0.23</v>
      </c>
      <c r="F84" s="42" t="s">
        <v>425</v>
      </c>
      <c r="I84" s="88"/>
      <c r="J84" s="2"/>
      <c r="N84" s="88"/>
    </row>
    <row r="85" spans="1:14">
      <c r="B85" s="403" t="s">
        <v>406</v>
      </c>
      <c r="D85" s="87"/>
      <c r="E85" s="7"/>
    </row>
    <row r="86" spans="1:14" ht="14.25">
      <c r="B86" s="403" t="s">
        <v>407</v>
      </c>
      <c r="C86" s="19"/>
      <c r="D86" s="87"/>
      <c r="E86" s="47">
        <f>E84</f>
        <v>0.23</v>
      </c>
      <c r="F86" s="42" t="s">
        <v>425</v>
      </c>
      <c r="G86" s="2"/>
      <c r="H86" s="2"/>
      <c r="I86" s="2"/>
      <c r="J86" s="2"/>
      <c r="K86" s="2"/>
      <c r="L86" s="2"/>
      <c r="M86" s="2"/>
    </row>
    <row r="87" spans="1:14" ht="26.25" customHeight="1">
      <c r="B87" s="17"/>
      <c r="C87" s="17"/>
      <c r="D87" s="706" t="s">
        <v>408</v>
      </c>
      <c r="E87" s="706"/>
      <c r="F87" s="706"/>
      <c r="G87" s="706"/>
      <c r="H87" s="17"/>
      <c r="I87" s="17"/>
      <c r="J87" s="17"/>
      <c r="K87" s="17"/>
      <c r="L87" s="17"/>
    </row>
    <row r="88" spans="1:14" s="402" customFormat="1" ht="21" customHeight="1">
      <c r="B88" s="405" t="s">
        <v>409</v>
      </c>
      <c r="C88" s="17"/>
      <c r="D88" s="17"/>
      <c r="E88" s="85">
        <v>16</v>
      </c>
      <c r="F88" s="17" t="s">
        <v>1</v>
      </c>
      <c r="G88" s="201"/>
      <c r="H88" s="201"/>
      <c r="I88" s="201"/>
      <c r="J88" s="201"/>
    </row>
    <row r="89" spans="1:14" s="402" customFormat="1" ht="14.25">
      <c r="B89" s="405" t="s">
        <v>390</v>
      </c>
      <c r="C89" s="17"/>
      <c r="D89" s="17"/>
      <c r="E89" s="197">
        <f>3.14*E88*E88/4</f>
        <v>200.96</v>
      </c>
      <c r="F89" s="17" t="s">
        <v>9</v>
      </c>
      <c r="G89" s="201"/>
      <c r="H89" s="201"/>
      <c r="I89" s="201"/>
      <c r="J89" s="201"/>
    </row>
    <row r="90" spans="1:14" s="402" customFormat="1">
      <c r="B90" s="121" t="s">
        <v>410</v>
      </c>
      <c r="C90" s="121"/>
      <c r="D90" s="121"/>
      <c r="E90" s="197">
        <f>2*E89*E28*E37/(E80*1000)</f>
        <v>296.48767833981844</v>
      </c>
      <c r="F90" s="17" t="s">
        <v>1</v>
      </c>
      <c r="G90" s="201"/>
      <c r="H90" s="201"/>
      <c r="I90" s="201"/>
      <c r="J90" s="201"/>
    </row>
    <row r="91" spans="1:14" s="402" customFormat="1">
      <c r="B91" s="405" t="s">
        <v>387</v>
      </c>
      <c r="C91" s="17">
        <f>E88</f>
        <v>16</v>
      </c>
      <c r="D91" s="17" t="s">
        <v>1</v>
      </c>
      <c r="E91" s="85">
        <v>100</v>
      </c>
      <c r="F91" s="17" t="s">
        <v>1</v>
      </c>
      <c r="G91" s="1" t="s">
        <v>717</v>
      </c>
      <c r="H91" s="201"/>
      <c r="I91" s="201"/>
      <c r="J91" s="201"/>
    </row>
    <row r="92" spans="1:14">
      <c r="A92" s="1" t="s">
        <v>753</v>
      </c>
    </row>
    <row r="93" spans="1:14">
      <c r="A93" s="1" t="s">
        <v>754</v>
      </c>
    </row>
    <row r="94" spans="1:14">
      <c r="A94" s="1" t="s">
        <v>755</v>
      </c>
    </row>
    <row r="95" spans="1:14">
      <c r="A95" s="1"/>
    </row>
    <row r="96" spans="1:14">
      <c r="A96" s="1" t="s">
        <v>756</v>
      </c>
    </row>
    <row r="97" spans="1:14">
      <c r="B97" t="s">
        <v>752</v>
      </c>
      <c r="C97">
        <v>20.3</v>
      </c>
      <c r="D97" t="s">
        <v>660</v>
      </c>
    </row>
    <row r="98" spans="1:14">
      <c r="B98" s="17" t="s">
        <v>399</v>
      </c>
      <c r="C98" s="17"/>
      <c r="D98" s="17"/>
      <c r="E98" s="202">
        <f>C97*10</f>
        <v>203</v>
      </c>
      <c r="F98" s="17" t="s">
        <v>10</v>
      </c>
      <c r="G98" s="17"/>
      <c r="H98" s="17"/>
      <c r="I98" s="17"/>
      <c r="J98" s="17"/>
      <c r="K98" s="17"/>
      <c r="L98" s="17"/>
    </row>
    <row r="99" spans="1:14">
      <c r="B99" s="403" t="s">
        <v>400</v>
      </c>
      <c r="C99" t="s">
        <v>401</v>
      </c>
      <c r="D99" s="2"/>
      <c r="E99" s="5"/>
      <c r="F99" s="2"/>
      <c r="G99" s="2"/>
      <c r="H99" s="2"/>
      <c r="I99" s="2"/>
    </row>
    <row r="100" spans="1:14" ht="14.25">
      <c r="B100" s="403" t="s">
        <v>402</v>
      </c>
      <c r="D100" s="3"/>
      <c r="E100" s="47">
        <f>E98*1000/$E$37/1000</f>
        <v>0.17846153846153845</v>
      </c>
      <c r="F100" s="42" t="s">
        <v>425</v>
      </c>
      <c r="G100" s="3"/>
      <c r="H100" s="3"/>
      <c r="I100" s="2"/>
      <c r="K100" s="2"/>
      <c r="L100" s="2"/>
      <c r="M100" s="2"/>
      <c r="N100" s="2"/>
    </row>
    <row r="101" spans="1:14">
      <c r="B101" s="403" t="s">
        <v>403</v>
      </c>
      <c r="C101" t="s">
        <v>404</v>
      </c>
      <c r="D101" s="2"/>
      <c r="E101" s="47">
        <f>100*$D$77/(1000*$E$37)</f>
        <v>0.2473846153846154</v>
      </c>
    </row>
    <row r="102" spans="1:14" ht="14.25">
      <c r="B102" s="403" t="s">
        <v>405</v>
      </c>
      <c r="D102" s="3"/>
      <c r="E102" s="47">
        <v>0.23</v>
      </c>
      <c r="F102" s="42" t="s">
        <v>425</v>
      </c>
      <c r="I102" s="88"/>
      <c r="J102" s="2"/>
      <c r="N102" s="88"/>
    </row>
    <row r="103" spans="1:14">
      <c r="B103" s="403" t="s">
        <v>406</v>
      </c>
      <c r="D103" s="87"/>
      <c r="E103" s="7"/>
    </row>
    <row r="104" spans="1:14" ht="14.25">
      <c r="B104" s="403" t="s">
        <v>407</v>
      </c>
      <c r="C104" s="19"/>
      <c r="D104" s="87"/>
      <c r="E104" s="47">
        <f>E102</f>
        <v>0.23</v>
      </c>
      <c r="F104" s="42" t="s">
        <v>425</v>
      </c>
      <c r="G104" s="2"/>
      <c r="H104" s="2"/>
      <c r="I104" s="2"/>
      <c r="J104" s="2"/>
      <c r="K104" s="2"/>
      <c r="L104" s="2"/>
      <c r="M104" s="2"/>
    </row>
    <row r="105" spans="1:14" ht="26.25" customHeight="1">
      <c r="B105" s="17"/>
      <c r="C105" s="17"/>
      <c r="D105" s="706" t="s">
        <v>757</v>
      </c>
      <c r="E105" s="706"/>
      <c r="F105" s="706"/>
      <c r="G105" s="706"/>
      <c r="H105" s="17"/>
      <c r="I105" s="17"/>
      <c r="J105" s="17"/>
      <c r="K105" s="17"/>
      <c r="L105" s="17"/>
    </row>
    <row r="106" spans="1:14">
      <c r="A106" s="1" t="s">
        <v>753</v>
      </c>
    </row>
    <row r="107" spans="1:14">
      <c r="A107" s="1" t="s">
        <v>754</v>
      </c>
    </row>
    <row r="108" spans="1:14">
      <c r="A108" s="1" t="s">
        <v>755</v>
      </c>
    </row>
  </sheetData>
  <mergeCells count="4">
    <mergeCell ref="A21:B21"/>
    <mergeCell ref="A61:B61"/>
    <mergeCell ref="D87:G87"/>
    <mergeCell ref="D105:G105"/>
  </mergeCells>
  <pageMargins left="0.75" right="0.75" top="1" bottom="1" header="0.5" footer="0.5"/>
  <pageSetup paperSize="9" scale="76" fitToHeight="28" orientation="landscape" verticalDpi="1200" r:id="rId1"/>
  <headerFooter>
    <oddFooter>&amp;L&amp;P/{&amp;N}&amp;C&amp;F&amp;R&amp;A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334"/>
  <sheetViews>
    <sheetView zoomScaleNormal="100" zoomScaleSheetLayoutView="100" workbookViewId="0">
      <selection activeCell="G16" sqref="G16"/>
    </sheetView>
  </sheetViews>
  <sheetFormatPr defaultRowHeight="12.75"/>
  <cols>
    <col min="1" max="1" width="12.42578125" style="249" customWidth="1"/>
    <col min="2" max="2" width="5.28515625" style="249" customWidth="1"/>
    <col min="3" max="3" width="13.42578125" style="249" customWidth="1"/>
    <col min="4" max="4" width="12.42578125" style="249" customWidth="1"/>
    <col min="5" max="5" width="14" style="249" customWidth="1"/>
    <col min="6" max="6" width="9.7109375" style="249" customWidth="1"/>
    <col min="7" max="7" width="9" style="249" customWidth="1"/>
    <col min="8" max="8" width="10.140625" style="249" customWidth="1"/>
    <col min="9" max="9" width="13.28515625" style="249" customWidth="1"/>
    <col min="10" max="10" width="5.5703125" style="249" customWidth="1"/>
    <col min="11" max="11" width="3.85546875" style="249" customWidth="1"/>
    <col min="12" max="17" width="9.140625" style="249"/>
    <col min="18" max="18" width="10.85546875" style="249" customWidth="1"/>
    <col min="19" max="19" width="10.42578125" style="249" customWidth="1"/>
    <col min="20" max="20" width="15.140625" style="249" customWidth="1"/>
    <col min="21" max="21" width="11.85546875" style="249" customWidth="1"/>
    <col min="22" max="22" width="13.7109375" style="249" customWidth="1"/>
    <col min="23" max="23" width="11" style="249" customWidth="1"/>
    <col min="24" max="16384" width="9.140625" style="249"/>
  </cols>
  <sheetData>
    <row r="1" spans="1:5" ht="15.75">
      <c r="A1" s="246" t="s">
        <v>488</v>
      </c>
      <c r="B1" s="247"/>
      <c r="C1" s="247"/>
      <c r="D1" s="248"/>
      <c r="E1" s="248"/>
    </row>
    <row r="2" spans="1:5" ht="15.75">
      <c r="A2" s="246" t="s">
        <v>489</v>
      </c>
      <c r="B2" s="247"/>
      <c r="C2" s="247"/>
      <c r="D2" s="248"/>
      <c r="E2" s="248"/>
    </row>
    <row r="3" spans="1:5" ht="15.75">
      <c r="A3" s="246"/>
      <c r="B3" s="247"/>
      <c r="C3" s="247"/>
      <c r="D3" s="248"/>
      <c r="E3" s="248"/>
    </row>
    <row r="4" spans="1:5" ht="15.75">
      <c r="A4" s="250" t="s">
        <v>490</v>
      </c>
      <c r="B4" s="247"/>
      <c r="C4" s="247"/>
      <c r="D4" s="248"/>
      <c r="E4" s="248"/>
    </row>
    <row r="5" spans="1:5" ht="15.75">
      <c r="A5" s="250"/>
      <c r="B5" s="247"/>
      <c r="C5" s="247"/>
      <c r="D5" s="248"/>
      <c r="E5" s="248"/>
    </row>
    <row r="6" spans="1:5" ht="15.75">
      <c r="A6" s="250" t="s">
        <v>491</v>
      </c>
      <c r="B6" s="251" t="s">
        <v>2</v>
      </c>
      <c r="C6" s="252">
        <v>0.3</v>
      </c>
      <c r="D6" s="249" t="s">
        <v>0</v>
      </c>
    </row>
    <row r="7" spans="1:5" ht="15.75">
      <c r="A7" s="250" t="s">
        <v>492</v>
      </c>
      <c r="B7" s="251" t="s">
        <v>2</v>
      </c>
      <c r="C7" s="252">
        <v>0.3</v>
      </c>
      <c r="D7" s="249" t="s">
        <v>0</v>
      </c>
    </row>
    <row r="9" spans="1:5">
      <c r="A9" s="249" t="s">
        <v>493</v>
      </c>
      <c r="B9" s="247"/>
      <c r="C9" s="247"/>
      <c r="D9" s="248"/>
      <c r="E9" s="248"/>
    </row>
    <row r="10" spans="1:5">
      <c r="A10" s="253" t="s">
        <v>494</v>
      </c>
      <c r="B10" s="249" t="s">
        <v>495</v>
      </c>
      <c r="C10" s="247"/>
      <c r="D10" s="248"/>
      <c r="E10" s="248"/>
    </row>
    <row r="11" spans="1:5">
      <c r="A11" s="253" t="s">
        <v>496</v>
      </c>
      <c r="B11" s="249" t="s">
        <v>497</v>
      </c>
      <c r="C11" s="247"/>
      <c r="D11" s="248"/>
      <c r="E11" s="248"/>
    </row>
    <row r="12" spans="1:5">
      <c r="A12" s="253" t="s">
        <v>498</v>
      </c>
      <c r="B12" s="249" t="s">
        <v>499</v>
      </c>
      <c r="C12" s="247"/>
      <c r="D12" s="248"/>
      <c r="E12" s="248"/>
    </row>
    <row r="13" spans="1:5">
      <c r="A13" s="253" t="s">
        <v>500</v>
      </c>
      <c r="B13" s="249" t="s">
        <v>501</v>
      </c>
      <c r="C13" s="247"/>
      <c r="D13" s="248"/>
      <c r="E13" s="248"/>
    </row>
    <row r="14" spans="1:5">
      <c r="A14" s="253" t="s">
        <v>502</v>
      </c>
      <c r="B14" s="249" t="s">
        <v>503</v>
      </c>
      <c r="C14" s="247"/>
      <c r="D14" s="248"/>
      <c r="E14" s="248"/>
    </row>
    <row r="15" spans="1:5">
      <c r="A15" s="253"/>
    </row>
    <row r="16" spans="1:5">
      <c r="A16" s="247" t="s">
        <v>504</v>
      </c>
      <c r="C16" s="254" t="s">
        <v>505</v>
      </c>
    </row>
    <row r="18" spans="1:29">
      <c r="A18" s="255" t="s">
        <v>506</v>
      </c>
      <c r="B18" s="254" t="s">
        <v>495</v>
      </c>
      <c r="C18" s="254"/>
    </row>
    <row r="19" spans="1:29">
      <c r="A19" s="254"/>
      <c r="B19" s="254"/>
      <c r="C19" s="254"/>
      <c r="D19" s="256" t="s">
        <v>507</v>
      </c>
      <c r="E19" s="257">
        <f>VLOOKUP(span,AA27:AC39,2,0.1)</f>
        <v>80</v>
      </c>
      <c r="G19" s="256"/>
    </row>
    <row r="20" spans="1:29">
      <c r="C20" s="258"/>
      <c r="D20" s="259"/>
      <c r="E20" s="260">
        <f>VLOOKUP(span,AA27:AC39,3,0.1)</f>
        <v>3.65</v>
      </c>
    </row>
    <row r="21" spans="1:29">
      <c r="A21" s="261"/>
    </row>
    <row r="22" spans="1:29">
      <c r="B22" s="260"/>
      <c r="C22" s="262"/>
      <c r="D22" s="262"/>
      <c r="E22" s="262"/>
      <c r="F22" s="260"/>
      <c r="G22" s="260"/>
      <c r="AC22" s="263"/>
    </row>
    <row r="23" spans="1:29">
      <c r="C23" s="264"/>
      <c r="D23" s="264"/>
      <c r="E23" s="264" t="s">
        <v>508</v>
      </c>
      <c r="F23" s="265"/>
    </row>
    <row r="25" spans="1:29">
      <c r="A25" s="266">
        <v>0.3</v>
      </c>
      <c r="B25" s="260" t="s">
        <v>0</v>
      </c>
      <c r="C25" s="267">
        <f>7.6+0.375+0.375</f>
        <v>8.35</v>
      </c>
      <c r="D25" s="268" t="s">
        <v>0</v>
      </c>
      <c r="E25" s="269" t="s">
        <v>509</v>
      </c>
      <c r="F25" s="270" t="s">
        <v>492</v>
      </c>
      <c r="H25" s="271">
        <f>span</f>
        <v>8.35</v>
      </c>
      <c r="I25" s="272">
        <v>0.3</v>
      </c>
    </row>
    <row r="26" spans="1:29">
      <c r="A26" s="273"/>
      <c r="B26" s="254" t="s">
        <v>510</v>
      </c>
      <c r="E26" s="274">
        <v>0.3</v>
      </c>
      <c r="F26" s="274">
        <v>0.3</v>
      </c>
      <c r="I26" s="255" t="s">
        <v>511</v>
      </c>
      <c r="AA26" s="249" t="s">
        <v>512</v>
      </c>
      <c r="AB26" s="249" t="s">
        <v>513</v>
      </c>
      <c r="AC26" s="249" t="s">
        <v>514</v>
      </c>
    </row>
    <row r="27" spans="1:29">
      <c r="D27" s="254"/>
      <c r="AA27" s="249">
        <v>4.42</v>
      </c>
      <c r="AB27" s="249">
        <v>51</v>
      </c>
      <c r="AC27" s="249">
        <v>1.93</v>
      </c>
    </row>
    <row r="28" spans="1:29">
      <c r="B28" s="249" t="s">
        <v>515</v>
      </c>
      <c r="C28" s="275" t="str">
        <f>CONCATENATE(E19,"*(",C25,"-",E20,"+",E26,")/",C25)</f>
        <v>80*(8.35-3.65+0.3)/8.35</v>
      </c>
      <c r="H28" s="251" t="s">
        <v>2</v>
      </c>
      <c r="I28" s="276">
        <f>E19*(C25-E20+1.6)/C25</f>
        <v>60.359281437125738</v>
      </c>
      <c r="J28" s="249" t="s">
        <v>516</v>
      </c>
      <c r="AA28" s="249">
        <v>5.79</v>
      </c>
      <c r="AB28" s="249">
        <v>68</v>
      </c>
      <c r="AC28" s="249">
        <v>2.895</v>
      </c>
    </row>
    <row r="29" spans="1:29">
      <c r="B29" s="249" t="s">
        <v>517</v>
      </c>
      <c r="C29" s="277"/>
      <c r="H29" s="251" t="s">
        <v>2</v>
      </c>
      <c r="I29" s="277">
        <v>0</v>
      </c>
      <c r="J29" s="249" t="s">
        <v>516</v>
      </c>
      <c r="AA29" s="249">
        <v>7.92</v>
      </c>
      <c r="AB29" s="249">
        <v>80</v>
      </c>
      <c r="AC29" s="249">
        <v>3.65</v>
      </c>
    </row>
    <row r="30" spans="1:29">
      <c r="B30" s="249" t="s">
        <v>518</v>
      </c>
      <c r="C30" s="277"/>
      <c r="H30" s="251" t="s">
        <v>2</v>
      </c>
      <c r="I30" s="277">
        <f>E19-I28</f>
        <v>19.640718562874262</v>
      </c>
      <c r="J30" s="249" t="s">
        <v>516</v>
      </c>
    </row>
    <row r="31" spans="1:29">
      <c r="B31" s="249" t="s">
        <v>519</v>
      </c>
      <c r="C31" s="277"/>
      <c r="D31" s="249" t="str">
        <f>CONCATENATE(ROUND(I28,1)," + ",ROUND(I29,1))</f>
        <v>60.4 + 0</v>
      </c>
      <c r="H31" s="251" t="s">
        <v>2</v>
      </c>
      <c r="I31" s="277">
        <f>I28+I29</f>
        <v>60.359281437125738</v>
      </c>
      <c r="J31" s="249" t="s">
        <v>516</v>
      </c>
      <c r="AA31" s="249">
        <v>9.44</v>
      </c>
      <c r="AB31" s="249">
        <v>92</v>
      </c>
      <c r="AC31" s="249">
        <v>4.4000000000000004</v>
      </c>
    </row>
    <row r="32" spans="1:29">
      <c r="B32" s="249" t="s">
        <v>520</v>
      </c>
      <c r="C32" s="277"/>
      <c r="D32" s="249" t="str">
        <f>CONCATENATE("0.2*",E19)</f>
        <v>0.2*80</v>
      </c>
      <c r="H32" s="251" t="s">
        <v>2</v>
      </c>
      <c r="I32" s="275">
        <f>0.2*E19</f>
        <v>16</v>
      </c>
      <c r="J32" s="249" t="s">
        <v>516</v>
      </c>
      <c r="AA32" s="249">
        <v>13.4</v>
      </c>
      <c r="AB32" s="249">
        <v>100</v>
      </c>
      <c r="AC32" s="249">
        <v>5.12</v>
      </c>
    </row>
    <row r="33" spans="2:30">
      <c r="B33" s="249" t="s">
        <v>521</v>
      </c>
      <c r="C33" s="277"/>
      <c r="H33" s="251" t="s">
        <v>2</v>
      </c>
      <c r="I33" s="278">
        <v>485</v>
      </c>
      <c r="J33" s="249" t="s">
        <v>516</v>
      </c>
    </row>
    <row r="34" spans="2:30">
      <c r="C34" s="277"/>
      <c r="H34" s="251"/>
      <c r="I34" s="278"/>
    </row>
    <row r="35" spans="2:30">
      <c r="B35" s="249" t="s">
        <v>522</v>
      </c>
      <c r="C35" s="277"/>
      <c r="H35" s="251" t="s">
        <v>2</v>
      </c>
      <c r="I35" s="268">
        <v>0</v>
      </c>
    </row>
    <row r="36" spans="2:30">
      <c r="B36" s="249" t="s">
        <v>523</v>
      </c>
      <c r="C36" s="277"/>
      <c r="H36" s="251" t="s">
        <v>2</v>
      </c>
      <c r="I36" s="275">
        <f>I35*(I33+I30)</f>
        <v>0</v>
      </c>
      <c r="J36" s="249" t="s">
        <v>516</v>
      </c>
    </row>
    <row r="37" spans="2:30">
      <c r="B37" s="249" t="s">
        <v>524</v>
      </c>
      <c r="C37" s="277"/>
      <c r="H37" s="251" t="s">
        <v>2</v>
      </c>
      <c r="I37" s="275">
        <f>MAX(I32/2+I36,I32-I36)</f>
        <v>16</v>
      </c>
      <c r="J37" s="249" t="s">
        <v>516</v>
      </c>
    </row>
    <row r="38" spans="2:30">
      <c r="B38" s="249" t="s">
        <v>525</v>
      </c>
      <c r="C38" s="277"/>
      <c r="H38" s="251"/>
      <c r="I38" s="275"/>
    </row>
    <row r="39" spans="2:30">
      <c r="B39" s="254"/>
      <c r="C39" s="277"/>
      <c r="G39" s="251"/>
      <c r="H39" s="275"/>
      <c r="J39" s="279"/>
      <c r="AA39" s="249">
        <f>$C$25+$A$25+($E$26-0.04)/2</f>
        <v>8.7800000000000011</v>
      </c>
    </row>
    <row r="40" spans="2:30">
      <c r="B40" s="249" t="s">
        <v>526</v>
      </c>
      <c r="C40" s="277"/>
      <c r="E40" s="260"/>
      <c r="F40" s="280" t="s">
        <v>527</v>
      </c>
      <c r="G40" s="251"/>
      <c r="H40" s="275"/>
      <c r="J40" s="279"/>
    </row>
    <row r="41" spans="2:30">
      <c r="B41" s="254"/>
      <c r="C41" s="281">
        <v>2.5950000000000002</v>
      </c>
      <c r="D41" s="735">
        <f>$E$44/2-C41</f>
        <v>1.605</v>
      </c>
      <c r="E41" s="735"/>
      <c r="G41" s="251"/>
      <c r="H41" s="275"/>
      <c r="J41" s="279"/>
    </row>
    <row r="42" spans="2:30">
      <c r="B42" s="254"/>
      <c r="C42" s="277"/>
      <c r="G42" s="251"/>
      <c r="H42" s="275"/>
      <c r="J42" s="279"/>
      <c r="AB42" s="263"/>
    </row>
    <row r="43" spans="2:30">
      <c r="B43" s="254"/>
      <c r="C43" s="277"/>
      <c r="G43" s="251"/>
      <c r="H43" s="275"/>
      <c r="J43" s="279"/>
    </row>
    <row r="44" spans="2:30">
      <c r="B44" s="254"/>
      <c r="C44" s="277"/>
      <c r="E44" s="282">
        <v>8.4</v>
      </c>
      <c r="F44" s="260" t="s">
        <v>0</v>
      </c>
      <c r="G44" s="251"/>
      <c r="H44" s="275"/>
      <c r="J44" s="279"/>
    </row>
    <row r="45" spans="2:30">
      <c r="B45" s="249" t="s">
        <v>528</v>
      </c>
      <c r="C45" s="277"/>
      <c r="H45" s="251" t="s">
        <v>2</v>
      </c>
      <c r="I45" s="260">
        <v>2.9049999999999998</v>
      </c>
      <c r="J45" s="275" t="s">
        <v>0</v>
      </c>
      <c r="AD45" s="265"/>
    </row>
    <row r="46" spans="2:30">
      <c r="B46" s="249" t="s">
        <v>529</v>
      </c>
      <c r="C46" s="277"/>
      <c r="E46" s="275" t="str">
        <f>CONCATENATE(I45,"*","(",ROUND(I28,1)," + ",I29,")")</f>
        <v>2.905*(60.4 + 0)</v>
      </c>
      <c r="H46" s="251" t="s">
        <v>2</v>
      </c>
      <c r="I46" s="275">
        <f>I45*I28</f>
        <v>175.34371257485026</v>
      </c>
      <c r="J46" s="249" t="s">
        <v>530</v>
      </c>
      <c r="AD46" s="265"/>
    </row>
    <row r="47" spans="2:30">
      <c r="B47" s="249" t="s">
        <v>531</v>
      </c>
      <c r="C47" s="283"/>
      <c r="D47" s="275" t="str">
        <f>CONCATENATE(ROUND(I28,1),"*",C6,"-",ROUND(I29,1),"*",C7)</f>
        <v>60.4*0.3-0*0.3</v>
      </c>
      <c r="H47" s="251" t="s">
        <v>2</v>
      </c>
      <c r="I47" s="275">
        <f>I31*C6-I29*C7</f>
        <v>18.10778443113772</v>
      </c>
      <c r="J47" s="249" t="s">
        <v>530</v>
      </c>
      <c r="AD47" s="265"/>
    </row>
    <row r="48" spans="2:30">
      <c r="B48" s="249" t="s">
        <v>532</v>
      </c>
      <c r="C48" s="277"/>
      <c r="E48" s="275"/>
      <c r="H48" s="251" t="s">
        <v>2</v>
      </c>
      <c r="I48" s="284">
        <f>I47/I31</f>
        <v>0.3</v>
      </c>
      <c r="J48" s="249" t="s">
        <v>0</v>
      </c>
    </row>
    <row r="50" spans="1:31">
      <c r="A50" s="255" t="s">
        <v>533</v>
      </c>
      <c r="B50" s="254" t="s">
        <v>534</v>
      </c>
      <c r="AC50" s="249" t="s">
        <v>535</v>
      </c>
      <c r="AD50" s="249" t="s">
        <v>536</v>
      </c>
      <c r="AE50" s="249" t="s">
        <v>537</v>
      </c>
    </row>
    <row r="51" spans="1:31">
      <c r="D51" s="249" t="s">
        <v>507</v>
      </c>
      <c r="E51" s="285">
        <v>55.4</v>
      </c>
      <c r="G51" s="280"/>
      <c r="AC51" s="249">
        <v>5.5</v>
      </c>
      <c r="AD51" s="249">
        <v>29.6</v>
      </c>
      <c r="AE51" s="249">
        <v>1.73</v>
      </c>
    </row>
    <row r="52" spans="1:31">
      <c r="C52" s="258"/>
      <c r="D52" s="258"/>
      <c r="E52" s="258">
        <v>9.6999999999999993</v>
      </c>
      <c r="F52" s="256"/>
      <c r="G52" s="286">
        <v>0</v>
      </c>
      <c r="AC52" s="249">
        <v>8.5</v>
      </c>
      <c r="AD52" s="249">
        <v>36.4</v>
      </c>
      <c r="AE52" s="249">
        <v>2.99</v>
      </c>
    </row>
    <row r="53" spans="1:31">
      <c r="A53" s="261"/>
      <c r="AC53" s="249">
        <v>11.5</v>
      </c>
      <c r="AD53" s="249">
        <v>43.2</v>
      </c>
      <c r="AE53" s="249">
        <v>4.33</v>
      </c>
    </row>
    <row r="54" spans="1:31">
      <c r="B54" s="260"/>
      <c r="C54" s="260"/>
      <c r="D54" s="262"/>
      <c r="E54" s="260"/>
      <c r="F54" s="287"/>
      <c r="G54" s="287"/>
      <c r="H54" s="265"/>
      <c r="AC54" s="249">
        <v>14.5</v>
      </c>
      <c r="AD54" s="249">
        <v>50</v>
      </c>
      <c r="AE54" s="249">
        <v>5.71</v>
      </c>
    </row>
    <row r="55" spans="1:31">
      <c r="D55" s="264"/>
      <c r="F55" s="265"/>
      <c r="G55" s="265"/>
      <c r="H55" s="265"/>
      <c r="AC55" s="249">
        <v>24</v>
      </c>
      <c r="AD55" s="249">
        <v>50</v>
      </c>
      <c r="AE55" s="249">
        <v>5.71</v>
      </c>
    </row>
    <row r="56" spans="1:31">
      <c r="AC56" s="263">
        <f>AA39</f>
        <v>8.7800000000000011</v>
      </c>
    </row>
    <row r="57" spans="1:31">
      <c r="A57" s="249">
        <f>A25</f>
        <v>0.3</v>
      </c>
      <c r="B57" s="260" t="s">
        <v>0</v>
      </c>
      <c r="C57" s="288">
        <f>C25</f>
        <v>8.35</v>
      </c>
      <c r="D57" s="268" t="s">
        <v>0</v>
      </c>
      <c r="E57" s="289" t="s">
        <v>491</v>
      </c>
      <c r="F57" s="270" t="s">
        <v>492</v>
      </c>
      <c r="H57" s="290">
        <f>H25</f>
        <v>8.35</v>
      </c>
      <c r="I57" s="260" t="s">
        <v>0</v>
      </c>
      <c r="J57" s="280">
        <f>I25</f>
        <v>0.3</v>
      </c>
      <c r="K57" s="249" t="s">
        <v>0</v>
      </c>
    </row>
    <row r="58" spans="1:31">
      <c r="B58" s="254" t="s">
        <v>510</v>
      </c>
      <c r="E58" s="291">
        <f>+E26</f>
        <v>0.3</v>
      </c>
      <c r="F58" s="292">
        <v>0.3</v>
      </c>
      <c r="I58" s="255" t="s">
        <v>511</v>
      </c>
    </row>
    <row r="59" spans="1:31">
      <c r="D59" s="254"/>
    </row>
    <row r="60" spans="1:31">
      <c r="B60" s="249" t="s">
        <v>517</v>
      </c>
      <c r="C60" s="275" t="str">
        <f>CONCATENATE(G52,"*(",C57,"-",A57,")/",C57)</f>
        <v>0*(8.35-0.3)/8.35</v>
      </c>
      <c r="D60" s="254"/>
      <c r="H60" s="251" t="s">
        <v>2</v>
      </c>
      <c r="I60" s="275">
        <f>G52*(C57-F52+A57)/C57</f>
        <v>0</v>
      </c>
      <c r="J60" s="249" t="s">
        <v>516</v>
      </c>
    </row>
    <row r="61" spans="1:31">
      <c r="B61" s="249" t="s">
        <v>515</v>
      </c>
      <c r="C61" s="277" t="str">
        <f>CONCATENATE(E51,"*(",C57,"-",E52,"+",E58,"/2)/",C57)</f>
        <v>55.4*(8.35-9.7+0.3/2)/8.35</v>
      </c>
      <c r="H61" s="251" t="s">
        <v>2</v>
      </c>
      <c r="I61" s="277">
        <f>-E51*(C57-E52+E58)/C57</f>
        <v>6.9664670658682608</v>
      </c>
      <c r="J61" s="249" t="s">
        <v>516</v>
      </c>
    </row>
    <row r="62" spans="1:31">
      <c r="B62" s="249" t="s">
        <v>518</v>
      </c>
      <c r="C62" s="277"/>
      <c r="H62" s="251" t="s">
        <v>2</v>
      </c>
      <c r="I62" s="277">
        <f>E51-I61</f>
        <v>48.43353293413174</v>
      </c>
      <c r="J62" s="249" t="s">
        <v>516</v>
      </c>
    </row>
    <row r="63" spans="1:31">
      <c r="B63" s="249" t="s">
        <v>538</v>
      </c>
      <c r="C63" s="277"/>
      <c r="D63" s="249" t="str">
        <f>CONCATENATE(ROUND(I62,1)," + ",ROUND(I61,1))</f>
        <v>48.4 + 7</v>
      </c>
      <c r="H63" s="251" t="s">
        <v>2</v>
      </c>
      <c r="I63" s="277">
        <f>I62+I61</f>
        <v>55.4</v>
      </c>
      <c r="J63" s="249" t="s">
        <v>516</v>
      </c>
    </row>
    <row r="64" spans="1:31">
      <c r="B64" s="249" t="s">
        <v>520</v>
      </c>
      <c r="C64" s="277"/>
      <c r="D64" s="275" t="str">
        <f>CONCATENATE(0.2,"*(",G52,"+",E51,")")</f>
        <v>0.2*(0+55.4)</v>
      </c>
      <c r="H64" s="251" t="s">
        <v>2</v>
      </c>
      <c r="I64" s="275">
        <f>0.2*(G52+E51)</f>
        <v>11.08</v>
      </c>
      <c r="J64" s="249" t="s">
        <v>516</v>
      </c>
    </row>
    <row r="65" spans="2:10">
      <c r="B65" s="249" t="s">
        <v>521</v>
      </c>
      <c r="C65" s="277"/>
      <c r="H65" s="251" t="s">
        <v>2</v>
      </c>
      <c r="I65" s="278">
        <f>I33</f>
        <v>485</v>
      </c>
      <c r="J65" s="249" t="s">
        <v>516</v>
      </c>
    </row>
    <row r="66" spans="2:10">
      <c r="B66" s="249" t="s">
        <v>522</v>
      </c>
      <c r="C66" s="277"/>
      <c r="H66" s="251" t="s">
        <v>2</v>
      </c>
      <c r="I66" s="268">
        <v>0</v>
      </c>
    </row>
    <row r="67" spans="2:10">
      <c r="B67" s="249" t="s">
        <v>523</v>
      </c>
      <c r="C67" s="277"/>
      <c r="H67" s="251" t="s">
        <v>2</v>
      </c>
      <c r="I67" s="275">
        <f>I66*(I65+I62)</f>
        <v>0</v>
      </c>
      <c r="J67" s="249" t="s">
        <v>516</v>
      </c>
    </row>
    <row r="68" spans="2:10">
      <c r="B68" s="249" t="s">
        <v>524</v>
      </c>
      <c r="C68" s="277"/>
      <c r="H68" s="251" t="s">
        <v>2</v>
      </c>
      <c r="I68" s="275">
        <f>MAX(I64/2+I67,I64-I67)</f>
        <v>11.08</v>
      </c>
      <c r="J68" s="249" t="s">
        <v>516</v>
      </c>
    </row>
    <row r="69" spans="2:10">
      <c r="B69" s="249" t="s">
        <v>525</v>
      </c>
      <c r="C69" s="277"/>
      <c r="H69" s="251"/>
      <c r="I69" s="275"/>
    </row>
    <row r="70" spans="2:10">
      <c r="C70" s="277"/>
      <c r="J70" s="279"/>
    </row>
    <row r="71" spans="2:10">
      <c r="B71" s="249" t="s">
        <v>539</v>
      </c>
      <c r="C71" s="277"/>
      <c r="E71" s="260"/>
      <c r="F71" s="280" t="s">
        <v>527</v>
      </c>
      <c r="G71" s="251"/>
      <c r="H71" s="275"/>
    </row>
    <row r="72" spans="2:10">
      <c r="B72" s="254"/>
      <c r="C72" s="293">
        <v>1.3</v>
      </c>
      <c r="D72" s="737">
        <f>E75/2-C72</f>
        <v>2.9000000000000004</v>
      </c>
      <c r="E72" s="735"/>
      <c r="G72" s="251"/>
      <c r="H72" s="275"/>
    </row>
    <row r="73" spans="2:10">
      <c r="B73" s="254"/>
      <c r="C73" s="277"/>
      <c r="G73" s="251"/>
      <c r="H73" s="275"/>
    </row>
    <row r="74" spans="2:10">
      <c r="B74" s="254"/>
      <c r="C74" s="277"/>
      <c r="G74" s="251"/>
      <c r="H74" s="275"/>
    </row>
    <row r="75" spans="2:10">
      <c r="B75" s="254"/>
      <c r="C75" s="277"/>
      <c r="E75" s="280">
        <f>E44</f>
        <v>8.4</v>
      </c>
      <c r="F75" s="260" t="s">
        <v>0</v>
      </c>
      <c r="G75" s="251"/>
      <c r="H75" s="275"/>
    </row>
    <row r="76" spans="2:10">
      <c r="B76" s="249" t="s">
        <v>528</v>
      </c>
      <c r="C76" s="277"/>
      <c r="H76" s="251" t="s">
        <v>2</v>
      </c>
      <c r="I76" s="268">
        <f>D72</f>
        <v>2.9000000000000004</v>
      </c>
      <c r="J76" s="275" t="s">
        <v>0</v>
      </c>
    </row>
    <row r="77" spans="2:10">
      <c r="B77" s="249" t="s">
        <v>529</v>
      </c>
      <c r="C77" s="277"/>
      <c r="E77" s="275" t="str">
        <f>CONCATENATE(I76,"*",ROUND(I63,1))</f>
        <v>2.9*55.4</v>
      </c>
      <c r="H77" s="251" t="s">
        <v>2</v>
      </c>
      <c r="I77" s="275">
        <f>I76*I63</f>
        <v>160.66000000000003</v>
      </c>
      <c r="J77" s="249" t="s">
        <v>530</v>
      </c>
    </row>
    <row r="78" spans="2:10">
      <c r="B78" s="249" t="s">
        <v>531</v>
      </c>
      <c r="C78" s="283"/>
      <c r="D78" s="275" t="str">
        <f>CONCATENATE(ROUND(I61,1),"*",C6,"-",ROUND(I60,1),"*",C7)</f>
        <v>7*0.3-0*0.3</v>
      </c>
      <c r="H78" s="251" t="s">
        <v>2</v>
      </c>
      <c r="I78" s="275">
        <f>I61*C6-I60*C7</f>
        <v>2.0899401197604783</v>
      </c>
      <c r="J78" s="249" t="s">
        <v>530</v>
      </c>
    </row>
    <row r="79" spans="2:10">
      <c r="B79" s="249" t="s">
        <v>532</v>
      </c>
      <c r="C79" s="277"/>
      <c r="E79" s="275"/>
      <c r="H79" s="251" t="s">
        <v>2</v>
      </c>
      <c r="I79" s="284">
        <f>I78/I63</f>
        <v>3.7724550898203583E-2</v>
      </c>
      <c r="J79" s="249" t="s">
        <v>0</v>
      </c>
    </row>
    <row r="80" spans="2:10">
      <c r="C80" s="277"/>
      <c r="E80" s="275"/>
      <c r="H80" s="251"/>
      <c r="I80" s="275"/>
    </row>
    <row r="81" spans="1:10">
      <c r="C81" s="277"/>
      <c r="E81" s="275"/>
      <c r="H81" s="251"/>
      <c r="I81" s="275"/>
    </row>
    <row r="82" spans="1:10">
      <c r="A82" s="254" t="s">
        <v>540</v>
      </c>
      <c r="B82" s="254" t="s">
        <v>541</v>
      </c>
    </row>
    <row r="84" spans="1:10">
      <c r="B84" s="249" t="s">
        <v>517</v>
      </c>
      <c r="C84" s="275" t="str">
        <f>CONCATENATE("2*",ROUND(I60,1))</f>
        <v>2*0</v>
      </c>
      <c r="D84" s="254"/>
      <c r="H84" s="251" t="s">
        <v>2</v>
      </c>
      <c r="I84" s="275">
        <f>2*I60</f>
        <v>0</v>
      </c>
      <c r="J84" s="249" t="s">
        <v>516</v>
      </c>
    </row>
    <row r="85" spans="1:10">
      <c r="B85" s="249" t="s">
        <v>515</v>
      </c>
      <c r="C85" s="275" t="str">
        <f>CONCATENATE("2*",ROUND(I61,1))</f>
        <v>2*7</v>
      </c>
      <c r="H85" s="251" t="s">
        <v>2</v>
      </c>
      <c r="I85" s="277">
        <f>2*I61</f>
        <v>13.932934131736522</v>
      </c>
      <c r="J85" s="249" t="s">
        <v>516</v>
      </c>
    </row>
    <row r="86" spans="1:10">
      <c r="B86" s="249" t="s">
        <v>518</v>
      </c>
      <c r="C86" s="277"/>
      <c r="H86" s="251" t="s">
        <v>2</v>
      </c>
      <c r="I86" s="277">
        <f>2*E51-I85</f>
        <v>96.867065868263481</v>
      </c>
      <c r="J86" s="249" t="s">
        <v>516</v>
      </c>
    </row>
    <row r="87" spans="1:10">
      <c r="B87" s="249" t="s">
        <v>538</v>
      </c>
      <c r="C87" s="275"/>
      <c r="D87" s="249" t="str">
        <f>CONCATENATE(ROUND(I84,1)," + ",ROUND(I85,1))</f>
        <v>0 + 13.9</v>
      </c>
      <c r="H87" s="251" t="s">
        <v>2</v>
      </c>
      <c r="I87" s="277">
        <f>I84+I85</f>
        <v>13.932934131736522</v>
      </c>
      <c r="J87" s="249" t="s">
        <v>516</v>
      </c>
    </row>
    <row r="88" spans="1:10">
      <c r="B88" s="249" t="s">
        <v>542</v>
      </c>
      <c r="C88" s="277"/>
      <c r="D88" s="275"/>
      <c r="H88" s="251" t="s">
        <v>2</v>
      </c>
      <c r="I88" s="275">
        <f>I64</f>
        <v>11.08</v>
      </c>
      <c r="J88" s="249" t="s">
        <v>516</v>
      </c>
    </row>
    <row r="89" spans="1:10">
      <c r="B89" s="249" t="s">
        <v>521</v>
      </c>
      <c r="C89" s="277"/>
      <c r="H89" s="251" t="s">
        <v>2</v>
      </c>
      <c r="I89" s="278">
        <f>I33</f>
        <v>485</v>
      </c>
      <c r="J89" s="249" t="s">
        <v>516</v>
      </c>
    </row>
    <row r="90" spans="1:10">
      <c r="B90" s="249" t="s">
        <v>522</v>
      </c>
      <c r="C90" s="277"/>
      <c r="H90" s="251" t="s">
        <v>2</v>
      </c>
      <c r="I90" s="268">
        <v>0</v>
      </c>
    </row>
    <row r="91" spans="1:10">
      <c r="B91" s="249" t="s">
        <v>523</v>
      </c>
      <c r="C91" s="277"/>
      <c r="H91" s="251" t="s">
        <v>2</v>
      </c>
      <c r="I91" s="275">
        <f>I90*(I89+I86)</f>
        <v>0</v>
      </c>
      <c r="J91" s="249" t="s">
        <v>516</v>
      </c>
    </row>
    <row r="92" spans="1:10">
      <c r="B92" s="249" t="s">
        <v>524</v>
      </c>
      <c r="C92" s="277"/>
      <c r="H92" s="251" t="s">
        <v>2</v>
      </c>
      <c r="I92" s="275">
        <f>MAX(I88/2+I91,I88-I91)</f>
        <v>11.08</v>
      </c>
      <c r="J92" s="249" t="s">
        <v>516</v>
      </c>
    </row>
    <row r="93" spans="1:10">
      <c r="B93" s="249" t="s">
        <v>525</v>
      </c>
      <c r="C93" s="277"/>
      <c r="H93" s="251"/>
      <c r="I93" s="275"/>
    </row>
    <row r="94" spans="1:10">
      <c r="C94" s="277"/>
    </row>
    <row r="95" spans="1:10">
      <c r="B95" s="249" t="s">
        <v>543</v>
      </c>
      <c r="C95" s="277"/>
      <c r="E95" s="260"/>
      <c r="F95" s="280" t="s">
        <v>527</v>
      </c>
      <c r="G95" s="251"/>
      <c r="H95" s="275"/>
    </row>
    <row r="96" spans="1:10">
      <c r="B96" s="254"/>
      <c r="C96" s="293">
        <v>3.05</v>
      </c>
      <c r="D96" s="735">
        <f>E99/2-C96</f>
        <v>1.1500000000000004</v>
      </c>
      <c r="E96" s="735"/>
      <c r="G96" s="251"/>
      <c r="H96" s="275"/>
    </row>
    <row r="97" spans="1:10">
      <c r="B97" s="254"/>
      <c r="C97" s="277"/>
      <c r="G97" s="251"/>
      <c r="H97" s="275"/>
    </row>
    <row r="98" spans="1:10">
      <c r="B98" s="254"/>
      <c r="C98" s="277"/>
      <c r="G98" s="251"/>
      <c r="H98" s="275"/>
    </row>
    <row r="99" spans="1:10">
      <c r="B99" s="254"/>
      <c r="C99" s="277"/>
      <c r="E99" s="280">
        <f>E44</f>
        <v>8.4</v>
      </c>
      <c r="F99" s="260" t="s">
        <v>0</v>
      </c>
      <c r="G99" s="251"/>
      <c r="H99" s="275"/>
    </row>
    <row r="100" spans="1:10">
      <c r="B100" s="249" t="s">
        <v>528</v>
      </c>
      <c r="C100" s="277"/>
      <c r="H100" s="251" t="s">
        <v>2</v>
      </c>
      <c r="I100" s="268">
        <f>D96</f>
        <v>1.1500000000000004</v>
      </c>
      <c r="J100" s="275" t="s">
        <v>0</v>
      </c>
    </row>
    <row r="101" spans="1:10">
      <c r="B101" s="249" t="s">
        <v>529</v>
      </c>
      <c r="C101" s="277"/>
      <c r="E101" s="275" t="str">
        <f>CONCATENATE(I100,"*",ROUND(I87,1))</f>
        <v>1.15*13.9</v>
      </c>
      <c r="H101" s="251" t="s">
        <v>2</v>
      </c>
      <c r="I101" s="275">
        <f>I87*I100</f>
        <v>16.022874251497004</v>
      </c>
      <c r="J101" s="249" t="s">
        <v>530</v>
      </c>
    </row>
    <row r="102" spans="1:10">
      <c r="B102" s="249" t="s">
        <v>531</v>
      </c>
      <c r="C102" s="283"/>
      <c r="D102" s="275" t="str">
        <f>CONCATENATE(ROUND(I85,1),"*",C6,"-",ROUND(I84,1),"*",C7)</f>
        <v>13.9*0.3-0*0.3</v>
      </c>
      <c r="H102" s="251" t="s">
        <v>2</v>
      </c>
      <c r="I102" s="275">
        <f>ABS(I85*C6-I84*C7)</f>
        <v>4.1798802395209567</v>
      </c>
      <c r="J102" s="249" t="s">
        <v>530</v>
      </c>
    </row>
    <row r="103" spans="1:10">
      <c r="B103" s="249" t="s">
        <v>532</v>
      </c>
      <c r="C103" s="277"/>
      <c r="E103" s="275"/>
      <c r="H103" s="251" t="s">
        <v>2</v>
      </c>
      <c r="I103" s="284">
        <f>I102/I87</f>
        <v>0.3</v>
      </c>
      <c r="J103" s="249" t="s">
        <v>0</v>
      </c>
    </row>
    <row r="104" spans="1:10">
      <c r="C104" s="277"/>
      <c r="E104" s="275"/>
      <c r="G104" s="251"/>
      <c r="H104" s="275"/>
    </row>
    <row r="106" spans="1:10">
      <c r="A106" s="254" t="s">
        <v>544</v>
      </c>
      <c r="B106" s="254" t="s">
        <v>545</v>
      </c>
    </row>
    <row r="108" spans="1:10">
      <c r="B108" s="249" t="s">
        <v>517</v>
      </c>
      <c r="C108" s="275" t="str">
        <f>CONCATENATE("90% of"," 3*",ROUND(I60,1))</f>
        <v>90% of 3*0</v>
      </c>
      <c r="D108" s="254"/>
      <c r="H108" s="251" t="s">
        <v>2</v>
      </c>
      <c r="I108" s="275">
        <f>0.9*3*I60</f>
        <v>0</v>
      </c>
      <c r="J108" s="249" t="s">
        <v>516</v>
      </c>
    </row>
    <row r="109" spans="1:10">
      <c r="B109" s="249" t="s">
        <v>515</v>
      </c>
      <c r="C109" s="275" t="str">
        <f>CONCATENATE("90% of"," 3*",ROUND(I61,1))</f>
        <v>90% of 3*7</v>
      </c>
      <c r="H109" s="251" t="s">
        <v>2</v>
      </c>
      <c r="I109" s="277">
        <f>0.9*3*I61</f>
        <v>18.809461077844304</v>
      </c>
      <c r="J109" s="249" t="s">
        <v>516</v>
      </c>
    </row>
    <row r="110" spans="1:10">
      <c r="B110" s="249" t="s">
        <v>518</v>
      </c>
      <c r="C110" s="277"/>
      <c r="H110" s="251" t="s">
        <v>2</v>
      </c>
      <c r="I110" s="277">
        <f>load1*0.9*3-I109</f>
        <v>61.110538922155698</v>
      </c>
      <c r="J110" s="249" t="s">
        <v>516</v>
      </c>
    </row>
    <row r="111" spans="1:10">
      <c r="B111" s="249" t="s">
        <v>538</v>
      </c>
      <c r="C111" s="275"/>
      <c r="D111" s="249" t="str">
        <f>CONCATENATE(ROUND(I108,1)," + ",ROUND(I109,1))</f>
        <v>0 + 18.8</v>
      </c>
      <c r="H111" s="251"/>
      <c r="I111" s="277">
        <f>I108+I109</f>
        <v>18.809461077844304</v>
      </c>
    </row>
    <row r="112" spans="1:10">
      <c r="B112" s="249" t="s">
        <v>520</v>
      </c>
      <c r="C112" s="277"/>
      <c r="D112" s="275" t="str">
        <f>CONCATENATE("(0.2)*",55.4,"+","0.05*",55.4)</f>
        <v>(0.2)*55.4+0.05*55.4</v>
      </c>
      <c r="H112" s="251" t="s">
        <v>2</v>
      </c>
      <c r="I112" s="275">
        <f>(0.2)*55.4+(0.05)*55.4</f>
        <v>13.85</v>
      </c>
      <c r="J112" s="249" t="s">
        <v>516</v>
      </c>
    </row>
    <row r="113" spans="2:10">
      <c r="B113" s="249" t="s">
        <v>546</v>
      </c>
      <c r="C113" s="277"/>
      <c r="D113" s="275"/>
      <c r="H113" s="251"/>
      <c r="I113" s="275"/>
    </row>
    <row r="114" spans="2:10">
      <c r="B114" s="249" t="s">
        <v>521</v>
      </c>
      <c r="C114" s="277"/>
      <c r="H114" s="251" t="s">
        <v>2</v>
      </c>
      <c r="I114" s="278">
        <f>I33</f>
        <v>485</v>
      </c>
      <c r="J114" s="249" t="s">
        <v>516</v>
      </c>
    </row>
    <row r="115" spans="2:10">
      <c r="B115" s="249" t="s">
        <v>522</v>
      </c>
      <c r="C115" s="277"/>
      <c r="H115" s="251" t="s">
        <v>2</v>
      </c>
      <c r="I115" s="268">
        <v>0</v>
      </c>
    </row>
    <row r="116" spans="2:10">
      <c r="B116" s="249" t="s">
        <v>523</v>
      </c>
      <c r="C116" s="277"/>
      <c r="H116" s="251" t="s">
        <v>2</v>
      </c>
      <c r="I116" s="275">
        <f>I115*(I114+I111)</f>
        <v>0</v>
      </c>
      <c r="J116" s="249" t="s">
        <v>516</v>
      </c>
    </row>
    <row r="117" spans="2:10">
      <c r="B117" s="249" t="s">
        <v>524</v>
      </c>
      <c r="C117" s="277"/>
      <c r="H117" s="251" t="s">
        <v>2</v>
      </c>
      <c r="I117" s="275">
        <f>MAX(I112/2+I116,I112-I116)</f>
        <v>13.85</v>
      </c>
      <c r="J117" s="249" t="s">
        <v>516</v>
      </c>
    </row>
    <row r="118" spans="2:10">
      <c r="B118" s="249" t="s">
        <v>525</v>
      </c>
      <c r="C118" s="277"/>
      <c r="H118" s="251"/>
      <c r="I118" s="275"/>
    </row>
    <row r="119" spans="2:10">
      <c r="C119" s="277"/>
    </row>
    <row r="120" spans="2:10">
      <c r="B120" s="249" t="s">
        <v>547</v>
      </c>
      <c r="C120" s="277"/>
      <c r="E120" s="260"/>
      <c r="F120" s="280" t="s">
        <v>527</v>
      </c>
      <c r="G120" s="251"/>
      <c r="H120" s="275"/>
    </row>
    <row r="121" spans="2:10">
      <c r="B121" s="254"/>
      <c r="C121" s="737">
        <v>4.8</v>
      </c>
      <c r="D121" s="737"/>
      <c r="E121" s="259">
        <f>E124/2-C121</f>
        <v>0.70000000000000018</v>
      </c>
      <c r="G121" s="251"/>
      <c r="H121" s="275"/>
    </row>
    <row r="122" spans="2:10">
      <c r="B122" s="254"/>
      <c r="C122" s="277"/>
      <c r="G122" s="251"/>
      <c r="H122" s="275"/>
    </row>
    <row r="123" spans="2:10">
      <c r="B123" s="254"/>
      <c r="C123" s="277"/>
      <c r="G123" s="251"/>
      <c r="H123" s="275"/>
    </row>
    <row r="124" spans="2:10">
      <c r="B124" s="254"/>
      <c r="C124" s="277"/>
      <c r="E124" s="282">
        <v>11</v>
      </c>
      <c r="F124" s="260" t="s">
        <v>0</v>
      </c>
      <c r="G124" s="251"/>
      <c r="H124" s="275"/>
    </row>
    <row r="125" spans="2:10">
      <c r="B125" s="249" t="s">
        <v>528</v>
      </c>
      <c r="C125" s="277"/>
      <c r="H125" s="251" t="s">
        <v>2</v>
      </c>
      <c r="I125" s="268">
        <f>E121</f>
        <v>0.70000000000000018</v>
      </c>
      <c r="J125" s="275" t="s">
        <v>0</v>
      </c>
    </row>
    <row r="126" spans="2:10">
      <c r="B126" s="249" t="s">
        <v>529</v>
      </c>
      <c r="C126" s="277"/>
      <c r="E126" s="275" t="str">
        <f>CONCATENATE(I125,"*",ROUND(I111,1))</f>
        <v>0.7*18.8</v>
      </c>
      <c r="H126" s="251" t="s">
        <v>2</v>
      </c>
      <c r="I126" s="275">
        <f>I125*I111</f>
        <v>13.166622754491016</v>
      </c>
      <c r="J126" s="249" t="s">
        <v>530</v>
      </c>
    </row>
    <row r="127" spans="2:10">
      <c r="B127" s="249" t="s">
        <v>531</v>
      </c>
      <c r="C127" s="283"/>
      <c r="D127" s="275" t="str">
        <f>CONCATENATE(ROUND(I109,1),"*",C6,"-",ROUND(I108,1),"*",C7)</f>
        <v>18.8*0.3-0*0.3</v>
      </c>
      <c r="H127" s="251" t="s">
        <v>2</v>
      </c>
      <c r="I127" s="275">
        <f>ABS(I109*C6-I108*C7)</f>
        <v>5.6428383233532911</v>
      </c>
      <c r="J127" s="249" t="s">
        <v>530</v>
      </c>
    </row>
    <row r="128" spans="2:10">
      <c r="B128" s="249" t="s">
        <v>532</v>
      </c>
      <c r="C128" s="277"/>
      <c r="E128" s="275"/>
      <c r="H128" s="251" t="s">
        <v>2</v>
      </c>
      <c r="I128" s="284">
        <f>I127/I111</f>
        <v>0.3</v>
      </c>
      <c r="J128" s="249" t="s">
        <v>0</v>
      </c>
    </row>
    <row r="130" spans="1:10">
      <c r="A130" s="254" t="s">
        <v>548</v>
      </c>
      <c r="B130" s="254" t="s">
        <v>549</v>
      </c>
    </row>
    <row r="132" spans="1:10">
      <c r="B132" s="249" t="s">
        <v>517</v>
      </c>
      <c r="C132" s="275" t="str">
        <f>CONCATENATE("90% of","(",ROUND(I60,2),"+",ROUND(I29,2),")")</f>
        <v>90% of(0+0)</v>
      </c>
      <c r="D132" s="254"/>
      <c r="H132" s="251" t="s">
        <v>2</v>
      </c>
      <c r="I132" s="275">
        <f>0.9*(I60+I29)</f>
        <v>0</v>
      </c>
      <c r="J132" s="249" t="s">
        <v>516</v>
      </c>
    </row>
    <row r="133" spans="1:10">
      <c r="B133" s="249" t="s">
        <v>515</v>
      </c>
      <c r="C133" s="275" t="str">
        <f>CONCATENATE("90% of","(",ROUND(I61,2),"+",ROUND(I28,2),")")</f>
        <v>90% of(6.97+60.36)</v>
      </c>
      <c r="H133" s="251" t="s">
        <v>2</v>
      </c>
      <c r="I133" s="275">
        <f>0.9*(I61+I28)</f>
        <v>60.593173652694603</v>
      </c>
      <c r="J133" s="249" t="s">
        <v>516</v>
      </c>
    </row>
    <row r="134" spans="1:10">
      <c r="B134" s="249" t="s">
        <v>518</v>
      </c>
      <c r="C134" s="277"/>
      <c r="H134" s="251" t="s">
        <v>2</v>
      </c>
      <c r="I134" s="277">
        <f>(E51+E19)*0.9-I133</f>
        <v>61.266826347305411</v>
      </c>
      <c r="J134" s="249" t="s">
        <v>516</v>
      </c>
    </row>
    <row r="135" spans="1:10">
      <c r="B135" s="249" t="s">
        <v>550</v>
      </c>
      <c r="C135" s="277"/>
      <c r="D135" s="275" t="str">
        <f>CONCATENATE(I32," + ","5% of ",55.4)</f>
        <v>16 + 5% of 55.4</v>
      </c>
      <c r="H135" s="251" t="s">
        <v>2</v>
      </c>
      <c r="I135" s="275">
        <f>I32+0.05*55.4</f>
        <v>18.77</v>
      </c>
      <c r="J135" s="249" t="s">
        <v>516</v>
      </c>
    </row>
    <row r="136" spans="1:10">
      <c r="B136" s="249" t="s">
        <v>551</v>
      </c>
      <c r="C136" s="277"/>
      <c r="D136" s="275"/>
      <c r="H136" s="251"/>
      <c r="I136" s="275"/>
    </row>
    <row r="137" spans="1:10">
      <c r="B137" s="249" t="s">
        <v>521</v>
      </c>
      <c r="C137" s="277"/>
      <c r="H137" s="251" t="s">
        <v>2</v>
      </c>
      <c r="I137" s="278">
        <f>I33</f>
        <v>485</v>
      </c>
      <c r="J137" s="249" t="s">
        <v>516</v>
      </c>
    </row>
    <row r="138" spans="1:10">
      <c r="B138" s="249" t="s">
        <v>522</v>
      </c>
      <c r="C138" s="277"/>
      <c r="H138" s="251" t="s">
        <v>2</v>
      </c>
      <c r="I138" s="268">
        <v>0</v>
      </c>
    </row>
    <row r="139" spans="1:10">
      <c r="B139" s="249" t="s">
        <v>523</v>
      </c>
      <c r="C139" s="277"/>
      <c r="H139" s="251" t="s">
        <v>2</v>
      </c>
      <c r="I139" s="275">
        <f>I138*(I137+I134)</f>
        <v>0</v>
      </c>
      <c r="J139" s="249" t="s">
        <v>516</v>
      </c>
    </row>
    <row r="140" spans="1:10">
      <c r="B140" s="249" t="s">
        <v>524</v>
      </c>
      <c r="C140" s="277"/>
      <c r="H140" s="251" t="s">
        <v>2</v>
      </c>
      <c r="I140" s="275">
        <f>MAX(I135/2+I139,I135-I139)</f>
        <v>18.77</v>
      </c>
      <c r="J140" s="249" t="s">
        <v>516</v>
      </c>
    </row>
    <row r="141" spans="1:10">
      <c r="B141" s="249" t="s">
        <v>525</v>
      </c>
      <c r="C141" s="277"/>
      <c r="H141" s="251"/>
      <c r="I141" s="275"/>
    </row>
    <row r="142" spans="1:10">
      <c r="C142" s="277"/>
    </row>
    <row r="143" spans="1:10">
      <c r="B143" s="249" t="s">
        <v>552</v>
      </c>
      <c r="C143" s="277"/>
      <c r="E143" s="260"/>
      <c r="F143" s="280" t="s">
        <v>527</v>
      </c>
      <c r="G143" s="251"/>
      <c r="H143" s="249" t="s">
        <v>553</v>
      </c>
    </row>
    <row r="144" spans="1:10">
      <c r="B144" s="254"/>
      <c r="C144" s="294">
        <v>2.5950000000000002</v>
      </c>
      <c r="D144" s="738">
        <v>2.9049999999999998</v>
      </c>
      <c r="E144" s="738"/>
      <c r="F144" s="295">
        <v>0.84</v>
      </c>
      <c r="G144" s="251"/>
      <c r="H144" s="275"/>
    </row>
    <row r="145" spans="1:29">
      <c r="B145" s="254"/>
      <c r="C145" s="277"/>
      <c r="G145" s="251"/>
      <c r="H145" s="275"/>
    </row>
    <row r="146" spans="1:29">
      <c r="B146" s="254"/>
      <c r="C146" s="277"/>
      <c r="G146" s="251"/>
      <c r="H146" s="275"/>
    </row>
    <row r="147" spans="1:29">
      <c r="B147" s="254"/>
      <c r="C147" s="277"/>
      <c r="E147" s="736">
        <f>E99</f>
        <v>8.4</v>
      </c>
      <c r="F147" s="736"/>
      <c r="G147" s="251"/>
      <c r="H147" s="275"/>
    </row>
    <row r="148" spans="1:29">
      <c r="B148" s="249" t="s">
        <v>554</v>
      </c>
      <c r="C148" s="277"/>
      <c r="H148" s="251" t="s">
        <v>2</v>
      </c>
      <c r="I148" s="284">
        <f>D144</f>
        <v>2.9049999999999998</v>
      </c>
      <c r="J148" s="275" t="s">
        <v>0</v>
      </c>
    </row>
    <row r="149" spans="1:29">
      <c r="B149" s="249" t="s">
        <v>555</v>
      </c>
      <c r="C149" s="277"/>
      <c r="H149" s="251" t="s">
        <v>2</v>
      </c>
      <c r="I149" s="268">
        <f>-F144</f>
        <v>-0.84</v>
      </c>
      <c r="J149" s="275" t="s">
        <v>0</v>
      </c>
    </row>
    <row r="150" spans="1:29">
      <c r="B150" s="249" t="s">
        <v>556</v>
      </c>
      <c r="C150" s="277"/>
      <c r="D150" s="275" t="str">
        <f>CONCATENATE("0.9*(",ROUND(I31,1),"*",ROUND(I148,3),"-",ROUND(I63,1),"*",ROUND(I149,3),")")</f>
        <v>0.9*(60.4*2.905-55.4*-0.84)</v>
      </c>
      <c r="E150" s="275"/>
      <c r="H150" s="251" t="s">
        <v>2</v>
      </c>
      <c r="I150" s="275">
        <f>0.9*(I31*I148+I63*I149)</f>
        <v>115.92694131736523</v>
      </c>
    </row>
    <row r="151" spans="1:29">
      <c r="B151" s="249" t="s">
        <v>557</v>
      </c>
      <c r="H151" s="251" t="s">
        <v>2</v>
      </c>
      <c r="I151" s="284">
        <f>I150/(I132+I133)</f>
        <v>1.9132013447889424</v>
      </c>
      <c r="J151" s="249" t="s">
        <v>530</v>
      </c>
    </row>
    <row r="152" spans="1:29">
      <c r="B152" s="249" t="s">
        <v>531</v>
      </c>
      <c r="C152" s="283"/>
      <c r="D152" s="275" t="str">
        <f>CONCATENATE(ROUND(I133,1),"*",C6,"-",ROUND(I132,1),"*",C7)</f>
        <v>60.6*0.3-0*0.3</v>
      </c>
      <c r="H152" s="251" t="s">
        <v>2</v>
      </c>
      <c r="I152" s="275">
        <f>ABS(I133*C6-I132*C7)</f>
        <v>18.177952095808379</v>
      </c>
      <c r="J152" s="249" t="s">
        <v>530</v>
      </c>
    </row>
    <row r="153" spans="1:29">
      <c r="B153" s="249" t="s">
        <v>532</v>
      </c>
      <c r="C153" s="277"/>
      <c r="E153" s="275"/>
      <c r="H153" s="251" t="s">
        <v>2</v>
      </c>
      <c r="I153" s="284">
        <f>I152/(I132+I133)</f>
        <v>0.3</v>
      </c>
      <c r="J153" s="249" t="s">
        <v>0</v>
      </c>
    </row>
    <row r="154" spans="1:29">
      <c r="C154" s="277"/>
      <c r="E154" s="275"/>
      <c r="G154" s="251"/>
      <c r="H154" s="284"/>
    </row>
    <row r="155" spans="1:29">
      <c r="C155" s="277"/>
      <c r="E155" s="275"/>
      <c r="G155" s="251"/>
      <c r="H155" s="284"/>
    </row>
    <row r="156" spans="1:29" ht="15">
      <c r="A156" s="247" t="s">
        <v>558</v>
      </c>
      <c r="C156" s="296" t="s">
        <v>559</v>
      </c>
      <c r="E156" s="275"/>
      <c r="G156" s="251"/>
      <c r="H156" s="284"/>
    </row>
    <row r="157" spans="1:29">
      <c r="C157" s="277"/>
      <c r="E157" s="275"/>
      <c r="G157" s="251"/>
      <c r="H157" s="284"/>
    </row>
    <row r="158" spans="1:29" ht="13.5" thickBot="1">
      <c r="C158" s="277"/>
      <c r="E158" s="275"/>
      <c r="G158" s="251"/>
      <c r="H158" s="284"/>
    </row>
    <row r="159" spans="1:29">
      <c r="A159" s="254" t="s">
        <v>560</v>
      </c>
      <c r="C159" s="254" t="s">
        <v>561</v>
      </c>
      <c r="U159" s="297" t="s">
        <v>562</v>
      </c>
      <c r="V159" s="298"/>
      <c r="W159" s="299"/>
      <c r="AA159" s="300" t="s">
        <v>563</v>
      </c>
      <c r="AB159" s="301"/>
      <c r="AC159" s="302"/>
    </row>
    <row r="160" spans="1:29">
      <c r="U160" s="303" t="s">
        <v>535</v>
      </c>
      <c r="V160" s="304" t="s">
        <v>536</v>
      </c>
      <c r="W160" s="305" t="s">
        <v>537</v>
      </c>
      <c r="AA160" s="306" t="s">
        <v>535</v>
      </c>
      <c r="AB160" s="307" t="s">
        <v>536</v>
      </c>
      <c r="AC160" s="308" t="s">
        <v>537</v>
      </c>
    </row>
    <row r="161" spans="1:29">
      <c r="E161" s="309">
        <f>H161+C162</f>
        <v>100</v>
      </c>
      <c r="G161" s="251" t="s">
        <v>507</v>
      </c>
      <c r="H161" s="310">
        <f>IF(C162=49,51,34)</f>
        <v>51</v>
      </c>
      <c r="U161" s="303">
        <v>8.2799999999999994</v>
      </c>
      <c r="V161" s="304">
        <v>49</v>
      </c>
      <c r="W161" s="305">
        <v>3.33</v>
      </c>
      <c r="AA161" s="306">
        <v>3</v>
      </c>
      <c r="AB161" s="307">
        <v>80</v>
      </c>
      <c r="AC161" s="308">
        <v>3.65</v>
      </c>
    </row>
    <row r="162" spans="1:29">
      <c r="B162" s="280" t="s">
        <v>507</v>
      </c>
      <c r="C162" s="311">
        <f>IF(U165&gt;=8.28,49,58)</f>
        <v>49</v>
      </c>
      <c r="D162" s="739">
        <f>VLOOKUP(C162,V161:W162,2,0.1)</f>
        <v>3.33</v>
      </c>
      <c r="E162" s="739"/>
      <c r="F162" s="736">
        <v>5.12</v>
      </c>
      <c r="G162" s="736"/>
      <c r="U162" s="303">
        <v>5.04</v>
      </c>
      <c r="V162" s="304">
        <v>58</v>
      </c>
      <c r="W162" s="305">
        <v>2.1800000000000002</v>
      </c>
      <c r="AA162" s="306">
        <v>4.5199999999999996</v>
      </c>
      <c r="AB162" s="307">
        <v>92</v>
      </c>
      <c r="AC162" s="308">
        <v>4.4000000000000004</v>
      </c>
    </row>
    <row r="163" spans="1:29">
      <c r="A163" s="261"/>
      <c r="U163" s="303"/>
      <c r="V163" s="304"/>
      <c r="W163" s="305"/>
      <c r="AA163" s="306">
        <v>8.48</v>
      </c>
      <c r="AB163" s="307">
        <v>100</v>
      </c>
      <c r="AC163" s="308">
        <v>5.12</v>
      </c>
    </row>
    <row r="164" spans="1:29">
      <c r="B164" s="260"/>
      <c r="C164" s="262"/>
      <c r="D164" s="262"/>
      <c r="E164" s="262"/>
      <c r="F164" s="740">
        <f>VLOOKUP(H161,V168:W169,2,0.1)</f>
        <v>3.19</v>
      </c>
      <c r="G164" s="740"/>
      <c r="U164" s="312"/>
      <c r="V164" s="304"/>
      <c r="W164" s="305"/>
      <c r="AA164" s="313">
        <v>24</v>
      </c>
      <c r="AB164" s="307">
        <v>100</v>
      </c>
      <c r="AC164" s="308">
        <v>5.12</v>
      </c>
    </row>
    <row r="165" spans="1:29" ht="13.5" thickBot="1">
      <c r="C165" s="264"/>
      <c r="D165" s="264"/>
      <c r="E165" s="264" t="s">
        <v>508</v>
      </c>
      <c r="F165" s="314"/>
      <c r="G165" s="264"/>
      <c r="U165" s="315">
        <f>A167+C167+E168</f>
        <v>8.9500000000000011</v>
      </c>
      <c r="V165" s="316"/>
      <c r="W165" s="317"/>
      <c r="AA165" s="318">
        <f>$C$25+$A$25+($E$26)</f>
        <v>8.9500000000000011</v>
      </c>
      <c r="AB165" s="319"/>
      <c r="AC165" s="320"/>
    </row>
    <row r="166" spans="1:29" ht="13.5" thickBot="1">
      <c r="U166" s="321"/>
      <c r="V166" s="321"/>
      <c r="W166" s="321"/>
    </row>
    <row r="167" spans="1:29">
      <c r="A167" s="249">
        <v>0.3</v>
      </c>
      <c r="B167" s="260" t="s">
        <v>0</v>
      </c>
      <c r="C167" s="322">
        <f>H25</f>
        <v>8.35</v>
      </c>
      <c r="D167" s="268" t="s">
        <v>0</v>
      </c>
      <c r="E167" s="269" t="s">
        <v>491</v>
      </c>
      <c r="F167" s="270" t="s">
        <v>492</v>
      </c>
      <c r="H167" s="322">
        <f>C25</f>
        <v>8.35</v>
      </c>
      <c r="I167" s="268" t="s">
        <v>0</v>
      </c>
      <c r="J167" s="741">
        <v>1.6</v>
      </c>
      <c r="K167" s="741"/>
      <c r="U167" s="297" t="s">
        <v>563</v>
      </c>
      <c r="V167" s="298"/>
      <c r="W167" s="299"/>
      <c r="AA167" s="300" t="s">
        <v>562</v>
      </c>
      <c r="AB167" s="301"/>
      <c r="AC167" s="302"/>
    </row>
    <row r="168" spans="1:29">
      <c r="B168" s="254" t="s">
        <v>510</v>
      </c>
      <c r="E168" s="291">
        <v>0.3</v>
      </c>
      <c r="F168" s="292">
        <v>1.6</v>
      </c>
      <c r="I168" s="255" t="s">
        <v>511</v>
      </c>
      <c r="U168" s="303">
        <v>4.4000000000000004</v>
      </c>
      <c r="V168" s="321">
        <v>34</v>
      </c>
      <c r="W168" s="323">
        <v>3.7149999999999999</v>
      </c>
      <c r="AA168" s="306">
        <v>3</v>
      </c>
      <c r="AB168" s="249">
        <v>17</v>
      </c>
      <c r="AC168" s="324">
        <v>0.87</v>
      </c>
    </row>
    <row r="169" spans="1:29">
      <c r="D169" s="254"/>
      <c r="U169" s="303">
        <v>5.12</v>
      </c>
      <c r="V169" s="321">
        <v>51</v>
      </c>
      <c r="W169" s="323">
        <v>3.19</v>
      </c>
      <c r="AA169" s="306">
        <v>4.5199999999999996</v>
      </c>
      <c r="AB169" s="249">
        <v>29</v>
      </c>
      <c r="AC169" s="324">
        <v>1.75</v>
      </c>
    </row>
    <row r="170" spans="1:29">
      <c r="B170" s="249" t="s">
        <v>515</v>
      </c>
      <c r="C170" s="275" t="str">
        <f>CONCATENATE(C162,"*(",C167," - ",D162," + ",E168,")/",C167)</f>
        <v>49*(8.35 - 3.33 + 0.3)/8.35</v>
      </c>
      <c r="H170" s="251" t="s">
        <v>2</v>
      </c>
      <c r="I170" s="325">
        <f>C162*(C167-D162+E168)/C167</f>
        <v>31.219161676646703</v>
      </c>
      <c r="J170" s="249" t="s">
        <v>516</v>
      </c>
      <c r="U170" s="303"/>
      <c r="V170" s="321"/>
      <c r="W170" s="323"/>
      <c r="AA170" s="306">
        <v>8.48</v>
      </c>
      <c r="AB170" s="249">
        <v>41</v>
      </c>
      <c r="AC170" s="324">
        <v>2.56</v>
      </c>
    </row>
    <row r="171" spans="1:29">
      <c r="B171" s="249" t="s">
        <v>517</v>
      </c>
      <c r="C171" s="277" t="str">
        <f>CONCATENATE(H161,"*(",H167,"-",F164,"+",F168,")/",H167)</f>
        <v>51*(8.35-3.19+1.6)/8.35</v>
      </c>
      <c r="H171" s="251" t="s">
        <v>2</v>
      </c>
      <c r="I171" s="326">
        <f>H161*(H167-F164-F168)/H167</f>
        <v>21.743712574850299</v>
      </c>
      <c r="J171" s="249" t="s">
        <v>516</v>
      </c>
      <c r="U171" s="312"/>
      <c r="V171" s="321"/>
      <c r="W171" s="323"/>
      <c r="AA171" s="313">
        <v>24</v>
      </c>
      <c r="AB171" s="249">
        <v>49</v>
      </c>
      <c r="AC171" s="324">
        <v>3.53</v>
      </c>
    </row>
    <row r="172" spans="1:29" ht="13.5" thickBot="1">
      <c r="B172" s="249" t="s">
        <v>518</v>
      </c>
      <c r="C172" s="277"/>
      <c r="H172" s="251" t="s">
        <v>2</v>
      </c>
      <c r="I172" s="277">
        <f>C162-I171</f>
        <v>27.256287425149701</v>
      </c>
      <c r="J172" s="249" t="s">
        <v>516</v>
      </c>
      <c r="U172" s="327">
        <f>F168+H167+J167</f>
        <v>11.549999999999999</v>
      </c>
      <c r="V172" s="321"/>
      <c r="W172" s="328"/>
      <c r="AA172" s="313"/>
      <c r="AC172" s="324"/>
    </row>
    <row r="173" spans="1:29" ht="13.5" thickBot="1">
      <c r="B173" s="249" t="s">
        <v>564</v>
      </c>
      <c r="C173" s="277"/>
      <c r="D173" s="249" t="str">
        <f>CONCATENATE(ROUND(I170,1)," + ",ROUND(I171,1))</f>
        <v>31.2 + 21.7</v>
      </c>
      <c r="H173" s="251" t="s">
        <v>2</v>
      </c>
      <c r="I173" s="277">
        <f>ROUND(I170+I171,0)</f>
        <v>53</v>
      </c>
      <c r="J173" s="249" t="s">
        <v>516</v>
      </c>
      <c r="AA173" s="318">
        <f>$C$25+$A$25+($E$26)</f>
        <v>8.9500000000000011</v>
      </c>
      <c r="AB173" s="319"/>
      <c r="AC173" s="329"/>
    </row>
    <row r="174" spans="1:29">
      <c r="B174" s="249" t="s">
        <v>520</v>
      </c>
      <c r="C174" s="277"/>
      <c r="D174" s="249" t="str">
        <f>CONCATENATE("0.2*",E161)</f>
        <v>0.2*100</v>
      </c>
      <c r="H174" s="251" t="s">
        <v>2</v>
      </c>
      <c r="I174" s="275">
        <f>0.2*E161</f>
        <v>20</v>
      </c>
      <c r="J174" s="249" t="s">
        <v>516</v>
      </c>
    </row>
    <row r="175" spans="1:29">
      <c r="B175" s="249" t="s">
        <v>521</v>
      </c>
      <c r="C175" s="277"/>
      <c r="H175" s="251" t="s">
        <v>2</v>
      </c>
      <c r="I175" s="278">
        <f>I33</f>
        <v>485</v>
      </c>
      <c r="J175" s="249" t="s">
        <v>516</v>
      </c>
    </row>
    <row r="176" spans="1:29">
      <c r="B176" s="249" t="s">
        <v>522</v>
      </c>
      <c r="C176" s="277"/>
      <c r="H176" s="251" t="s">
        <v>2</v>
      </c>
      <c r="I176" s="268">
        <v>0</v>
      </c>
    </row>
    <row r="177" spans="1:10">
      <c r="B177" s="249" t="s">
        <v>523</v>
      </c>
      <c r="C177" s="277"/>
      <c r="H177" s="251" t="s">
        <v>2</v>
      </c>
      <c r="I177" s="275">
        <f>I176*(I175+I172)</f>
        <v>0</v>
      </c>
      <c r="J177" s="249" t="s">
        <v>516</v>
      </c>
    </row>
    <row r="178" spans="1:10">
      <c r="B178" s="249" t="s">
        <v>524</v>
      </c>
      <c r="C178" s="277"/>
      <c r="H178" s="251" t="s">
        <v>2</v>
      </c>
      <c r="I178" s="275">
        <f>MAX(I174/2+I177,I174-I177)</f>
        <v>20</v>
      </c>
      <c r="J178" s="249" t="s">
        <v>516</v>
      </c>
    </row>
    <row r="179" spans="1:10">
      <c r="B179" s="249" t="s">
        <v>525</v>
      </c>
      <c r="C179" s="277"/>
      <c r="H179" s="251"/>
      <c r="I179" s="275"/>
    </row>
    <row r="180" spans="1:10">
      <c r="B180" s="254"/>
      <c r="C180" s="277"/>
      <c r="G180" s="251"/>
      <c r="H180" s="275"/>
      <c r="J180" s="279"/>
    </row>
    <row r="181" spans="1:10">
      <c r="B181" s="249" t="s">
        <v>526</v>
      </c>
      <c r="C181" s="277"/>
      <c r="E181" s="260"/>
      <c r="F181" s="280" t="s">
        <v>527</v>
      </c>
      <c r="G181" s="251"/>
      <c r="H181" s="275"/>
      <c r="J181" s="279"/>
    </row>
    <row r="182" spans="1:10">
      <c r="B182" s="254"/>
      <c r="C182" s="281">
        <v>2.5950000000000002</v>
      </c>
      <c r="D182" s="735">
        <f>$E$44/2-C182</f>
        <v>1.605</v>
      </c>
      <c r="E182" s="735"/>
      <c r="G182" s="251"/>
      <c r="H182" s="275"/>
      <c r="J182" s="279"/>
    </row>
    <row r="183" spans="1:10">
      <c r="B183" s="254"/>
      <c r="C183" s="277"/>
      <c r="G183" s="251"/>
      <c r="H183" s="275"/>
      <c r="J183" s="279"/>
    </row>
    <row r="184" spans="1:10">
      <c r="B184" s="254"/>
      <c r="C184" s="277"/>
      <c r="G184" s="251"/>
      <c r="H184" s="275"/>
      <c r="J184" s="279"/>
    </row>
    <row r="185" spans="1:10">
      <c r="B185" s="254"/>
      <c r="C185" s="277"/>
      <c r="E185" s="280">
        <f>E147</f>
        <v>8.4</v>
      </c>
      <c r="F185" s="260" t="s">
        <v>0</v>
      </c>
      <c r="G185" s="251"/>
      <c r="H185" s="275"/>
      <c r="J185" s="279"/>
    </row>
    <row r="186" spans="1:10">
      <c r="B186" s="249" t="s">
        <v>528</v>
      </c>
      <c r="C186" s="277"/>
      <c r="H186" s="251" t="s">
        <v>2</v>
      </c>
      <c r="I186" s="260">
        <v>2.9049999999999998</v>
      </c>
      <c r="J186" s="275" t="s">
        <v>0</v>
      </c>
    </row>
    <row r="187" spans="1:10">
      <c r="B187" s="249" t="s">
        <v>529</v>
      </c>
      <c r="C187" s="277"/>
      <c r="E187" s="275" t="str">
        <f>CONCATENATE(I186,"*","(",ROUND(I170,1)," + ",ROUND(I171,1),")")</f>
        <v>2.905*(31.2 + 21.7)</v>
      </c>
      <c r="H187" s="251" t="s">
        <v>2</v>
      </c>
      <c r="I187" s="275">
        <f>I186*I173</f>
        <v>153.965</v>
      </c>
      <c r="J187" s="249" t="s">
        <v>530</v>
      </c>
    </row>
    <row r="188" spans="1:10">
      <c r="B188" s="249" t="s">
        <v>531</v>
      </c>
      <c r="C188" s="283"/>
      <c r="D188" s="275" t="str">
        <f>CONCATENATE(ROUND(I170,2),"*",C6,"-",ROUND(I171,2),"*",C7)</f>
        <v>31.22*0.3-21.74*0.3</v>
      </c>
      <c r="H188" s="251" t="s">
        <v>2</v>
      </c>
      <c r="I188" s="275">
        <f>ABS(I170*C6-I171*C7)</f>
        <v>2.8426347305389212</v>
      </c>
      <c r="J188" s="249" t="s">
        <v>530</v>
      </c>
    </row>
    <row r="189" spans="1:10">
      <c r="B189" s="249" t="s">
        <v>532</v>
      </c>
      <c r="C189" s="277"/>
      <c r="E189" s="275"/>
      <c r="H189" s="251" t="s">
        <v>2</v>
      </c>
      <c r="I189" s="284">
        <f>I188/I173</f>
        <v>5.3634617557338136E-2</v>
      </c>
      <c r="J189" s="249" t="s">
        <v>0</v>
      </c>
    </row>
    <row r="190" spans="1:10">
      <c r="C190" s="283"/>
      <c r="D190" s="275"/>
      <c r="G190" s="251"/>
      <c r="H190" s="275"/>
      <c r="J190" s="279"/>
    </row>
    <row r="191" spans="1:10">
      <c r="A191" s="255" t="s">
        <v>565</v>
      </c>
      <c r="B191" s="254" t="s">
        <v>534</v>
      </c>
      <c r="E191" s="736" t="s">
        <v>566</v>
      </c>
      <c r="F191" s="736"/>
    </row>
    <row r="192" spans="1:10">
      <c r="C192" s="280" t="s">
        <v>507</v>
      </c>
      <c r="D192" s="330">
        <f>E192-H192</f>
        <v>29.6</v>
      </c>
      <c r="E192" s="249">
        <f>VLOOKUP(two_span_length,T195:W200,2,0.1)</f>
        <v>50</v>
      </c>
      <c r="F192" s="249" t="s">
        <v>516</v>
      </c>
      <c r="G192" s="280" t="s">
        <v>507</v>
      </c>
      <c r="H192" s="268">
        <f>IF(OR(E192=T205,E192=T209),U205,IF(OR(E192=T212,E192=T213),U212,IF(E192=T214,U214,"err")))</f>
        <v>20.399999999999999</v>
      </c>
      <c r="I192" s="249" t="s">
        <v>516</v>
      </c>
    </row>
    <row r="193" spans="1:23" ht="13.5" thickBot="1">
      <c r="C193" s="258"/>
      <c r="D193" s="258"/>
      <c r="E193" s="258">
        <f>VLOOKUP(two_span_length,T195:W200,4,0.1)</f>
        <v>5.71</v>
      </c>
      <c r="G193" s="256">
        <f>VLOOKUP(two_span_length,T195:W200,3,0.1)</f>
        <v>8.7899999999999991</v>
      </c>
      <c r="H193" s="249" t="s">
        <v>0</v>
      </c>
      <c r="J193" s="260"/>
    </row>
    <row r="194" spans="1:23">
      <c r="A194" s="261"/>
      <c r="T194" s="331" t="s">
        <v>567</v>
      </c>
      <c r="U194" s="332" t="s">
        <v>513</v>
      </c>
      <c r="V194" s="332" t="s">
        <v>568</v>
      </c>
      <c r="W194" s="333" t="s">
        <v>569</v>
      </c>
    </row>
    <row r="195" spans="1:23">
      <c r="B195" s="260"/>
      <c r="C195" s="260"/>
      <c r="D195" s="262">
        <f>VLOOKUP(load1,R218:S221,2,0.1)</f>
        <v>4.07</v>
      </c>
      <c r="E195" s="262">
        <f>E193-D195</f>
        <v>1.6399999999999997</v>
      </c>
      <c r="F195" s="334">
        <f>G193-G195</f>
        <v>4.6499999999999995</v>
      </c>
      <c r="G195" s="334">
        <f>VLOOKUP(load,Q205:S214,3,0.1)</f>
        <v>4.1399999999999997</v>
      </c>
      <c r="H195" s="262" t="s">
        <v>0</v>
      </c>
      <c r="Q195" s="335"/>
      <c r="T195" s="336">
        <f>V195+W195</f>
        <v>9</v>
      </c>
      <c r="U195" s="337">
        <v>27.2</v>
      </c>
      <c r="V195" s="337">
        <v>4.5</v>
      </c>
      <c r="W195" s="338">
        <v>4.5</v>
      </c>
    </row>
    <row r="196" spans="1:23">
      <c r="D196" s="264"/>
      <c r="E196" s="264"/>
      <c r="F196" s="314"/>
      <c r="G196" s="264"/>
      <c r="H196" s="264"/>
      <c r="T196" s="336">
        <f>V196+W196</f>
        <v>13.3</v>
      </c>
      <c r="U196" s="337">
        <v>38.6</v>
      </c>
      <c r="V196" s="337">
        <v>7.1</v>
      </c>
      <c r="W196" s="338">
        <v>6.2</v>
      </c>
    </row>
    <row r="197" spans="1:23">
      <c r="T197" s="336">
        <f>V197+W197</f>
        <v>14.5</v>
      </c>
      <c r="U197" s="337">
        <v>50</v>
      </c>
      <c r="V197" s="337">
        <v>8.7899999999999991</v>
      </c>
      <c r="W197" s="338">
        <v>5.71</v>
      </c>
    </row>
    <row r="198" spans="1:23">
      <c r="A198" s="249">
        <f>A25</f>
        <v>0.3</v>
      </c>
      <c r="B198" s="260" t="s">
        <v>0</v>
      </c>
      <c r="C198" s="322">
        <f>C25</f>
        <v>8.35</v>
      </c>
      <c r="D198" s="268" t="s">
        <v>0</v>
      </c>
      <c r="E198" s="289" t="s">
        <v>491</v>
      </c>
      <c r="F198" s="270" t="s">
        <v>492</v>
      </c>
      <c r="H198" s="263">
        <f>H25</f>
        <v>8.35</v>
      </c>
      <c r="I198" s="260" t="s">
        <v>0</v>
      </c>
      <c r="J198" s="260">
        <f>+J57</f>
        <v>0.3</v>
      </c>
      <c r="T198" s="336">
        <f>V198+W198</f>
        <v>18.700000000000003</v>
      </c>
      <c r="U198" s="337">
        <v>52.7</v>
      </c>
      <c r="V198" s="337">
        <v>9.24</v>
      </c>
      <c r="W198" s="338">
        <v>9.4600000000000009</v>
      </c>
    </row>
    <row r="199" spans="1:23">
      <c r="B199" s="254" t="s">
        <v>510</v>
      </c>
      <c r="E199" s="291">
        <f>+E26</f>
        <v>0.3</v>
      </c>
      <c r="F199" s="292">
        <v>0.3</v>
      </c>
      <c r="G199" s="249" t="s">
        <v>0</v>
      </c>
      <c r="I199" s="255" t="s">
        <v>511</v>
      </c>
      <c r="T199" s="336">
        <f>V199+W199</f>
        <v>18.8</v>
      </c>
      <c r="U199" s="337">
        <v>55.4</v>
      </c>
      <c r="V199" s="337">
        <v>9.7100000000000009</v>
      </c>
      <c r="W199" s="338">
        <v>9.09</v>
      </c>
    </row>
    <row r="200" spans="1:23">
      <c r="D200" s="254"/>
      <c r="S200" s="324"/>
      <c r="T200" s="339">
        <f>A198+C198+E199+H198+J198</f>
        <v>17.600000000000001</v>
      </c>
      <c r="U200" s="337">
        <v>55.4</v>
      </c>
      <c r="V200" s="337">
        <v>9.7100000000000009</v>
      </c>
      <c r="W200" s="338">
        <v>9.09</v>
      </c>
    </row>
    <row r="201" spans="1:23" ht="13.5" thickBot="1">
      <c r="B201" s="249" t="s">
        <v>517</v>
      </c>
      <c r="C201" s="275" t="str">
        <f>CONCATENATE(H192,"*(",H198,"-",F195,"+",F199,")/",H198)</f>
        <v>20.4*(8.35-4.65+0.3)/8.35</v>
      </c>
      <c r="D201" s="254"/>
      <c r="H201" s="251" t="s">
        <v>2</v>
      </c>
      <c r="I201" s="268">
        <f>H192*(H198-(G193-G195)+F199)/H198</f>
        <v>9.7724550898203582</v>
      </c>
      <c r="J201" s="249" t="s">
        <v>516</v>
      </c>
      <c r="S201" s="324"/>
      <c r="T201" s="340"/>
      <c r="U201" s="341"/>
      <c r="V201" s="341"/>
      <c r="W201" s="342"/>
    </row>
    <row r="202" spans="1:23">
      <c r="B202" s="249" t="s">
        <v>515</v>
      </c>
      <c r="C202" s="277" t="str">
        <f>CONCATENATE(E192,"*(",C198,"-",E195,"+",E199,")/",C198)</f>
        <v>50*(8.35-1.64+0.3)/8.35</v>
      </c>
      <c r="H202" s="251" t="s">
        <v>2</v>
      </c>
      <c r="I202" s="326">
        <f>D192*(C198-E195+E199)/C198</f>
        <v>24.849820359281438</v>
      </c>
      <c r="J202" s="249" t="s">
        <v>516</v>
      </c>
      <c r="S202" s="343"/>
      <c r="U202" s="251"/>
      <c r="V202" s="251"/>
    </row>
    <row r="203" spans="1:23" ht="13.5" thickBot="1">
      <c r="B203" s="249" t="s">
        <v>518</v>
      </c>
      <c r="C203" s="277"/>
      <c r="H203" s="251" t="s">
        <v>2</v>
      </c>
      <c r="I203" s="277">
        <f>load1-I202</f>
        <v>4.7501796407185637</v>
      </c>
      <c r="J203" s="249" t="s">
        <v>516</v>
      </c>
      <c r="S203" s="343"/>
      <c r="U203" s="251"/>
      <c r="V203" s="251"/>
    </row>
    <row r="204" spans="1:23">
      <c r="B204" s="249" t="s">
        <v>538</v>
      </c>
      <c r="C204" s="277"/>
      <c r="D204" s="249" t="str">
        <f>CONCATENATE(ROUND(I201,2)," + ",ROUND(I202,2))</f>
        <v>9.77 + 24.85</v>
      </c>
      <c r="H204" s="251" t="s">
        <v>2</v>
      </c>
      <c r="I204" s="326">
        <f>I201+I202</f>
        <v>34.622275449101792</v>
      </c>
      <c r="J204" s="249" t="s">
        <v>516</v>
      </c>
      <c r="Q204" s="337" t="s">
        <v>513</v>
      </c>
      <c r="R204" s="337" t="s">
        <v>570</v>
      </c>
      <c r="S204" s="337" t="s">
        <v>571</v>
      </c>
      <c r="T204" s="344" t="s">
        <v>572</v>
      </c>
      <c r="U204" s="345" t="s">
        <v>573</v>
      </c>
      <c r="V204" s="346" t="s">
        <v>571</v>
      </c>
    </row>
    <row r="205" spans="1:23">
      <c r="B205" s="249" t="s">
        <v>520</v>
      </c>
      <c r="C205" s="277"/>
      <c r="D205" s="275" t="str">
        <f>CONCATENATE(0.2,"*(",E192,")")</f>
        <v>0.2*(50)</v>
      </c>
      <c r="H205" s="251" t="s">
        <v>2</v>
      </c>
      <c r="I205" s="275">
        <f>0.2*E192</f>
        <v>10</v>
      </c>
      <c r="J205" s="249" t="s">
        <v>516</v>
      </c>
      <c r="Q205" s="337">
        <v>27.2</v>
      </c>
      <c r="R205" s="337">
        <v>13.6</v>
      </c>
      <c r="S205" s="337">
        <v>1.5</v>
      </c>
      <c r="T205" s="347">
        <v>55.4</v>
      </c>
      <c r="U205" s="251">
        <v>27.2</v>
      </c>
      <c r="V205" s="348">
        <v>4.5</v>
      </c>
    </row>
    <row r="206" spans="1:23">
      <c r="B206" s="249" t="s">
        <v>521</v>
      </c>
      <c r="C206" s="277"/>
      <c r="H206" s="251" t="s">
        <v>2</v>
      </c>
      <c r="I206" s="278">
        <f>I33</f>
        <v>485</v>
      </c>
      <c r="J206" s="249" t="s">
        <v>516</v>
      </c>
      <c r="Q206" s="337"/>
      <c r="R206" s="337"/>
      <c r="S206" s="337"/>
      <c r="T206" s="347"/>
      <c r="U206" s="251"/>
      <c r="V206" s="348"/>
    </row>
    <row r="207" spans="1:23">
      <c r="B207" s="249" t="s">
        <v>522</v>
      </c>
      <c r="C207" s="277"/>
      <c r="H207" s="251" t="s">
        <v>2</v>
      </c>
      <c r="I207" s="268">
        <v>0</v>
      </c>
      <c r="Q207" s="337"/>
      <c r="R207" s="337"/>
      <c r="S207" s="337"/>
      <c r="T207" s="347"/>
      <c r="U207" s="251"/>
      <c r="V207" s="348"/>
    </row>
    <row r="208" spans="1:23">
      <c r="B208" s="249" t="s">
        <v>523</v>
      </c>
      <c r="C208" s="277"/>
      <c r="H208" s="251" t="s">
        <v>2</v>
      </c>
      <c r="I208" s="275">
        <f>I207*(I206+I203)</f>
        <v>0</v>
      </c>
      <c r="J208" s="249" t="s">
        <v>516</v>
      </c>
      <c r="Q208" s="337"/>
      <c r="R208" s="337"/>
      <c r="S208" s="337"/>
      <c r="T208" s="347"/>
      <c r="U208" s="251"/>
      <c r="V208" s="348"/>
    </row>
    <row r="209" spans="1:22">
      <c r="B209" s="249" t="s">
        <v>524</v>
      </c>
      <c r="C209" s="277"/>
      <c r="H209" s="251" t="s">
        <v>2</v>
      </c>
      <c r="I209" s="275">
        <f>MAX(I205/2+I208,I205-I208)</f>
        <v>10</v>
      </c>
      <c r="J209" s="249" t="s">
        <v>516</v>
      </c>
      <c r="Q209" s="337">
        <v>38.6</v>
      </c>
      <c r="R209" s="337">
        <v>20.399999999999999</v>
      </c>
      <c r="S209" s="337">
        <v>4.1399999999999997</v>
      </c>
      <c r="T209" s="347">
        <v>52.7</v>
      </c>
      <c r="U209" s="251">
        <v>27.2</v>
      </c>
      <c r="V209" s="348">
        <v>4.5</v>
      </c>
    </row>
    <row r="210" spans="1:22">
      <c r="B210" s="249" t="s">
        <v>525</v>
      </c>
      <c r="C210" s="277"/>
      <c r="H210" s="251"/>
      <c r="I210" s="275"/>
      <c r="Q210" s="337"/>
      <c r="R210" s="337"/>
      <c r="S210" s="337"/>
      <c r="T210" s="347"/>
      <c r="U210" s="251"/>
      <c r="V210" s="348"/>
    </row>
    <row r="211" spans="1:22">
      <c r="C211" s="277"/>
      <c r="J211" s="279"/>
      <c r="Q211" s="337"/>
      <c r="R211" s="337"/>
      <c r="S211" s="337"/>
      <c r="T211" s="347"/>
      <c r="U211" s="251"/>
      <c r="V211" s="348"/>
    </row>
    <row r="212" spans="1:22">
      <c r="B212" s="249" t="s">
        <v>539</v>
      </c>
      <c r="C212" s="277"/>
      <c r="E212" s="260"/>
      <c r="F212" s="280" t="s">
        <v>527</v>
      </c>
      <c r="G212" s="251"/>
      <c r="H212" s="275"/>
      <c r="Q212" s="337">
        <v>50</v>
      </c>
      <c r="R212" s="337">
        <v>20.399999999999999</v>
      </c>
      <c r="S212" s="337">
        <v>4.1399999999999997</v>
      </c>
      <c r="T212" s="347">
        <v>50</v>
      </c>
      <c r="U212" s="251">
        <v>20.399999999999999</v>
      </c>
      <c r="V212" s="348">
        <v>4.1399999999999997</v>
      </c>
    </row>
    <row r="213" spans="1:22">
      <c r="B213" s="254"/>
      <c r="C213" s="293">
        <v>1.3</v>
      </c>
      <c r="D213" s="735">
        <v>4.2</v>
      </c>
      <c r="E213" s="735"/>
      <c r="G213" s="251"/>
      <c r="H213" s="275"/>
      <c r="Q213" s="337">
        <v>52.7</v>
      </c>
      <c r="R213" s="337">
        <v>27.2</v>
      </c>
      <c r="S213" s="337">
        <v>4.5</v>
      </c>
      <c r="T213" s="347">
        <v>38.6</v>
      </c>
      <c r="U213" s="251">
        <v>20.399999999999999</v>
      </c>
      <c r="V213" s="348">
        <v>4.1399999999999997</v>
      </c>
    </row>
    <row r="214" spans="1:22">
      <c r="B214" s="254"/>
      <c r="C214" s="277"/>
      <c r="G214" s="251"/>
      <c r="H214" s="275"/>
      <c r="Q214" s="337">
        <v>55.4</v>
      </c>
      <c r="R214" s="337">
        <v>27.2</v>
      </c>
      <c r="S214" s="337">
        <v>4.5</v>
      </c>
      <c r="T214" s="347">
        <v>27.2</v>
      </c>
      <c r="U214" s="251">
        <v>13.6</v>
      </c>
      <c r="V214" s="348">
        <v>1.5</v>
      </c>
    </row>
    <row r="215" spans="1:22" ht="13.5" thickBot="1">
      <c r="B215" s="254"/>
      <c r="C215" s="277"/>
      <c r="G215" s="251"/>
      <c r="H215" s="275"/>
      <c r="Q215" s="251"/>
      <c r="R215" s="251"/>
      <c r="S215" s="251"/>
      <c r="T215" s="349" t="s">
        <v>574</v>
      </c>
      <c r="U215" s="341">
        <f>$C$25+$A$25+($E$26-0.04)/2</f>
        <v>8.7800000000000011</v>
      </c>
      <c r="V215" s="342"/>
    </row>
    <row r="216" spans="1:22" ht="13.5" thickBot="1">
      <c r="B216" s="254"/>
      <c r="C216" s="277"/>
      <c r="E216" s="736" t="s">
        <v>575</v>
      </c>
      <c r="F216" s="736"/>
      <c r="G216" s="251"/>
      <c r="H216" s="275"/>
      <c r="U216" s="251"/>
      <c r="V216" s="251"/>
    </row>
    <row r="217" spans="1:22">
      <c r="B217" s="249" t="s">
        <v>528</v>
      </c>
      <c r="C217" s="277"/>
      <c r="H217" s="251" t="s">
        <v>2</v>
      </c>
      <c r="I217" s="268">
        <f>D213</f>
        <v>4.2</v>
      </c>
      <c r="J217" s="275" t="s">
        <v>0</v>
      </c>
      <c r="R217" s="350" t="s">
        <v>576</v>
      </c>
      <c r="S217" s="333" t="s">
        <v>577</v>
      </c>
      <c r="U217" s="344" t="s">
        <v>576</v>
      </c>
      <c r="V217" s="346" t="s">
        <v>577</v>
      </c>
    </row>
    <row r="218" spans="1:22">
      <c r="B218" s="249" t="s">
        <v>529</v>
      </c>
      <c r="C218" s="277"/>
      <c r="E218" s="275" t="str">
        <f>CONCATENATE(I217,"*",ROUND(I204,1))</f>
        <v>4.2*34.6</v>
      </c>
      <c r="H218" s="251" t="s">
        <v>2</v>
      </c>
      <c r="I218" s="275">
        <f>I217*I204</f>
        <v>145.41355688622752</v>
      </c>
      <c r="J218" s="249" t="s">
        <v>530</v>
      </c>
      <c r="R218" s="336">
        <v>13.6</v>
      </c>
      <c r="S218" s="338">
        <v>1.5</v>
      </c>
      <c r="U218" s="347">
        <v>28.2</v>
      </c>
      <c r="V218" s="348">
        <v>4.07</v>
      </c>
    </row>
    <row r="219" spans="1:22">
      <c r="B219" s="249" t="s">
        <v>531</v>
      </c>
      <c r="C219" s="283"/>
      <c r="D219" s="275" t="str">
        <f>CONCATENATE(ROUND(I202,1),"*",C6,"-",ROUND(I201,1),"*",C7)</f>
        <v>24.8*0.3-9.8*0.3</v>
      </c>
      <c r="H219" s="251" t="s">
        <v>2</v>
      </c>
      <c r="I219" s="275">
        <f>ABS(I202*C6-I201*C7)</f>
        <v>4.5232095808383228</v>
      </c>
      <c r="J219" s="249" t="s">
        <v>530</v>
      </c>
      <c r="R219" s="336">
        <v>18.2</v>
      </c>
      <c r="S219" s="338">
        <v>1.81</v>
      </c>
      <c r="U219" s="347">
        <v>25.5</v>
      </c>
      <c r="V219" s="348">
        <v>3.4</v>
      </c>
    </row>
    <row r="220" spans="1:22">
      <c r="B220" s="249" t="s">
        <v>532</v>
      </c>
      <c r="C220" s="277"/>
      <c r="E220" s="275"/>
      <c r="H220" s="251" t="s">
        <v>2</v>
      </c>
      <c r="I220" s="284">
        <f>I219/I204</f>
        <v>0.13064449179511303</v>
      </c>
      <c r="J220" s="249" t="s">
        <v>0</v>
      </c>
      <c r="R220" s="336">
        <v>25.5</v>
      </c>
      <c r="S220" s="338">
        <v>3.4</v>
      </c>
      <c r="U220" s="347">
        <v>29.6</v>
      </c>
      <c r="V220" s="348">
        <v>1.73</v>
      </c>
    </row>
    <row r="221" spans="1:22">
      <c r="R221" s="336">
        <v>28.2</v>
      </c>
      <c r="S221" s="338">
        <v>4.07</v>
      </c>
      <c r="U221" s="347">
        <v>18.2</v>
      </c>
      <c r="V221" s="348">
        <v>1.81</v>
      </c>
    </row>
    <row r="222" spans="1:22">
      <c r="R222" s="337"/>
      <c r="S222" s="337"/>
      <c r="U222" s="251"/>
      <c r="V222" s="251"/>
    </row>
    <row r="223" spans="1:22">
      <c r="A223" s="254" t="s">
        <v>540</v>
      </c>
      <c r="B223" s="254" t="s">
        <v>541</v>
      </c>
    </row>
    <row r="225" spans="2:9">
      <c r="B225" s="249" t="s">
        <v>517</v>
      </c>
      <c r="C225" s="275" t="str">
        <f>CONCATENATE("2*",ROUND(I201,1))</f>
        <v>2*9.8</v>
      </c>
      <c r="D225" s="254"/>
      <c r="G225" s="251" t="s">
        <v>2</v>
      </c>
      <c r="H225" s="275">
        <f>2*I201</f>
        <v>19.544910179640716</v>
      </c>
      <c r="I225" s="249" t="s">
        <v>516</v>
      </c>
    </row>
    <row r="226" spans="2:9">
      <c r="B226" s="249" t="s">
        <v>515</v>
      </c>
      <c r="C226" s="275" t="str">
        <f>CONCATENATE("2*",ROUND(I202,1))</f>
        <v>2*24.8</v>
      </c>
      <c r="G226" s="251" t="s">
        <v>2</v>
      </c>
      <c r="H226" s="277">
        <f>2*I202</f>
        <v>49.699640718562875</v>
      </c>
      <c r="I226" s="249" t="s">
        <v>516</v>
      </c>
    </row>
    <row r="227" spans="2:9">
      <c r="B227" s="249" t="s">
        <v>518</v>
      </c>
      <c r="C227" s="277"/>
      <c r="G227" s="251" t="s">
        <v>2</v>
      </c>
      <c r="H227" s="277">
        <f>load1*2-H226</f>
        <v>9.5003592814371274</v>
      </c>
      <c r="I227" s="249" t="s">
        <v>516</v>
      </c>
    </row>
    <row r="228" spans="2:9">
      <c r="B228" s="249" t="s">
        <v>538</v>
      </c>
      <c r="C228" s="275"/>
      <c r="D228" s="249" t="str">
        <f>CONCATENATE(ROUND(H225,1)," + ",ROUND(H226,1))</f>
        <v>19.5 + 49.7</v>
      </c>
      <c r="G228" s="251" t="s">
        <v>2</v>
      </c>
      <c r="H228" s="277">
        <f>H225+H226</f>
        <v>69.244550898203585</v>
      </c>
      <c r="I228" s="249" t="s">
        <v>516</v>
      </c>
    </row>
    <row r="229" spans="2:9">
      <c r="B229" s="249" t="s">
        <v>542</v>
      </c>
      <c r="C229" s="277"/>
      <c r="D229" s="275"/>
      <c r="G229" s="251" t="s">
        <v>2</v>
      </c>
      <c r="H229" s="275">
        <f>I64</f>
        <v>11.08</v>
      </c>
      <c r="I229" s="249" t="s">
        <v>516</v>
      </c>
    </row>
    <row r="230" spans="2:9">
      <c r="B230" s="249" t="s">
        <v>521</v>
      </c>
      <c r="C230" s="277"/>
      <c r="G230" s="251" t="s">
        <v>2</v>
      </c>
      <c r="H230" s="278">
        <f>I33</f>
        <v>485</v>
      </c>
      <c r="I230" s="249" t="s">
        <v>516</v>
      </c>
    </row>
    <row r="231" spans="2:9">
      <c r="B231" s="249" t="s">
        <v>522</v>
      </c>
      <c r="C231" s="277"/>
      <c r="G231" s="251" t="s">
        <v>2</v>
      </c>
      <c r="H231" s="268">
        <v>0</v>
      </c>
    </row>
    <row r="232" spans="2:9">
      <c r="B232" s="249" t="s">
        <v>523</v>
      </c>
      <c r="C232" s="277"/>
      <c r="G232" s="251" t="s">
        <v>2</v>
      </c>
      <c r="H232" s="275">
        <f>H231*(H230+H227)</f>
        <v>0</v>
      </c>
      <c r="I232" s="249" t="s">
        <v>516</v>
      </c>
    </row>
    <row r="233" spans="2:9">
      <c r="B233" s="249" t="s">
        <v>524</v>
      </c>
      <c r="C233" s="277"/>
      <c r="G233" s="251" t="s">
        <v>2</v>
      </c>
      <c r="H233" s="275">
        <f>MAX(H229/2+H232,H229-H232)</f>
        <v>11.08</v>
      </c>
      <c r="I233" s="249" t="s">
        <v>516</v>
      </c>
    </row>
    <row r="234" spans="2:9">
      <c r="B234" s="249" t="s">
        <v>525</v>
      </c>
      <c r="C234" s="277"/>
      <c r="H234" s="251"/>
      <c r="I234" s="275"/>
    </row>
    <row r="235" spans="2:9">
      <c r="C235" s="277"/>
    </row>
    <row r="236" spans="2:9">
      <c r="B236" s="249" t="s">
        <v>543</v>
      </c>
      <c r="C236" s="277"/>
      <c r="E236" s="260"/>
      <c r="F236" s="280" t="s">
        <v>527</v>
      </c>
      <c r="G236" s="251"/>
      <c r="H236" s="275"/>
    </row>
    <row r="237" spans="2:9">
      <c r="B237" s="254"/>
      <c r="C237" s="293">
        <v>3.05</v>
      </c>
      <c r="D237" s="735">
        <f>E240/2-C237</f>
        <v>1.1500000000000004</v>
      </c>
      <c r="E237" s="735"/>
      <c r="G237" s="251"/>
      <c r="H237" s="275"/>
    </row>
    <row r="238" spans="2:9">
      <c r="B238" s="254"/>
      <c r="C238" s="277"/>
      <c r="G238" s="251"/>
      <c r="H238" s="275"/>
    </row>
    <row r="239" spans="2:9">
      <c r="B239" s="254"/>
      <c r="C239" s="277"/>
      <c r="G239" s="251"/>
      <c r="H239" s="275"/>
    </row>
    <row r="240" spans="2:9">
      <c r="B240" s="254"/>
      <c r="C240" s="277"/>
      <c r="E240" s="280">
        <f>E44</f>
        <v>8.4</v>
      </c>
      <c r="F240" s="260" t="s">
        <v>0</v>
      </c>
      <c r="G240" s="251"/>
      <c r="H240" s="275"/>
    </row>
    <row r="241" spans="1:9">
      <c r="B241" s="249" t="s">
        <v>528</v>
      </c>
      <c r="C241" s="277"/>
      <c r="G241" s="251" t="s">
        <v>2</v>
      </c>
      <c r="H241" s="268">
        <f>D237</f>
        <v>1.1500000000000004</v>
      </c>
      <c r="I241" s="275" t="s">
        <v>0</v>
      </c>
    </row>
    <row r="242" spans="1:9">
      <c r="B242" s="249" t="s">
        <v>529</v>
      </c>
      <c r="C242" s="277"/>
      <c r="E242" s="275" t="str">
        <f>CONCATENATE(H241,"*",ROUND(H228,1))</f>
        <v>1.15*69.2</v>
      </c>
      <c r="G242" s="251" t="s">
        <v>2</v>
      </c>
      <c r="H242" s="275">
        <f>H228*H241</f>
        <v>79.631233532934147</v>
      </c>
      <c r="I242" s="249" t="s">
        <v>530</v>
      </c>
    </row>
    <row r="243" spans="1:9">
      <c r="B243" s="249" t="s">
        <v>531</v>
      </c>
      <c r="C243" s="283"/>
      <c r="D243" s="275" t="str">
        <f>CONCATENATE(ROUND(H226,1),"*",C6,"-",ROUND(H225,1),"*",C7)</f>
        <v>49.7*0.3-19.5*0.3</v>
      </c>
      <c r="G243" s="251" t="s">
        <v>2</v>
      </c>
      <c r="H243" s="275">
        <f>ABS(H226*C6-H225*C7)</f>
        <v>9.0464191616766456</v>
      </c>
      <c r="I243" s="249" t="s">
        <v>530</v>
      </c>
    </row>
    <row r="244" spans="1:9">
      <c r="B244" s="249" t="s">
        <v>532</v>
      </c>
      <c r="C244" s="277"/>
      <c r="E244" s="275"/>
      <c r="G244" s="251" t="s">
        <v>2</v>
      </c>
      <c r="H244" s="284">
        <f>H243/H228</f>
        <v>0.13064449179511303</v>
      </c>
      <c r="I244" s="249" t="s">
        <v>0</v>
      </c>
    </row>
    <row r="245" spans="1:9">
      <c r="C245" s="277"/>
      <c r="E245" s="275"/>
      <c r="G245" s="251"/>
      <c r="H245" s="275"/>
    </row>
    <row r="247" spans="1:9">
      <c r="A247" s="254" t="s">
        <v>544</v>
      </c>
      <c r="B247" s="254" t="s">
        <v>545</v>
      </c>
    </row>
    <row r="249" spans="1:9">
      <c r="B249" s="249" t="s">
        <v>517</v>
      </c>
      <c r="C249" s="275" t="str">
        <f>CONCATENATE("90% of"," 3*",ROUND(I201,1))</f>
        <v>90% of 3*9.8</v>
      </c>
      <c r="D249" s="254"/>
      <c r="G249" s="251" t="s">
        <v>2</v>
      </c>
      <c r="H249" s="275">
        <f>0.9*3*I201</f>
        <v>26.385628742514967</v>
      </c>
      <c r="I249" s="249" t="s">
        <v>516</v>
      </c>
    </row>
    <row r="250" spans="1:9">
      <c r="B250" s="249" t="s">
        <v>515</v>
      </c>
      <c r="C250" s="275" t="str">
        <f>CONCATENATE("90% of"," 3*",ROUND(I202,1))</f>
        <v>90% of 3*24.8</v>
      </c>
      <c r="G250" s="251" t="s">
        <v>2</v>
      </c>
      <c r="H250" s="277">
        <f>0.9*3*I202</f>
        <v>67.09451497005989</v>
      </c>
      <c r="I250" s="249" t="s">
        <v>516</v>
      </c>
    </row>
    <row r="251" spans="1:9">
      <c r="B251" s="249" t="s">
        <v>518</v>
      </c>
      <c r="C251" s="277"/>
      <c r="G251" s="251" t="s">
        <v>2</v>
      </c>
      <c r="H251" s="277">
        <f>load1*0.9*3-H250</f>
        <v>12.825485029940111</v>
      </c>
      <c r="I251" s="249" t="s">
        <v>516</v>
      </c>
    </row>
    <row r="252" spans="1:9">
      <c r="B252" s="249" t="s">
        <v>538</v>
      </c>
      <c r="C252" s="275"/>
      <c r="D252" s="249" t="str">
        <f>CONCATENATE(ROUND(H249,1)," + ",ROUND(H250,1))</f>
        <v>26.4 + 67.1</v>
      </c>
      <c r="G252" s="251"/>
      <c r="H252" s="277">
        <f>H249+H250</f>
        <v>93.480143712574858</v>
      </c>
    </row>
    <row r="253" spans="1:9">
      <c r="B253" s="249" t="s">
        <v>520</v>
      </c>
      <c r="C253" s="277"/>
      <c r="D253" s="275" t="str">
        <f>CONCATENATE("(0.2)*",55.4,"+","0.05*",55.4)</f>
        <v>(0.2)*55.4+0.05*55.4</v>
      </c>
      <c r="G253" s="251" t="s">
        <v>2</v>
      </c>
      <c r="H253" s="275">
        <f>(0.2)*55.4+(0.05)*55.4</f>
        <v>13.85</v>
      </c>
      <c r="I253" s="249" t="s">
        <v>516</v>
      </c>
    </row>
    <row r="254" spans="1:9">
      <c r="B254" s="249" t="s">
        <v>546</v>
      </c>
      <c r="C254" s="277"/>
      <c r="D254" s="275"/>
      <c r="G254" s="251"/>
      <c r="H254" s="275"/>
    </row>
    <row r="255" spans="1:9">
      <c r="B255" s="249" t="s">
        <v>578</v>
      </c>
      <c r="C255" s="277"/>
      <c r="G255" s="251" t="s">
        <v>2</v>
      </c>
      <c r="H255" s="278">
        <f>I33</f>
        <v>485</v>
      </c>
      <c r="I255" s="249" t="s">
        <v>516</v>
      </c>
    </row>
    <row r="256" spans="1:9">
      <c r="B256" s="249" t="s">
        <v>522</v>
      </c>
      <c r="C256" s="277"/>
      <c r="G256" s="251" t="s">
        <v>2</v>
      </c>
      <c r="H256" s="268">
        <v>0</v>
      </c>
    </row>
    <row r="257" spans="1:9">
      <c r="B257" s="249" t="s">
        <v>523</v>
      </c>
      <c r="C257" s="277"/>
      <c r="G257" s="251" t="s">
        <v>2</v>
      </c>
      <c r="H257" s="275">
        <f>H256*(H255+H252)</f>
        <v>0</v>
      </c>
      <c r="I257" s="249" t="s">
        <v>516</v>
      </c>
    </row>
    <row r="258" spans="1:9">
      <c r="B258" s="249" t="s">
        <v>524</v>
      </c>
      <c r="C258" s="277"/>
      <c r="G258" s="251" t="s">
        <v>2</v>
      </c>
      <c r="H258" s="275">
        <f>MAX(H253/2+H257,H253-H257)</f>
        <v>13.85</v>
      </c>
      <c r="I258" s="249" t="s">
        <v>516</v>
      </c>
    </row>
    <row r="259" spans="1:9">
      <c r="B259" s="249" t="s">
        <v>525</v>
      </c>
      <c r="C259" s="277"/>
      <c r="H259" s="251"/>
      <c r="I259" s="275"/>
    </row>
    <row r="260" spans="1:9">
      <c r="C260" s="277"/>
    </row>
    <row r="261" spans="1:9">
      <c r="B261" s="249" t="s">
        <v>547</v>
      </c>
      <c r="C261" s="277"/>
      <c r="E261" s="260"/>
      <c r="F261" s="280" t="s">
        <v>527</v>
      </c>
      <c r="G261" s="251"/>
      <c r="H261" s="275"/>
    </row>
    <row r="262" spans="1:9">
      <c r="B262" s="254"/>
      <c r="C262" s="737">
        <v>4.8</v>
      </c>
      <c r="D262" s="737"/>
      <c r="E262" s="259">
        <f>E265/2-C262</f>
        <v>0.70000000000000018</v>
      </c>
      <c r="G262" s="251"/>
      <c r="H262" s="275"/>
    </row>
    <row r="263" spans="1:9">
      <c r="B263" s="254"/>
      <c r="C263" s="277"/>
      <c r="G263" s="251"/>
      <c r="H263" s="275"/>
    </row>
    <row r="264" spans="1:9">
      <c r="B264" s="254"/>
      <c r="C264" s="277"/>
      <c r="G264" s="251"/>
      <c r="H264" s="275"/>
    </row>
    <row r="265" spans="1:9">
      <c r="B265" s="254"/>
      <c r="C265" s="277"/>
      <c r="E265" s="280">
        <v>11</v>
      </c>
      <c r="F265" s="260" t="s">
        <v>0</v>
      </c>
      <c r="G265" s="251"/>
      <c r="H265" s="275"/>
    </row>
    <row r="266" spans="1:9">
      <c r="B266" s="249" t="s">
        <v>528</v>
      </c>
      <c r="C266" s="277"/>
      <c r="G266" s="251" t="s">
        <v>2</v>
      </c>
      <c r="H266" s="268">
        <f>E262</f>
        <v>0.70000000000000018</v>
      </c>
      <c r="I266" s="275" t="s">
        <v>0</v>
      </c>
    </row>
    <row r="267" spans="1:9">
      <c r="B267" s="249" t="s">
        <v>529</v>
      </c>
      <c r="C267" s="277"/>
      <c r="E267" s="275" t="str">
        <f>CONCATENATE(H266,"*",ROUND(H252,1))</f>
        <v>0.7*93.5</v>
      </c>
      <c r="G267" s="251" t="s">
        <v>2</v>
      </c>
      <c r="H267" s="275">
        <f>H266*H252</f>
        <v>65.436100598802412</v>
      </c>
      <c r="I267" s="249" t="s">
        <v>530</v>
      </c>
    </row>
    <row r="268" spans="1:9">
      <c r="B268" s="249" t="s">
        <v>531</v>
      </c>
      <c r="C268" s="283"/>
      <c r="D268" s="275" t="str">
        <f>CONCATENATE(ROUND(H250,1),"*",C6,"-",ROUND(H249,1),"*",C7)</f>
        <v>67.1*0.3-26.4*0.3</v>
      </c>
      <c r="G268" s="251" t="s">
        <v>2</v>
      </c>
      <c r="H268" s="275">
        <f>ABS(H250*C6-H249*C7)</f>
        <v>12.212665868263475</v>
      </c>
      <c r="I268" s="249" t="s">
        <v>530</v>
      </c>
    </row>
    <row r="269" spans="1:9">
      <c r="B269" s="249" t="s">
        <v>532</v>
      </c>
      <c r="C269" s="277"/>
      <c r="E269" s="275"/>
      <c r="G269" s="251" t="s">
        <v>2</v>
      </c>
      <c r="H269" s="284">
        <f>H268/H252</f>
        <v>0.13064449179511306</v>
      </c>
      <c r="I269" s="249" t="s">
        <v>0</v>
      </c>
    </row>
    <row r="271" spans="1:9">
      <c r="A271" s="254" t="s">
        <v>548</v>
      </c>
      <c r="B271" s="254" t="s">
        <v>549</v>
      </c>
    </row>
    <row r="273" spans="2:9">
      <c r="B273" s="249" t="s">
        <v>517</v>
      </c>
      <c r="C273" s="275" t="str">
        <f>CONCATENATE("90% of","(",ROUND(I201,2),"+",ROUND(I171,2),")")</f>
        <v>90% of(9.77+21.74)</v>
      </c>
      <c r="D273" s="254"/>
      <c r="G273" s="251" t="s">
        <v>2</v>
      </c>
      <c r="H273" s="275">
        <f>0.9*(I201+I171)</f>
        <v>28.364550898203593</v>
      </c>
      <c r="I273" s="249" t="s">
        <v>516</v>
      </c>
    </row>
    <row r="274" spans="2:9">
      <c r="B274" s="249" t="s">
        <v>515</v>
      </c>
      <c r="C274" s="275" t="str">
        <f>CONCATENATE("90% of","(",ROUND(I202,2),"+",ROUND(I170,2),")")</f>
        <v>90% of(24.85+31.22)</v>
      </c>
      <c r="G274" s="251" t="s">
        <v>2</v>
      </c>
      <c r="H274" s="275">
        <f>0.9*(I202+I170)</f>
        <v>50.462083832335331</v>
      </c>
      <c r="I274" s="249" t="s">
        <v>516</v>
      </c>
    </row>
    <row r="275" spans="2:9">
      <c r="B275" s="249" t="s">
        <v>518</v>
      </c>
      <c r="C275" s="277"/>
      <c r="G275" s="251" t="s">
        <v>2</v>
      </c>
      <c r="H275" s="277">
        <f>load1*0.9*3-H274</f>
        <v>29.457916167664671</v>
      </c>
      <c r="I275" s="249" t="s">
        <v>516</v>
      </c>
    </row>
    <row r="276" spans="2:9">
      <c r="B276" s="249" t="s">
        <v>550</v>
      </c>
      <c r="C276" s="277"/>
      <c r="D276" s="275" t="str">
        <f>CONCATENATE(I32," + ","5% of ",55.4)</f>
        <v>16 + 5% of 55.4</v>
      </c>
      <c r="G276" s="251" t="s">
        <v>2</v>
      </c>
      <c r="H276" s="275">
        <f>I32+0.05*55.4</f>
        <v>18.77</v>
      </c>
      <c r="I276" s="249" t="s">
        <v>516</v>
      </c>
    </row>
    <row r="277" spans="2:9">
      <c r="B277" s="249" t="s">
        <v>551</v>
      </c>
      <c r="C277" s="277"/>
      <c r="D277" s="275"/>
      <c r="G277" s="251"/>
      <c r="H277" s="275"/>
    </row>
    <row r="278" spans="2:9">
      <c r="B278" s="249" t="s">
        <v>521</v>
      </c>
      <c r="C278" s="277"/>
      <c r="G278" s="251" t="s">
        <v>2</v>
      </c>
      <c r="H278" s="278">
        <f>I33</f>
        <v>485</v>
      </c>
      <c r="I278" s="249" t="s">
        <v>516</v>
      </c>
    </row>
    <row r="279" spans="2:9">
      <c r="B279" s="249" t="s">
        <v>522</v>
      </c>
      <c r="C279" s="277"/>
      <c r="G279" s="251" t="s">
        <v>2</v>
      </c>
      <c r="H279" s="268">
        <v>0</v>
      </c>
    </row>
    <row r="280" spans="2:9">
      <c r="B280" s="249" t="s">
        <v>523</v>
      </c>
      <c r="C280" s="277"/>
      <c r="G280" s="251" t="s">
        <v>2</v>
      </c>
      <c r="H280" s="275">
        <f>H279*(H278+H275)</f>
        <v>0</v>
      </c>
      <c r="I280" s="249" t="s">
        <v>516</v>
      </c>
    </row>
    <row r="281" spans="2:9">
      <c r="B281" s="249" t="s">
        <v>524</v>
      </c>
      <c r="C281" s="277"/>
      <c r="G281" s="251" t="s">
        <v>2</v>
      </c>
      <c r="H281" s="275">
        <f>MAX(H276/2+H280,H276-H280)</f>
        <v>18.77</v>
      </c>
      <c r="I281" s="249" t="s">
        <v>516</v>
      </c>
    </row>
    <row r="282" spans="2:9">
      <c r="B282" s="249" t="s">
        <v>525</v>
      </c>
      <c r="C282" s="277"/>
      <c r="H282" s="251"/>
      <c r="I282" s="275"/>
    </row>
    <row r="283" spans="2:9">
      <c r="C283" s="277"/>
    </row>
    <row r="284" spans="2:9">
      <c r="B284" s="249" t="s">
        <v>552</v>
      </c>
      <c r="C284" s="277"/>
      <c r="E284" s="260"/>
      <c r="F284" s="280" t="s">
        <v>527</v>
      </c>
      <c r="G284" s="251"/>
      <c r="H284" s="249" t="s">
        <v>553</v>
      </c>
    </row>
    <row r="285" spans="2:9">
      <c r="B285" s="254"/>
      <c r="C285" s="294">
        <v>2.5950000000000002</v>
      </c>
      <c r="D285" s="738">
        <v>2.9049999999999998</v>
      </c>
      <c r="E285" s="738"/>
      <c r="F285" s="295">
        <v>0.84</v>
      </c>
      <c r="G285" s="251"/>
      <c r="H285" s="275"/>
    </row>
    <row r="286" spans="2:9">
      <c r="B286" s="254"/>
      <c r="C286" s="277"/>
      <c r="G286" s="251"/>
      <c r="H286" s="275"/>
    </row>
    <row r="287" spans="2:9">
      <c r="B287" s="254"/>
      <c r="C287" s="277"/>
      <c r="G287" s="251"/>
      <c r="H287" s="275"/>
    </row>
    <row r="288" spans="2:9">
      <c r="B288" s="254"/>
      <c r="C288" s="277"/>
      <c r="E288" s="736">
        <v>8.4</v>
      </c>
      <c r="F288" s="736"/>
      <c r="G288" s="251"/>
      <c r="H288" s="275"/>
    </row>
    <row r="289" spans="2:9">
      <c r="B289" s="249" t="s">
        <v>554</v>
      </c>
      <c r="C289" s="277"/>
      <c r="G289" s="251" t="s">
        <v>2</v>
      </c>
      <c r="H289" s="284">
        <f>D285</f>
        <v>2.9049999999999998</v>
      </c>
      <c r="I289" s="275" t="s">
        <v>0</v>
      </c>
    </row>
    <row r="290" spans="2:9">
      <c r="B290" s="249" t="s">
        <v>555</v>
      </c>
      <c r="C290" s="277"/>
      <c r="G290" s="251" t="s">
        <v>2</v>
      </c>
      <c r="H290" s="268">
        <f>-F285</f>
        <v>-0.84</v>
      </c>
      <c r="I290" s="275" t="s">
        <v>0</v>
      </c>
    </row>
    <row r="291" spans="2:9">
      <c r="B291" s="249" t="s">
        <v>556</v>
      </c>
      <c r="C291" s="277"/>
      <c r="D291" s="275" t="str">
        <f>CONCATENATE("0.9*(",ROUND(I28,1),"*",ROUND(H289,1),"-",ROUND(I60,1),"*",ROUND(H290,1),")")</f>
        <v>0.9*(60.4*2.9-0*-0.8)</v>
      </c>
      <c r="E291" s="275"/>
      <c r="G291" s="251" t="s">
        <v>2</v>
      </c>
      <c r="H291" s="275">
        <f>0.9*(I173*H289+I204*H290)</f>
        <v>112.39405976047905</v>
      </c>
    </row>
    <row r="292" spans="2:9">
      <c r="B292" s="249" t="s">
        <v>557</v>
      </c>
      <c r="G292" s="251" t="s">
        <v>2</v>
      </c>
      <c r="H292" s="284">
        <f>H291/(H273+H274)</f>
        <v>1.4258386159029504</v>
      </c>
      <c r="I292" s="249" t="s">
        <v>530</v>
      </c>
    </row>
    <row r="293" spans="2:9">
      <c r="B293" s="249" t="s">
        <v>531</v>
      </c>
      <c r="C293" s="283"/>
      <c r="D293" s="275" t="str">
        <f>CONCATENATE(ROUND(H274,1),"*",C6,"-",ROUND(H273,1),"*",C7)</f>
        <v>50.5*0.3-28.4*0.3</v>
      </c>
      <c r="G293" s="251" t="s">
        <v>2</v>
      </c>
      <c r="H293" s="275">
        <f>ABS(H274*C6-H273*C7)</f>
        <v>6.6292598802395197</v>
      </c>
      <c r="I293" s="249" t="s">
        <v>530</v>
      </c>
    </row>
    <row r="294" spans="2:9">
      <c r="B294" s="249" t="s">
        <v>532</v>
      </c>
      <c r="C294" s="277"/>
      <c r="E294" s="275"/>
      <c r="G294" s="251" t="s">
        <v>2</v>
      </c>
      <c r="H294" s="284">
        <f>H293/(H273+H274)</f>
        <v>8.409923755975364E-2</v>
      </c>
      <c r="I294" s="249" t="s">
        <v>0</v>
      </c>
    </row>
    <row r="310" ht="52.5" customHeight="1"/>
    <row r="315" ht="26.25" customHeight="1"/>
    <row r="318" ht="12.75" customHeight="1"/>
    <row r="323" spans="2:2" ht="13.5" customHeight="1"/>
    <row r="331" spans="2:2">
      <c r="B331" s="254"/>
    </row>
    <row r="332" spans="2:2">
      <c r="B332" s="254"/>
    </row>
    <row r="333" spans="2:2">
      <c r="B333" s="254"/>
    </row>
    <row r="334" spans="2:2">
      <c r="B334" s="254"/>
    </row>
  </sheetData>
  <mergeCells count="18">
    <mergeCell ref="D41:E41"/>
    <mergeCell ref="D72:E72"/>
    <mergeCell ref="D96:E96"/>
    <mergeCell ref="C121:D121"/>
    <mergeCell ref="D144:E144"/>
    <mergeCell ref="E147:F147"/>
    <mergeCell ref="D162:E162"/>
    <mergeCell ref="F162:G162"/>
    <mergeCell ref="F164:G164"/>
    <mergeCell ref="J167:K167"/>
    <mergeCell ref="D182:E182"/>
    <mergeCell ref="E191:F191"/>
    <mergeCell ref="D213:E213"/>
    <mergeCell ref="E216:F216"/>
    <mergeCell ref="D237:E237"/>
    <mergeCell ref="C262:D262"/>
    <mergeCell ref="D285:E285"/>
    <mergeCell ref="E288:F288"/>
  </mergeCells>
  <hyperlinks>
    <hyperlink ref="Q195" location="'LLPIER(2)'!P92"/>
  </hyperlinks>
  <pageMargins left="0.75" right="0.75" top="1" bottom="1" header="0.5" footer="0.5"/>
  <pageSetup paperSize="9" scale="42" firstPageNumber="33" fitToHeight="28" orientation="landscape" horizontalDpi="4294967292" verticalDpi="300" r:id="rId1"/>
  <headerFooter>
    <oddFooter>&amp;L&amp;P/{&amp;N}&amp;C&amp;F&amp;R&amp;A</oddFooter>
  </headerFooter>
  <rowBreaks count="5" manualBreakCount="5">
    <brk id="49" max="16383" man="1"/>
    <brk id="105" max="16383" man="1"/>
    <brk id="155" max="16383" man="1"/>
    <brk id="220" max="44" man="1"/>
    <brk id="270" max="16383" man="1"/>
  </rowBreaks>
  <colBreaks count="1" manualBreakCount="1">
    <brk id="11"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8"/>
  <sheetViews>
    <sheetView zoomScaleNormal="100" workbookViewId="0">
      <selection activeCell="G16" sqref="G16"/>
    </sheetView>
  </sheetViews>
  <sheetFormatPr defaultRowHeight="12.75"/>
  <cols>
    <col min="1" max="3" width="9.140625" style="249"/>
    <col min="4" max="4" width="10.42578125" style="249" customWidth="1"/>
    <col min="5" max="5" width="11.140625" style="249" customWidth="1"/>
    <col min="6" max="6" width="10.140625" style="249" customWidth="1"/>
    <col min="7" max="7" width="11.140625" style="249" customWidth="1"/>
    <col min="8" max="9" width="13.28515625" style="249" customWidth="1"/>
    <col min="10" max="16384" width="9.140625" style="249"/>
  </cols>
  <sheetData>
    <row r="1" spans="1:10" ht="15.75">
      <c r="A1" s="246" t="s">
        <v>579</v>
      </c>
      <c r="G1" s="251"/>
      <c r="H1" s="275"/>
    </row>
    <row r="2" spans="1:10" ht="13.5" thickBot="1"/>
    <row r="3" spans="1:10" ht="15.75" customHeight="1" thickTop="1">
      <c r="A3" s="762" t="s">
        <v>580</v>
      </c>
      <c r="B3" s="763"/>
      <c r="C3" s="763"/>
      <c r="D3" s="763"/>
      <c r="E3" s="764"/>
      <c r="F3" s="765" t="s">
        <v>581</v>
      </c>
      <c r="G3" s="757"/>
      <c r="H3" s="757" t="s">
        <v>582</v>
      </c>
      <c r="I3" s="742" t="s">
        <v>583</v>
      </c>
    </row>
    <row r="4" spans="1:10" ht="48">
      <c r="A4" s="351" t="s">
        <v>584</v>
      </c>
      <c r="B4" s="767" t="s">
        <v>585</v>
      </c>
      <c r="C4" s="768"/>
      <c r="D4" s="767" t="s">
        <v>586</v>
      </c>
      <c r="E4" s="768"/>
      <c r="F4" s="766"/>
      <c r="G4" s="758"/>
      <c r="H4" s="758"/>
      <c r="I4" s="743"/>
    </row>
    <row r="5" spans="1:10">
      <c r="A5" s="352">
        <f>LLOAD!I31</f>
        <v>60.359281437125738</v>
      </c>
      <c r="B5" s="759">
        <f>LLOAD!I46</f>
        <v>175.34371257485026</v>
      </c>
      <c r="C5" s="760"/>
      <c r="D5" s="759">
        <f>LLOAD!I47</f>
        <v>18.10778443113772</v>
      </c>
      <c r="E5" s="760"/>
      <c r="F5" s="761">
        <f>LLOAD!I37</f>
        <v>16</v>
      </c>
      <c r="G5" s="761"/>
      <c r="H5" s="354">
        <f>LLOAD!I45</f>
        <v>2.9049999999999998</v>
      </c>
      <c r="I5" s="355">
        <f>LLOAD!I48</f>
        <v>0.3</v>
      </c>
    </row>
    <row r="6" spans="1:10">
      <c r="A6" s="352">
        <f>LLOAD!I63</f>
        <v>55.4</v>
      </c>
      <c r="B6" s="759">
        <f>LLOAD!I77</f>
        <v>160.66000000000003</v>
      </c>
      <c r="C6" s="760"/>
      <c r="D6" s="759">
        <f>LLOAD!I78</f>
        <v>2.0899401197604783</v>
      </c>
      <c r="E6" s="760"/>
      <c r="F6" s="761">
        <f>LLOAD!I68</f>
        <v>11.08</v>
      </c>
      <c r="G6" s="761" t="e">
        <f>[3]LLOAD!M63</f>
        <v>#REF!</v>
      </c>
      <c r="H6" s="354">
        <f>LLOAD!I76</f>
        <v>2.9000000000000004</v>
      </c>
      <c r="I6" s="355">
        <f>LLOAD!I79</f>
        <v>3.7724550898203583E-2</v>
      </c>
    </row>
    <row r="7" spans="1:10">
      <c r="A7" s="352">
        <f>LLOAD!I85</f>
        <v>13.932934131736522</v>
      </c>
      <c r="B7" s="759">
        <f>LLOAD!I101</f>
        <v>16.022874251497004</v>
      </c>
      <c r="C7" s="760"/>
      <c r="D7" s="759">
        <f>LLOAD!I102</f>
        <v>4.1798802395209567</v>
      </c>
      <c r="E7" s="760"/>
      <c r="F7" s="761">
        <f>LLOAD!I92</f>
        <v>11.08</v>
      </c>
      <c r="G7" s="761" t="e">
        <f>[3]LLOAD!L228</f>
        <v>#REF!</v>
      </c>
      <c r="H7" s="354">
        <f>LLOAD!I125</f>
        <v>0.70000000000000018</v>
      </c>
      <c r="I7" s="355">
        <f>LLOAD!I128</f>
        <v>0.3</v>
      </c>
    </row>
    <row r="8" spans="1:10">
      <c r="A8" s="352">
        <f>LLOAD!I109</f>
        <v>18.809461077844304</v>
      </c>
      <c r="B8" s="759">
        <f>LLOAD!I126</f>
        <v>13.166622754491016</v>
      </c>
      <c r="C8" s="760"/>
      <c r="D8" s="759">
        <f>LLOAD!I127</f>
        <v>5.6428383233532911</v>
      </c>
      <c r="E8" s="760"/>
      <c r="F8" s="761">
        <f>LLOAD!I117</f>
        <v>13.85</v>
      </c>
      <c r="G8" s="761" t="e">
        <f>[3]LLOAD!L252</f>
        <v>#REF!</v>
      </c>
      <c r="H8" s="354">
        <f>LLOAD!I125</f>
        <v>0.70000000000000018</v>
      </c>
      <c r="I8" s="355">
        <f>LLOAD!I128</f>
        <v>0.3</v>
      </c>
    </row>
    <row r="9" spans="1:10" ht="13.5" thickBot="1">
      <c r="A9" s="356">
        <f>LLOAD!I133</f>
        <v>60.593173652694603</v>
      </c>
      <c r="B9" s="749">
        <f>LLOAD!I150</f>
        <v>115.92694131736523</v>
      </c>
      <c r="C9" s="750"/>
      <c r="D9" s="749">
        <f>LLOAD!I152</f>
        <v>18.177952095808379</v>
      </c>
      <c r="E9" s="750"/>
      <c r="F9" s="751">
        <f>LLOAD!I140</f>
        <v>18.77</v>
      </c>
      <c r="G9" s="751" t="e">
        <f>[3]LLOAD!L275</f>
        <v>#REF!</v>
      </c>
      <c r="H9" s="358">
        <f>LLOAD!I151</f>
        <v>1.9132013447889424</v>
      </c>
      <c r="I9" s="359">
        <f>LLOAD!I153</f>
        <v>0.3</v>
      </c>
    </row>
    <row r="10" spans="1:10" ht="17.25" customHeight="1" thickTop="1" thickBot="1">
      <c r="F10" s="250"/>
    </row>
    <row r="11" spans="1:10" ht="13.5" thickTop="1">
      <c r="A11" s="752"/>
      <c r="B11" s="753"/>
      <c r="C11" s="754" t="s">
        <v>587</v>
      </c>
      <c r="D11" s="754"/>
      <c r="E11" s="754"/>
      <c r="F11" s="755" t="s">
        <v>581</v>
      </c>
      <c r="G11" s="757" t="s">
        <v>582</v>
      </c>
      <c r="H11" s="742" t="s">
        <v>583</v>
      </c>
    </row>
    <row r="12" spans="1:10" ht="48">
      <c r="A12" s="744" t="s">
        <v>588</v>
      </c>
      <c r="B12" s="745"/>
      <c r="C12" s="360" t="s">
        <v>584</v>
      </c>
      <c r="D12" s="360" t="s">
        <v>585</v>
      </c>
      <c r="E12" s="360" t="s">
        <v>586</v>
      </c>
      <c r="F12" s="756"/>
      <c r="G12" s="758"/>
      <c r="H12" s="743"/>
    </row>
    <row r="13" spans="1:10">
      <c r="A13" s="361" t="s">
        <v>589</v>
      </c>
      <c r="B13" s="362"/>
      <c r="C13" s="363">
        <f>LLOAD!I173</f>
        <v>53</v>
      </c>
      <c r="D13" s="363">
        <f>LLOAD!I187</f>
        <v>153.965</v>
      </c>
      <c r="E13" s="363">
        <f>LLOAD!I188</f>
        <v>2.8426347305389212</v>
      </c>
      <c r="F13" s="353">
        <f>LLOAD!I178</f>
        <v>20</v>
      </c>
      <c r="G13" s="354">
        <f>LLOAD!I186</f>
        <v>2.9049999999999998</v>
      </c>
      <c r="H13" s="355">
        <f>LLOAD!I189</f>
        <v>5.3634617557338136E-2</v>
      </c>
      <c r="J13" s="249" t="s">
        <v>265</v>
      </c>
    </row>
    <row r="14" spans="1:10">
      <c r="A14" s="361" t="s">
        <v>590</v>
      </c>
      <c r="B14" s="362"/>
      <c r="C14" s="363">
        <f>LLOAD!I204</f>
        <v>34.622275449101792</v>
      </c>
      <c r="D14" s="363">
        <f>LLOAD!I218</f>
        <v>145.41355688622752</v>
      </c>
      <c r="E14" s="363">
        <f>LLOAD!I219</f>
        <v>4.5232095808383228</v>
      </c>
      <c r="F14" s="353">
        <f>LLOAD!I209</f>
        <v>10</v>
      </c>
      <c r="G14" s="354">
        <f>LLOAD!I217</f>
        <v>4.2</v>
      </c>
      <c r="H14" s="355">
        <f>LLOAD!I220</f>
        <v>0.13064449179511303</v>
      </c>
    </row>
    <row r="15" spans="1:10">
      <c r="A15" s="361" t="s">
        <v>591</v>
      </c>
      <c r="B15" s="362"/>
      <c r="C15" s="363">
        <f>LLOAD!H228</f>
        <v>69.244550898203585</v>
      </c>
      <c r="D15" s="363">
        <f>LLOAD!H242</f>
        <v>79.631233532934147</v>
      </c>
      <c r="E15" s="363">
        <f>LLOAD!H243</f>
        <v>9.0464191616766456</v>
      </c>
      <c r="F15" s="353">
        <f>LLOAD!H233</f>
        <v>11.08</v>
      </c>
      <c r="G15" s="354">
        <f>LLOAD!H243</f>
        <v>9.0464191616766456</v>
      </c>
      <c r="H15" s="355">
        <f>LLOAD!H244</f>
        <v>0.13064449179511303</v>
      </c>
    </row>
    <row r="16" spans="1:10">
      <c r="A16" s="361" t="s">
        <v>592</v>
      </c>
      <c r="B16" s="362"/>
      <c r="C16" s="363">
        <f>LLOAD!H252</f>
        <v>93.480143712574858</v>
      </c>
      <c r="D16" s="363">
        <f>LLOAD!H267</f>
        <v>65.436100598802412</v>
      </c>
      <c r="E16" s="363">
        <f>LLOAD!H268</f>
        <v>12.212665868263475</v>
      </c>
      <c r="F16" s="353">
        <f>LLOAD!H258</f>
        <v>13.85</v>
      </c>
      <c r="G16" s="354">
        <f>LLOAD!H266</f>
        <v>0.70000000000000018</v>
      </c>
      <c r="H16" s="355">
        <f>LLOAD!H269</f>
        <v>0.13064449179511306</v>
      </c>
    </row>
    <row r="17" spans="1:8" ht="30" customHeight="1" thickBot="1">
      <c r="A17" s="746" t="s">
        <v>593</v>
      </c>
      <c r="B17" s="747"/>
      <c r="C17" s="364">
        <f>LLOAD!H273+LLOAD!H274</f>
        <v>78.826634730538927</v>
      </c>
      <c r="D17" s="364">
        <f>LLOAD!H291</f>
        <v>112.39405976047905</v>
      </c>
      <c r="E17" s="364">
        <f>LLOAD!H293</f>
        <v>6.6292598802395197</v>
      </c>
      <c r="F17" s="357">
        <f>LLOAD!H281</f>
        <v>18.77</v>
      </c>
      <c r="G17" s="358">
        <f>LLOAD!H292</f>
        <v>1.4258386159029504</v>
      </c>
      <c r="H17" s="359">
        <f>LLOAD!H294</f>
        <v>8.409923755975364E-2</v>
      </c>
    </row>
    <row r="18" spans="1:8" ht="16.5" thickTop="1">
      <c r="F18" s="250"/>
    </row>
    <row r="19" spans="1:8">
      <c r="A19" s="748" t="s">
        <v>594</v>
      </c>
      <c r="B19" s="748"/>
      <c r="C19" s="748"/>
      <c r="D19" s="748"/>
      <c r="E19" s="748"/>
      <c r="F19" s="748"/>
    </row>
    <row r="20" spans="1:8" ht="15.75">
      <c r="F20" s="250"/>
    </row>
    <row r="21" spans="1:8" ht="15.75">
      <c r="F21" s="250"/>
    </row>
    <row r="22" spans="1:8" ht="15.75">
      <c r="F22" s="250"/>
    </row>
    <row r="23" spans="1:8" ht="15.75">
      <c r="F23" s="250"/>
    </row>
    <row r="24" spans="1:8" ht="15.75">
      <c r="F24" s="250"/>
    </row>
    <row r="25" spans="1:8" ht="15.75">
      <c r="F25" s="250"/>
    </row>
    <row r="26" spans="1:8" ht="15.75">
      <c r="F26" s="250"/>
    </row>
    <row r="27" spans="1:8" ht="15.75">
      <c r="F27" s="250"/>
    </row>
    <row r="28" spans="1:8" ht="15.75">
      <c r="F28" s="250"/>
    </row>
    <row r="29" spans="1:8" ht="15.75">
      <c r="F29" s="250"/>
    </row>
    <row r="30" spans="1:8" ht="15.75">
      <c r="F30" s="250"/>
    </row>
    <row r="31" spans="1:8" ht="15.75">
      <c r="F31" s="250"/>
    </row>
    <row r="32" spans="1:8" ht="15.75">
      <c r="F32" s="250"/>
    </row>
    <row r="33" spans="1:6" ht="15.75">
      <c r="F33" s="250"/>
    </row>
    <row r="34" spans="1:6" ht="15.75">
      <c r="F34" s="250"/>
    </row>
    <row r="45" spans="1:6">
      <c r="E45" s="263"/>
    </row>
    <row r="48" spans="1:6">
      <c r="A48" s="280"/>
      <c r="B48" s="254"/>
    </row>
  </sheetData>
  <sheetProtection password="CC26" sheet="1" objects="1" scenarios="1"/>
  <mergeCells count="29">
    <mergeCell ref="A3:E3"/>
    <mergeCell ref="F3:G4"/>
    <mergeCell ref="H3:H4"/>
    <mergeCell ref="I3:I4"/>
    <mergeCell ref="B4:C4"/>
    <mergeCell ref="D4:E4"/>
    <mergeCell ref="B5:C5"/>
    <mergeCell ref="D5:E5"/>
    <mergeCell ref="F5:G5"/>
    <mergeCell ref="B6:C6"/>
    <mergeCell ref="D6:E6"/>
    <mergeCell ref="F6:G6"/>
    <mergeCell ref="G11:G12"/>
    <mergeCell ref="B7:C7"/>
    <mergeCell ref="D7:E7"/>
    <mergeCell ref="F7:G7"/>
    <mergeCell ref="B8:C8"/>
    <mergeCell ref="D8:E8"/>
    <mergeCell ref="F8:G8"/>
    <mergeCell ref="H11:H12"/>
    <mergeCell ref="A12:B12"/>
    <mergeCell ref="A17:B17"/>
    <mergeCell ref="A19:F19"/>
    <mergeCell ref="B9:C9"/>
    <mergeCell ref="D9:E9"/>
    <mergeCell ref="F9:G9"/>
    <mergeCell ref="A11:B11"/>
    <mergeCell ref="C11:E11"/>
    <mergeCell ref="F11:F12"/>
  </mergeCells>
  <pageMargins left="0.75" right="0.75" top="1" bottom="1" header="0.5" footer="0.5"/>
  <pageSetup paperSize="9" fitToHeight="28" orientation="landscape" horizontalDpi="4294967292" verticalDpi="300" r:id="rId1"/>
  <headerFooter>
    <oddFooter>&amp;L&amp;P/{&amp;N}&amp;C&amp;F&amp;R&amp;A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L8"/>
  <sheetViews>
    <sheetView workbookViewId="0"/>
  </sheetViews>
  <sheetFormatPr defaultRowHeight="12.75"/>
  <cols>
    <col min="1" max="6" width="9.140625" style="249"/>
    <col min="7" max="7" width="21.28515625" style="249" customWidth="1"/>
    <col min="8" max="8" width="9.28515625" style="249" bestFit="1" customWidth="1"/>
    <col min="9" max="10" width="9.140625" style="249"/>
    <col min="11" max="11" width="13.28515625" style="249" customWidth="1"/>
    <col min="12" max="16384" width="9.140625" style="249"/>
  </cols>
  <sheetData>
    <row r="2" spans="2:12" ht="18">
      <c r="B2" s="367" t="s">
        <v>471</v>
      </c>
      <c r="C2" s="368"/>
      <c r="D2" s="368"/>
      <c r="E2" s="368"/>
      <c r="F2" s="368"/>
      <c r="G2" s="368"/>
      <c r="H2" s="368">
        <f>MAX('loadsumm '!C13,'loadsumm '!C14,'loadsumm '!C15,'loadsumm '!C17)</f>
        <v>78.826634730538927</v>
      </c>
      <c r="I2" s="369" t="s">
        <v>595</v>
      </c>
      <c r="J2" s="370" t="s">
        <v>2</v>
      </c>
      <c r="K2" s="371">
        <f>H2*10</f>
        <v>788.26634730538922</v>
      </c>
      <c r="L2" s="369" t="s">
        <v>596</v>
      </c>
    </row>
    <row r="3" spans="2:12" ht="18">
      <c r="B3" s="769"/>
      <c r="C3" s="770"/>
      <c r="D3" s="770"/>
      <c r="E3" s="770"/>
      <c r="F3" s="770"/>
      <c r="G3" s="770"/>
      <c r="H3" s="770"/>
      <c r="I3" s="770"/>
      <c r="J3" s="770"/>
      <c r="K3" s="770"/>
      <c r="L3" s="771"/>
    </row>
    <row r="4" spans="2:12" ht="42.75" customHeight="1">
      <c r="B4" s="772" t="s">
        <v>472</v>
      </c>
      <c r="C4" s="772"/>
      <c r="D4" s="772"/>
      <c r="E4" s="772"/>
      <c r="F4" s="772"/>
      <c r="G4" s="772"/>
      <c r="H4" s="368">
        <f>MAX('loadsumm '!E15,'loadsumm '!E16,'loadsumm '!E17,'loadsumm '!E19)</f>
        <v>12.212665868263475</v>
      </c>
      <c r="I4" s="372" t="s">
        <v>597</v>
      </c>
      <c r="J4" s="373" t="s">
        <v>2</v>
      </c>
      <c r="K4" s="374">
        <f>H4*10</f>
        <v>122.12665868263474</v>
      </c>
      <c r="L4" s="372" t="s">
        <v>598</v>
      </c>
    </row>
    <row r="5" spans="2:12" ht="18">
      <c r="B5" s="773"/>
      <c r="C5" s="774"/>
      <c r="D5" s="774"/>
      <c r="E5" s="774"/>
      <c r="F5" s="774"/>
      <c r="G5" s="774"/>
      <c r="H5" s="774"/>
      <c r="I5" s="774"/>
      <c r="J5" s="774"/>
      <c r="K5" s="774"/>
      <c r="L5" s="775"/>
    </row>
    <row r="6" spans="2:12" ht="42.75" customHeight="1">
      <c r="B6" s="772" t="s">
        <v>599</v>
      </c>
      <c r="C6" s="772"/>
      <c r="D6" s="772"/>
      <c r="E6" s="772"/>
      <c r="F6" s="772"/>
      <c r="G6" s="772"/>
      <c r="H6" s="368">
        <f>MAX('loadsumm '!D17,'loadsumm '!D18,'loadsumm '!D19,'loadsumm '!D21)</f>
        <v>112.39405976047905</v>
      </c>
      <c r="I6" s="372" t="s">
        <v>597</v>
      </c>
      <c r="J6" s="373" t="s">
        <v>2</v>
      </c>
      <c r="K6" s="374">
        <f>H6*10</f>
        <v>1123.9405976047906</v>
      </c>
      <c r="L6" s="372" t="s">
        <v>598</v>
      </c>
    </row>
    <row r="7" spans="2:12" ht="18">
      <c r="B7" s="365"/>
      <c r="C7" s="366"/>
      <c r="D7" s="366"/>
      <c r="E7" s="366"/>
      <c r="F7" s="366"/>
      <c r="G7" s="366"/>
      <c r="H7" s="366"/>
      <c r="I7" s="366"/>
      <c r="J7" s="366"/>
      <c r="K7" s="366"/>
      <c r="L7" s="366"/>
    </row>
    <row r="8" spans="2:12" ht="18">
      <c r="B8" s="365"/>
      <c r="C8" s="366"/>
      <c r="D8" s="366"/>
      <c r="E8" s="366"/>
      <c r="F8" s="366"/>
      <c r="G8" s="366"/>
      <c r="H8" s="366"/>
      <c r="I8" s="366"/>
      <c r="J8" s="366"/>
      <c r="K8" s="366"/>
      <c r="L8" s="366"/>
    </row>
  </sheetData>
  <mergeCells count="4">
    <mergeCell ref="B3:L3"/>
    <mergeCell ref="B4:G4"/>
    <mergeCell ref="B5:L5"/>
    <mergeCell ref="B6:G6"/>
  </mergeCells>
  <pageMargins left="0.75" right="0.75" top="1" bottom="1" header="0.5" footer="0.5"/>
  <pageSetup paperSize="9" fitToHeight="28" orientation="landscape" r:id="rId1"/>
  <headerFooter>
    <oddFooter>&amp;L&amp;P/{&amp;N}&amp;C&amp;F&amp;R&amp;A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5"/>
  <sheetViews>
    <sheetView topLeftCell="A10" zoomScale="50" zoomScaleNormal="50" workbookViewId="0">
      <selection sqref="A1:Z1"/>
    </sheetView>
  </sheetViews>
  <sheetFormatPr defaultRowHeight="36.950000000000003" customHeight="1"/>
  <cols>
    <col min="1" max="1" width="13.140625" style="417" customWidth="1"/>
    <col min="2" max="6" width="9.140625" style="417"/>
    <col min="7" max="7" width="12.7109375" style="417" bestFit="1" customWidth="1"/>
    <col min="8" max="10" width="9.140625" style="417"/>
    <col min="11" max="11" width="9.28515625" style="417" bestFit="1" customWidth="1"/>
    <col min="12" max="12" width="9.140625" style="417"/>
    <col min="13" max="13" width="9.28515625" style="417" bestFit="1" customWidth="1"/>
    <col min="14" max="14" width="9.140625" style="417"/>
    <col min="15" max="15" width="12.7109375" style="417" bestFit="1" customWidth="1"/>
    <col min="16" max="18" width="9.140625" style="417"/>
    <col min="19" max="19" width="12.7109375" style="417" bestFit="1" customWidth="1"/>
    <col min="20" max="24" width="9.140625" style="417"/>
    <col min="25" max="25" width="16" style="417" customWidth="1"/>
    <col min="26" max="16384" width="9.140625" style="417"/>
  </cols>
  <sheetData>
    <row r="1" spans="1:26" ht="36.950000000000003" customHeight="1">
      <c r="A1" s="776" t="str">
        <f>'FOOTING DESIGN'!A2:N2</f>
        <v>Name Of Work :- Construction of Submersible Bridge on ON KHERWARA - JAWAS - SUVERI ROAD IN KM 9/000, ACROSS RIVER SOM</v>
      </c>
      <c r="B1" s="776"/>
      <c r="C1" s="776"/>
      <c r="D1" s="776"/>
      <c r="E1" s="776"/>
      <c r="F1" s="776"/>
      <c r="G1" s="776"/>
      <c r="H1" s="776"/>
      <c r="I1" s="776"/>
      <c r="J1" s="776"/>
      <c r="K1" s="776"/>
      <c r="L1" s="776"/>
      <c r="M1" s="776"/>
      <c r="N1" s="776"/>
      <c r="O1" s="776"/>
      <c r="P1" s="776"/>
      <c r="Q1" s="776"/>
      <c r="R1" s="776"/>
      <c r="S1" s="776"/>
      <c r="T1" s="776"/>
      <c r="U1" s="776"/>
      <c r="V1" s="776"/>
      <c r="W1" s="776"/>
      <c r="X1" s="776"/>
      <c r="Y1" s="776"/>
      <c r="Z1" s="776"/>
    </row>
    <row r="2" spans="1:26" ht="36.950000000000003" customHeight="1">
      <c r="A2" s="417" t="s">
        <v>758</v>
      </c>
      <c r="G2" s="418">
        <f>HYDRAULICS!E40</f>
        <v>101.6</v>
      </c>
      <c r="H2" s="419" t="s">
        <v>29</v>
      </c>
    </row>
    <row r="3" spans="1:26" ht="36.950000000000003" customHeight="1">
      <c r="A3" s="417" t="s">
        <v>759</v>
      </c>
      <c r="G3" s="418">
        <f>'STABILITY CHECK FOR PIER'!E18-1+4</f>
        <v>96.469999999999985</v>
      </c>
      <c r="H3" s="419" t="s">
        <v>29</v>
      </c>
    </row>
    <row r="4" spans="1:26" ht="36.950000000000003" customHeight="1">
      <c r="A4" s="417" t="s">
        <v>760</v>
      </c>
      <c r="G4" s="420">
        <f>'Deck Anchorage'!H11*1000</f>
        <v>750</v>
      </c>
      <c r="H4" s="417" t="s">
        <v>1</v>
      </c>
    </row>
    <row r="5" spans="1:26" ht="36.950000000000003" customHeight="1">
      <c r="A5" s="417" t="s">
        <v>761</v>
      </c>
      <c r="G5" s="417">
        <v>300</v>
      </c>
      <c r="H5" s="417" t="s">
        <v>1</v>
      </c>
    </row>
    <row r="6" spans="1:26" ht="36.950000000000003" customHeight="1">
      <c r="A6" s="417" t="s">
        <v>762</v>
      </c>
      <c r="G6" s="417">
        <f>(Y14-Y31-G5/1000)*1000</f>
        <v>4830.00000000001</v>
      </c>
      <c r="H6" s="417" t="s">
        <v>1</v>
      </c>
    </row>
    <row r="7" spans="1:26" ht="36.950000000000003" customHeight="1">
      <c r="A7" s="417" t="s">
        <v>763</v>
      </c>
      <c r="G7" s="421">
        <f>4500</f>
        <v>4500</v>
      </c>
      <c r="H7" s="417" t="s">
        <v>1</v>
      </c>
      <c r="J7" s="417" t="s">
        <v>764</v>
      </c>
      <c r="K7" s="417">
        <v>1000</v>
      </c>
      <c r="L7" s="417" t="s">
        <v>1</v>
      </c>
    </row>
    <row r="8" spans="1:26" ht="36.950000000000003" customHeight="1">
      <c r="A8" s="417" t="s">
        <v>765</v>
      </c>
      <c r="G8" s="421">
        <f>2500</f>
        <v>2500</v>
      </c>
      <c r="H8" s="417" t="s">
        <v>1</v>
      </c>
      <c r="J8" s="417" t="s">
        <v>764</v>
      </c>
      <c r="K8" s="417">
        <v>1000</v>
      </c>
      <c r="L8" s="417" t="s">
        <v>1</v>
      </c>
    </row>
    <row r="9" spans="1:26" ht="36.950000000000003" customHeight="1">
      <c r="A9" s="417" t="s">
        <v>766</v>
      </c>
      <c r="G9" s="417">
        <v>1050</v>
      </c>
      <c r="H9" s="417" t="s">
        <v>1</v>
      </c>
    </row>
    <row r="10" spans="1:26" ht="36.950000000000003" customHeight="1">
      <c r="A10" s="417" t="s">
        <v>767</v>
      </c>
      <c r="G10" s="417">
        <v>1200</v>
      </c>
      <c r="H10" s="417" t="s">
        <v>1</v>
      </c>
    </row>
    <row r="11" spans="1:26" ht="36.950000000000003" customHeight="1">
      <c r="A11" s="417" t="s">
        <v>768</v>
      </c>
      <c r="G11" s="417">
        <v>300</v>
      </c>
      <c r="H11" s="417" t="s">
        <v>1</v>
      </c>
    </row>
    <row r="12" spans="1:26" ht="36.950000000000003" customHeight="1">
      <c r="A12" s="417" t="s">
        <v>769</v>
      </c>
      <c r="G12" s="417">
        <v>1000</v>
      </c>
      <c r="H12" s="417" t="s">
        <v>1</v>
      </c>
    </row>
    <row r="13" spans="1:26" ht="36.950000000000003" customHeight="1">
      <c r="M13" s="422">
        <f>G11</f>
        <v>300</v>
      </c>
    </row>
    <row r="14" spans="1:26" ht="36.950000000000003" customHeight="1">
      <c r="X14" s="423" t="s">
        <v>770</v>
      </c>
      <c r="Y14" s="244">
        <f>G2</f>
        <v>101.6</v>
      </c>
      <c r="Z14" s="424" t="s">
        <v>29</v>
      </c>
    </row>
    <row r="15" spans="1:26" ht="36.950000000000003" customHeight="1">
      <c r="A15" s="425">
        <f>G5</f>
        <v>300</v>
      </c>
      <c r="B15" s="426"/>
      <c r="F15" s="427" t="s">
        <v>771</v>
      </c>
    </row>
    <row r="17" spans="2:26" ht="36.950000000000003" customHeight="1">
      <c r="K17" s="777">
        <f>G4-G5</f>
        <v>450</v>
      </c>
      <c r="M17" s="777" t="s">
        <v>772</v>
      </c>
      <c r="Q17" s="427" t="s">
        <v>773</v>
      </c>
      <c r="W17" s="425">
        <f>G4</f>
        <v>750</v>
      </c>
    </row>
    <row r="18" spans="2:26" ht="36.950000000000003" customHeight="1">
      <c r="K18" s="777"/>
      <c r="L18" s="426"/>
      <c r="M18" s="777"/>
      <c r="X18" s="426"/>
    </row>
    <row r="20" spans="2:26" ht="36.75" customHeight="1">
      <c r="J20" s="779">
        <f>G10</f>
        <v>1200</v>
      </c>
      <c r="K20" s="779"/>
      <c r="L20" s="426"/>
      <c r="N20" s="427" t="s">
        <v>774</v>
      </c>
    </row>
    <row r="21" spans="2:26" ht="36.950000000000003" customHeight="1">
      <c r="B21" s="777">
        <f>G6</f>
        <v>4830.00000000001</v>
      </c>
    </row>
    <row r="22" spans="2:26" ht="36.950000000000003" customHeight="1">
      <c r="B22" s="777"/>
    </row>
    <row r="23" spans="2:26" ht="36.950000000000003" customHeight="1">
      <c r="B23" s="777"/>
      <c r="K23" s="777">
        <f>B21-K17-J20-W30</f>
        <v>2180.00000000001</v>
      </c>
    </row>
    <row r="24" spans="2:26" ht="36.950000000000003" customHeight="1">
      <c r="K24" s="777"/>
    </row>
    <row r="25" spans="2:26" ht="36.950000000000003" customHeight="1">
      <c r="K25" s="777"/>
    </row>
    <row r="28" spans="2:26" ht="36.950000000000003" customHeight="1">
      <c r="C28" s="417">
        <f>K7</f>
        <v>1000</v>
      </c>
      <c r="F28" s="427" t="s">
        <v>775</v>
      </c>
      <c r="S28" s="427" t="s">
        <v>776</v>
      </c>
      <c r="U28" s="424">
        <f>K8</f>
        <v>1000</v>
      </c>
    </row>
    <row r="30" spans="2:26" ht="36.950000000000003" customHeight="1">
      <c r="W30" s="426">
        <f>G12</f>
        <v>1000</v>
      </c>
    </row>
    <row r="31" spans="2:26" ht="36.950000000000003" customHeight="1">
      <c r="X31" s="423" t="s">
        <v>770</v>
      </c>
      <c r="Y31" s="244">
        <f>G3</f>
        <v>96.469999999999985</v>
      </c>
      <c r="Z31" s="424" t="s">
        <v>29</v>
      </c>
    </row>
    <row r="32" spans="2:26" ht="36.950000000000003" customHeight="1">
      <c r="G32" s="422">
        <f>G7</f>
        <v>4500</v>
      </c>
      <c r="O32" s="422">
        <f>G9</f>
        <v>1050</v>
      </c>
      <c r="S32" s="422">
        <f>G8</f>
        <v>2500</v>
      </c>
    </row>
    <row r="33" spans="3:21" ht="36.950000000000003" customHeight="1">
      <c r="M33" s="424">
        <f>G32+O32+S32</f>
        <v>8050</v>
      </c>
    </row>
    <row r="35" spans="3:21" ht="36.950000000000003" customHeight="1">
      <c r="C35" s="778" t="s">
        <v>777</v>
      </c>
      <c r="D35" s="778"/>
      <c r="E35" s="778"/>
      <c r="F35" s="778"/>
      <c r="G35" s="778"/>
      <c r="H35" s="778"/>
      <c r="I35" s="778"/>
      <c r="J35" s="778"/>
      <c r="K35" s="778"/>
      <c r="L35" s="778"/>
      <c r="M35" s="778"/>
      <c r="N35" s="778"/>
      <c r="O35" s="778"/>
      <c r="P35" s="778"/>
      <c r="Q35" s="778"/>
      <c r="R35" s="778"/>
      <c r="S35" s="778"/>
      <c r="T35" s="778"/>
      <c r="U35" s="778"/>
    </row>
  </sheetData>
  <mergeCells count="7">
    <mergeCell ref="A1:Z1"/>
    <mergeCell ref="K17:K18"/>
    <mergeCell ref="M17:M18"/>
    <mergeCell ref="B21:B23"/>
    <mergeCell ref="K23:K25"/>
    <mergeCell ref="C35:U35"/>
    <mergeCell ref="J20:K20"/>
  </mergeCells>
  <pageMargins left="0.75" right="0.75" top="1" bottom="1" header="0.5" footer="0.5"/>
  <pageSetup paperSize="9" scale="51" fitToHeight="28" orientation="landscape" verticalDpi="300" r:id="rId1"/>
  <headerFooter>
    <oddFooter>&amp;L&amp;P/{&amp;N}&amp;C&amp;F&amp;R&amp;A</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1"/>
  <sheetViews>
    <sheetView zoomScaleNormal="100" zoomScaleSheetLayoutView="100" workbookViewId="0">
      <selection sqref="A1:H1"/>
    </sheetView>
  </sheetViews>
  <sheetFormatPr defaultRowHeight="12.75"/>
  <cols>
    <col min="1" max="1" width="13.7109375" style="1" customWidth="1"/>
    <col min="2" max="2" width="48.7109375" customWidth="1"/>
    <col min="3" max="3" width="19.5703125" customWidth="1"/>
    <col min="4" max="4" width="14.7109375" bestFit="1" customWidth="1"/>
    <col min="5" max="5" width="11.140625" bestFit="1" customWidth="1"/>
    <col min="6" max="6" width="9.5703125" bestFit="1" customWidth="1"/>
    <col min="7" max="7" width="16.42578125" bestFit="1" customWidth="1"/>
    <col min="8" max="8" width="7.140625" customWidth="1"/>
  </cols>
  <sheetData>
    <row r="1" spans="1:8" ht="15.75">
      <c r="A1" s="714" t="s">
        <v>778</v>
      </c>
      <c r="B1" s="714"/>
      <c r="C1" s="714"/>
      <c r="D1" s="714"/>
      <c r="E1" s="714"/>
      <c r="F1" s="714"/>
      <c r="G1" s="714"/>
      <c r="H1" s="714"/>
    </row>
    <row r="2" spans="1:8" ht="15.75">
      <c r="A2" s="428" t="str">
        <f>'TYPE1-AbutMENT Drawing'!A1:Z1</f>
        <v>Name Of Work :- Construction of Submersible Bridge on ON KHERWARA - JAWAS - SUVERI ROAD IN KM 9/000, ACROSS RIVER SOM</v>
      </c>
      <c r="B2" s="393"/>
      <c r="C2" s="393"/>
      <c r="D2" s="393"/>
      <c r="E2" s="393"/>
      <c r="F2" s="393"/>
      <c r="G2" s="393"/>
      <c r="H2" s="393"/>
    </row>
    <row r="3" spans="1:8" ht="15.75">
      <c r="A3" s="245" t="s">
        <v>779</v>
      </c>
      <c r="B3" s="172" t="s">
        <v>780</v>
      </c>
      <c r="C3" s="172" t="s">
        <v>781</v>
      </c>
      <c r="D3" s="429"/>
      <c r="E3" s="429"/>
      <c r="F3" s="429"/>
      <c r="G3" s="429"/>
      <c r="H3" s="429"/>
    </row>
    <row r="4" spans="1:8" ht="15">
      <c r="B4" s="172" t="s">
        <v>782</v>
      </c>
      <c r="C4" s="172" t="s">
        <v>783</v>
      </c>
      <c r="D4" s="429" t="s">
        <v>784</v>
      </c>
      <c r="E4" s="429"/>
      <c r="F4" s="430">
        <v>8.4</v>
      </c>
      <c r="G4" s="430" t="s">
        <v>29</v>
      </c>
      <c r="H4" s="429"/>
    </row>
    <row r="5" spans="1:8" ht="15">
      <c r="B5" s="429"/>
      <c r="C5" s="172" t="s">
        <v>785</v>
      </c>
      <c r="D5" s="429"/>
      <c r="E5" s="429"/>
      <c r="F5" s="429"/>
      <c r="G5" s="429"/>
      <c r="H5" s="429"/>
    </row>
    <row r="6" spans="1:8" ht="15">
      <c r="B6" s="172" t="s">
        <v>786</v>
      </c>
      <c r="C6" s="172" t="s">
        <v>787</v>
      </c>
      <c r="D6" s="429"/>
      <c r="E6" s="429"/>
      <c r="F6" s="429"/>
      <c r="G6" s="429"/>
      <c r="H6" s="429"/>
    </row>
    <row r="7" spans="1:8" ht="15">
      <c r="B7" s="172" t="s">
        <v>788</v>
      </c>
      <c r="C7" s="172" t="s">
        <v>789</v>
      </c>
      <c r="D7" s="429"/>
      <c r="E7" s="429"/>
      <c r="F7" s="429"/>
      <c r="G7" s="429"/>
      <c r="H7" s="429"/>
    </row>
    <row r="8" spans="1:8" ht="15">
      <c r="B8" s="172" t="s">
        <v>790</v>
      </c>
      <c r="C8" s="172" t="s">
        <v>791</v>
      </c>
      <c r="D8" s="429"/>
      <c r="E8" s="429"/>
      <c r="F8" s="431">
        <v>35</v>
      </c>
      <c r="G8" s="432" t="s">
        <v>792</v>
      </c>
      <c r="H8" s="429"/>
    </row>
    <row r="9" spans="1:8" ht="15">
      <c r="B9" s="429"/>
      <c r="C9" s="780" t="s">
        <v>793</v>
      </c>
      <c r="D9" s="780"/>
      <c r="E9" s="429">
        <v>18</v>
      </c>
      <c r="F9" s="429" t="s">
        <v>794</v>
      </c>
      <c r="G9" s="429"/>
      <c r="H9" s="429"/>
    </row>
    <row r="10" spans="1:8" ht="15">
      <c r="B10" s="429"/>
      <c r="C10" s="172" t="s">
        <v>795</v>
      </c>
      <c r="D10" s="429"/>
      <c r="E10" s="429"/>
      <c r="F10" s="429">
        <v>17.5</v>
      </c>
      <c r="G10" s="432" t="s">
        <v>792</v>
      </c>
      <c r="H10" s="429"/>
    </row>
    <row r="11" spans="1:8" ht="15">
      <c r="B11" s="172" t="s">
        <v>796</v>
      </c>
      <c r="C11" s="172" t="s">
        <v>797</v>
      </c>
      <c r="D11" s="429"/>
      <c r="E11" s="429"/>
      <c r="F11" s="429"/>
      <c r="G11" s="429"/>
      <c r="H11" s="429"/>
    </row>
    <row r="12" spans="1:8" ht="15">
      <c r="B12" s="172" t="s">
        <v>798</v>
      </c>
      <c r="C12" s="429"/>
      <c r="D12" s="429"/>
      <c r="E12" s="429"/>
      <c r="F12" s="429"/>
      <c r="G12" s="429"/>
      <c r="H12" s="429"/>
    </row>
    <row r="13" spans="1:8" ht="15">
      <c r="B13" s="172" t="s">
        <v>799</v>
      </c>
      <c r="C13" s="433" t="s">
        <v>2</v>
      </c>
      <c r="D13" s="165">
        <f>'STABILITY CHECK FOR PIER'!P46/8.4</f>
        <v>177.84689142857164</v>
      </c>
      <c r="E13" s="429" t="s">
        <v>800</v>
      </c>
      <c r="F13" s="429"/>
      <c r="G13" s="429"/>
      <c r="H13" s="429"/>
    </row>
    <row r="14" spans="1:8" ht="15">
      <c r="B14" s="172" t="s">
        <v>801</v>
      </c>
      <c r="C14" s="433" t="s">
        <v>2</v>
      </c>
      <c r="D14" s="165">
        <f>'STABILITY CHECK FOR PIER'!F63/8.4</f>
        <v>93.841231822070142</v>
      </c>
      <c r="E14" s="429" t="s">
        <v>800</v>
      </c>
      <c r="F14" s="429"/>
      <c r="G14" s="429"/>
      <c r="H14" s="429"/>
    </row>
    <row r="15" spans="1:8" ht="30.75" customHeight="1">
      <c r="B15" s="702" t="s">
        <v>802</v>
      </c>
      <c r="C15" s="702"/>
      <c r="D15" s="702"/>
      <c r="E15" s="702"/>
      <c r="F15" s="702"/>
      <c r="G15" s="702"/>
      <c r="H15" s="702"/>
    </row>
    <row r="16" spans="1:8" ht="14.25" customHeight="1">
      <c r="B16" s="702" t="s">
        <v>803</v>
      </c>
      <c r="C16" s="702"/>
      <c r="D16" s="702"/>
      <c r="E16" s="702"/>
      <c r="F16" s="702"/>
      <c r="G16" s="702"/>
      <c r="H16" s="702"/>
    </row>
    <row r="17" spans="1:8" ht="15.75">
      <c r="A17" s="245" t="s">
        <v>804</v>
      </c>
      <c r="B17" s="429"/>
      <c r="C17" s="429"/>
      <c r="D17" s="429"/>
      <c r="E17" s="429"/>
      <c r="F17" s="429"/>
      <c r="G17" s="429"/>
      <c r="H17" s="429"/>
    </row>
    <row r="18" spans="1:8" ht="33.75" customHeight="1">
      <c r="B18" s="702" t="s">
        <v>805</v>
      </c>
      <c r="C18" s="702"/>
      <c r="D18" s="702"/>
      <c r="E18" s="702"/>
      <c r="F18" s="702"/>
      <c r="G18" s="702"/>
      <c r="H18" s="702"/>
    </row>
    <row r="19" spans="1:8" ht="15.75">
      <c r="A19" s="245" t="s">
        <v>806</v>
      </c>
      <c r="B19" s="429"/>
      <c r="C19" s="429"/>
      <c r="D19" s="429"/>
      <c r="E19" s="429"/>
      <c r="F19" s="429"/>
      <c r="G19" s="429"/>
      <c r="H19" s="429"/>
    </row>
    <row r="20" spans="1:8" ht="15.75">
      <c r="A20" s="434" t="s">
        <v>807</v>
      </c>
      <c r="B20" s="245" t="s">
        <v>808</v>
      </c>
      <c r="C20" s="429"/>
      <c r="D20" s="429"/>
      <c r="E20" s="429"/>
      <c r="F20" s="429"/>
      <c r="G20" s="429"/>
      <c r="H20" s="429"/>
    </row>
    <row r="21" spans="1:8" ht="15">
      <c r="B21" s="173" t="s">
        <v>809</v>
      </c>
      <c r="C21" s="429">
        <v>0.2</v>
      </c>
      <c r="D21" s="435" t="s">
        <v>154</v>
      </c>
      <c r="E21" s="429">
        <v>1000</v>
      </c>
      <c r="F21" s="435" t="s">
        <v>335</v>
      </c>
      <c r="G21" s="429">
        <f>C21*E21</f>
        <v>200</v>
      </c>
      <c r="H21" s="429" t="s">
        <v>10</v>
      </c>
    </row>
    <row r="22" spans="1:8" ht="15">
      <c r="B22" s="162" t="s">
        <v>810</v>
      </c>
      <c r="C22" s="429"/>
      <c r="D22" s="429"/>
      <c r="E22" s="429"/>
      <c r="F22" s="429"/>
      <c r="G22" s="429"/>
      <c r="H22" s="429"/>
    </row>
    <row r="23" spans="1:8" ht="15">
      <c r="B23" s="173" t="s">
        <v>811</v>
      </c>
      <c r="C23" s="429">
        <f>G21</f>
        <v>200</v>
      </c>
      <c r="D23" s="435" t="s">
        <v>8</v>
      </c>
      <c r="E23" s="429">
        <v>2</v>
      </c>
      <c r="F23" s="435" t="s">
        <v>335</v>
      </c>
      <c r="G23" s="429">
        <f>C23/E23</f>
        <v>100</v>
      </c>
      <c r="H23" s="429" t="s">
        <v>10</v>
      </c>
    </row>
    <row r="24" spans="1:8" ht="15">
      <c r="B24" s="173" t="s">
        <v>812</v>
      </c>
      <c r="C24" s="172">
        <f>G23</f>
        <v>100</v>
      </c>
      <c r="D24" s="435" t="s">
        <v>8</v>
      </c>
      <c r="E24" s="180">
        <f>F4</f>
        <v>8.4</v>
      </c>
      <c r="F24" s="435" t="s">
        <v>335</v>
      </c>
      <c r="G24" s="429">
        <f>ROUNDUP(C24/E24,2)</f>
        <v>11.91</v>
      </c>
      <c r="H24" s="429" t="s">
        <v>813</v>
      </c>
    </row>
    <row r="25" spans="1:8" ht="15.75">
      <c r="A25" s="434" t="s">
        <v>814</v>
      </c>
      <c r="B25" s="245" t="s">
        <v>815</v>
      </c>
      <c r="C25" s="429"/>
      <c r="D25" s="429"/>
      <c r="E25" s="429"/>
      <c r="F25" s="429"/>
      <c r="G25" s="429"/>
      <c r="H25" s="429"/>
    </row>
    <row r="26" spans="1:8" ht="15">
      <c r="B26" s="172" t="s">
        <v>816</v>
      </c>
      <c r="C26" s="429"/>
      <c r="D26" s="429">
        <v>17</v>
      </c>
      <c r="E26" s="429" t="s">
        <v>817</v>
      </c>
      <c r="F26" s="429"/>
      <c r="G26" s="429"/>
      <c r="H26" s="429"/>
    </row>
    <row r="27" spans="1:8" ht="15">
      <c r="B27" s="172" t="s">
        <v>818</v>
      </c>
      <c r="C27" s="429"/>
      <c r="D27" s="429"/>
      <c r="E27" s="429"/>
      <c r="F27" s="429"/>
      <c r="G27" s="429"/>
      <c r="H27" s="429"/>
    </row>
    <row r="28" spans="1:8" ht="18">
      <c r="B28" s="173" t="s">
        <v>819</v>
      </c>
      <c r="C28" s="436">
        <f>11.7*10^-6</f>
        <v>1.1699999999999998E-5</v>
      </c>
      <c r="D28" s="172" t="s">
        <v>820</v>
      </c>
      <c r="E28" s="429"/>
      <c r="F28" s="429"/>
      <c r="G28" s="429"/>
      <c r="H28" s="429"/>
    </row>
    <row r="29" spans="1:8" ht="15">
      <c r="B29" s="173" t="s">
        <v>821</v>
      </c>
      <c r="C29" s="172">
        <f>D26</f>
        <v>17</v>
      </c>
      <c r="D29" s="164" t="s">
        <v>3</v>
      </c>
      <c r="E29" s="172">
        <f>C28</f>
        <v>1.1699999999999998E-5</v>
      </c>
      <c r="F29" s="164" t="s">
        <v>2</v>
      </c>
      <c r="G29" s="436">
        <f>C29*E29</f>
        <v>1.9889999999999996E-4</v>
      </c>
      <c r="H29" s="172"/>
    </row>
    <row r="30" spans="1:8" ht="25.5" customHeight="1">
      <c r="B30" s="437" t="s">
        <v>822</v>
      </c>
      <c r="C30" s="436">
        <f>2*10^-4</f>
        <v>2.0000000000000001E-4</v>
      </c>
      <c r="D30" s="429"/>
      <c r="E30" s="429"/>
      <c r="F30" s="429"/>
      <c r="G30" s="429"/>
      <c r="H30" s="429"/>
    </row>
    <row r="31" spans="1:8" ht="15">
      <c r="B31" s="172" t="s">
        <v>823</v>
      </c>
      <c r="C31" s="438">
        <f>G29</f>
        <v>1.9889999999999996E-4</v>
      </c>
      <c r="D31" s="435" t="s">
        <v>7</v>
      </c>
      <c r="E31" s="438">
        <f>C30</f>
        <v>2.0000000000000001E-4</v>
      </c>
      <c r="F31" s="435" t="s">
        <v>2</v>
      </c>
      <c r="G31" s="438">
        <f>E31+C31</f>
        <v>3.9889999999999999E-4</v>
      </c>
      <c r="H31" s="429"/>
    </row>
    <row r="32" spans="1:8" ht="51.75" customHeight="1">
      <c r="B32" s="166" t="s">
        <v>824</v>
      </c>
      <c r="C32" s="438">
        <f>G31</f>
        <v>3.9889999999999999E-4</v>
      </c>
      <c r="D32" s="435" t="s">
        <v>3</v>
      </c>
      <c r="E32" s="163">
        <f>'STABILITY CHECK FOR PIER'!D27*1000</f>
        <v>8799.9999999999982</v>
      </c>
      <c r="F32" s="435" t="s">
        <v>825</v>
      </c>
      <c r="G32" s="438">
        <f>C32*E32/2</f>
        <v>1.7551599999999996</v>
      </c>
      <c r="H32" s="429" t="s">
        <v>1</v>
      </c>
    </row>
    <row r="33" spans="1:8" ht="15">
      <c r="B33" s="173" t="s">
        <v>826</v>
      </c>
      <c r="C33" s="439" t="s">
        <v>827</v>
      </c>
      <c r="D33" s="435" t="s">
        <v>2</v>
      </c>
      <c r="E33" s="439">
        <f>ROUNDUP(5700*(30^0.5),2)</f>
        <v>31220.19</v>
      </c>
      <c r="F33" s="439" t="s">
        <v>252</v>
      </c>
      <c r="G33" s="429"/>
      <c r="H33" s="429"/>
    </row>
    <row r="34" spans="1:8" ht="30">
      <c r="B34" s="440" t="s">
        <v>828</v>
      </c>
      <c r="C34" s="441">
        <f>G31</f>
        <v>3.9889999999999999E-4</v>
      </c>
      <c r="D34" s="435" t="s">
        <v>3</v>
      </c>
      <c r="E34" s="435">
        <f>E33</f>
        <v>31220.19</v>
      </c>
      <c r="F34" s="435" t="s">
        <v>2</v>
      </c>
      <c r="G34" s="382">
        <f>G31*E33</f>
        <v>12.453733790999999</v>
      </c>
      <c r="H34" s="439" t="s">
        <v>252</v>
      </c>
    </row>
    <row r="35" spans="1:8" ht="45">
      <c r="B35" s="440" t="s">
        <v>829</v>
      </c>
      <c r="C35" s="441">
        <f>G34</f>
        <v>12.453733790999999</v>
      </c>
      <c r="D35" s="435" t="s">
        <v>3</v>
      </c>
      <c r="E35" s="442">
        <f>'STABILITY CHECK FOR PIER'!H27*1000</f>
        <v>750</v>
      </c>
      <c r="F35" s="435" t="s">
        <v>2</v>
      </c>
      <c r="G35" s="382">
        <f>C35*E35</f>
        <v>9340.3003432499991</v>
      </c>
      <c r="H35" s="439" t="s">
        <v>830</v>
      </c>
    </row>
    <row r="36" spans="1:8" ht="15">
      <c r="B36" s="172"/>
      <c r="C36" s="429"/>
      <c r="D36" s="435"/>
      <c r="E36" s="429"/>
      <c r="F36" s="435" t="s">
        <v>2</v>
      </c>
      <c r="G36" s="443">
        <f>G35/1000</f>
        <v>9.3403003432499982</v>
      </c>
      <c r="H36" s="429" t="s">
        <v>800</v>
      </c>
    </row>
    <row r="37" spans="1:8" ht="15.75">
      <c r="A37" s="245" t="s">
        <v>831</v>
      </c>
      <c r="B37" s="172" t="s">
        <v>832</v>
      </c>
      <c r="C37" s="429"/>
      <c r="D37" s="429"/>
      <c r="E37" s="429"/>
      <c r="F37" s="429"/>
      <c r="G37" s="429"/>
      <c r="H37" s="429"/>
    </row>
    <row r="38" spans="1:8" ht="15.75">
      <c r="A38" s="245" t="s">
        <v>265</v>
      </c>
      <c r="B38" s="172" t="s">
        <v>833</v>
      </c>
      <c r="C38" s="429"/>
      <c r="D38" s="429"/>
      <c r="E38" s="429"/>
      <c r="F38" s="429"/>
      <c r="G38" s="429"/>
      <c r="H38" s="429"/>
    </row>
    <row r="39" spans="1:8" ht="15">
      <c r="B39" s="172" t="s">
        <v>834</v>
      </c>
      <c r="C39" s="429"/>
      <c r="D39" s="435" t="s">
        <v>2</v>
      </c>
      <c r="E39" s="443">
        <f>200*(1.2+0.975)/(11.1*15)</f>
        <v>2.6126126126126121</v>
      </c>
      <c r="F39" s="429" t="s">
        <v>800</v>
      </c>
      <c r="G39" s="429"/>
      <c r="H39" s="429"/>
    </row>
    <row r="40" spans="1:8" ht="15">
      <c r="B40" s="172" t="s">
        <v>835</v>
      </c>
      <c r="C40" s="429"/>
      <c r="D40" s="429"/>
      <c r="E40" s="429"/>
      <c r="F40" s="429"/>
      <c r="G40" s="429"/>
      <c r="H40" s="429"/>
    </row>
    <row r="41" spans="1:8" ht="15.75">
      <c r="A41" s="245" t="s">
        <v>836</v>
      </c>
      <c r="B41" s="429"/>
      <c r="C41" s="429"/>
      <c r="D41" s="429"/>
      <c r="E41" s="429"/>
      <c r="F41" s="429"/>
      <c r="G41" s="429"/>
      <c r="H41" s="429"/>
    </row>
    <row r="42" spans="1:8" ht="20.25">
      <c r="B42" s="172" t="s">
        <v>837</v>
      </c>
      <c r="C42" s="429"/>
      <c r="D42" s="429"/>
      <c r="E42" s="429"/>
      <c r="F42" s="429"/>
      <c r="G42" s="429"/>
      <c r="H42" s="429"/>
    </row>
    <row r="43" spans="1:8" ht="19.5">
      <c r="B43" s="172" t="s">
        <v>838</v>
      </c>
      <c r="C43" s="429"/>
      <c r="D43" s="429"/>
      <c r="E43" s="429"/>
      <c r="F43" s="429"/>
      <c r="G43" s="429"/>
      <c r="H43" s="429"/>
    </row>
    <row r="44" spans="1:8" ht="20.25">
      <c r="B44" s="172" t="s">
        <v>839</v>
      </c>
      <c r="C44" s="429"/>
      <c r="D44" s="429"/>
      <c r="E44" s="429"/>
      <c r="F44" s="429"/>
      <c r="G44" s="429"/>
      <c r="H44" s="429"/>
    </row>
    <row r="45" spans="1:8" ht="15">
      <c r="B45" s="172" t="s">
        <v>840</v>
      </c>
      <c r="C45" s="429"/>
      <c r="D45" s="429"/>
      <c r="E45" s="429"/>
      <c r="F45" s="429"/>
      <c r="G45" s="429"/>
      <c r="H45" s="429"/>
    </row>
    <row r="46" spans="1:8" ht="15">
      <c r="B46" s="172" t="s">
        <v>841</v>
      </c>
      <c r="C46" s="429"/>
      <c r="D46" s="429"/>
      <c r="E46" s="429"/>
      <c r="F46" s="429"/>
      <c r="G46" s="429"/>
      <c r="H46" s="429"/>
    </row>
    <row r="47" spans="1:8" ht="15">
      <c r="B47" s="172" t="s">
        <v>842</v>
      </c>
      <c r="C47" s="429"/>
      <c r="D47" s="429"/>
      <c r="E47" s="429"/>
      <c r="F47" s="429"/>
      <c r="G47" s="429"/>
      <c r="H47" s="429"/>
    </row>
    <row r="48" spans="1:8" ht="15">
      <c r="B48" s="172" t="s">
        <v>843</v>
      </c>
      <c r="C48" s="429"/>
      <c r="D48" s="429"/>
      <c r="E48" s="429"/>
      <c r="F48" s="429"/>
      <c r="G48" s="429"/>
      <c r="H48" s="429"/>
    </row>
    <row r="49" spans="1:8" ht="15">
      <c r="B49" s="172" t="s">
        <v>844</v>
      </c>
      <c r="C49" s="429"/>
      <c r="D49" s="429"/>
      <c r="E49" s="429"/>
      <c r="F49" s="429"/>
      <c r="G49" s="429"/>
      <c r="H49" s="429"/>
    </row>
    <row r="50" spans="1:8" ht="15">
      <c r="B50" s="172" t="s">
        <v>845</v>
      </c>
      <c r="C50" s="429"/>
      <c r="D50" s="429"/>
      <c r="E50" s="429"/>
      <c r="F50" s="429"/>
      <c r="G50" s="429"/>
      <c r="H50" s="429"/>
    </row>
    <row r="51" spans="1:8" ht="15">
      <c r="B51" s="172" t="s">
        <v>846</v>
      </c>
      <c r="C51" s="429"/>
      <c r="D51" s="429"/>
      <c r="E51" s="429"/>
      <c r="F51" s="429"/>
      <c r="G51" s="429"/>
      <c r="H51" s="429"/>
    </row>
    <row r="52" spans="1:8" ht="15">
      <c r="B52" s="173" t="s">
        <v>847</v>
      </c>
      <c r="C52" s="431">
        <v>90</v>
      </c>
      <c r="D52" s="432">
        <v>0</v>
      </c>
      <c r="E52" s="162"/>
      <c r="F52" s="173" t="s">
        <v>848</v>
      </c>
      <c r="G52" s="431">
        <f>F8</f>
        <v>35</v>
      </c>
      <c r="H52" s="432">
        <v>0</v>
      </c>
    </row>
    <row r="53" spans="1:8" ht="15">
      <c r="B53" s="173" t="s">
        <v>849</v>
      </c>
      <c r="C53" s="431">
        <f>F10</f>
        <v>17.5</v>
      </c>
      <c r="D53" s="432">
        <v>0</v>
      </c>
      <c r="E53" s="162"/>
      <c r="F53" s="173" t="s">
        <v>850</v>
      </c>
      <c r="G53" s="431">
        <v>0</v>
      </c>
      <c r="H53" s="432">
        <v>0</v>
      </c>
    </row>
    <row r="54" spans="1:8" s="7" customFormat="1" ht="19.5">
      <c r="A54" s="99"/>
      <c r="B54" s="173" t="s">
        <v>851</v>
      </c>
      <c r="C54" s="444">
        <f>ROUNDUP(0.496,3)</f>
        <v>0.496</v>
      </c>
      <c r="D54" s="444" t="s">
        <v>852</v>
      </c>
      <c r="E54" s="431"/>
      <c r="F54" s="431"/>
      <c r="G54" s="431"/>
      <c r="H54" s="431"/>
    </row>
    <row r="55" spans="1:8" ht="15">
      <c r="B55" s="173" t="s">
        <v>853</v>
      </c>
      <c r="C55" s="382">
        <f>'TYPE1-AbutMENT Drawing'!G6/1000</f>
        <v>4.8300000000000098</v>
      </c>
      <c r="D55" s="429" t="s">
        <v>0</v>
      </c>
      <c r="E55" s="429"/>
      <c r="F55" s="429"/>
      <c r="G55" s="429"/>
      <c r="H55" s="429"/>
    </row>
    <row r="56" spans="1:8" ht="15">
      <c r="B56" s="173" t="s">
        <v>854</v>
      </c>
      <c r="C56" s="429"/>
      <c r="D56" s="429"/>
      <c r="E56" s="429"/>
      <c r="F56" s="429"/>
      <c r="G56" s="429"/>
      <c r="H56" s="429"/>
    </row>
    <row r="57" spans="1:8" ht="14.25">
      <c r="B57" s="429">
        <f>0.5</f>
        <v>0.5</v>
      </c>
      <c r="C57" s="435" t="s">
        <v>3</v>
      </c>
      <c r="D57" s="429">
        <f>E9</f>
        <v>18</v>
      </c>
      <c r="E57" s="435" t="s">
        <v>3</v>
      </c>
      <c r="F57" s="382">
        <f>C55</f>
        <v>4.8300000000000098</v>
      </c>
      <c r="G57" s="88" t="s">
        <v>855</v>
      </c>
      <c r="H57" s="439">
        <f>C54</f>
        <v>0.496</v>
      </c>
    </row>
    <row r="58" spans="1:8" ht="15">
      <c r="B58" s="445" t="s">
        <v>2</v>
      </c>
      <c r="C58" s="382">
        <f>ROUNDUP(B57*D57*F57*F57*H57,2)</f>
        <v>104.15</v>
      </c>
      <c r="D58" s="429" t="s">
        <v>800</v>
      </c>
      <c r="E58" s="429"/>
      <c r="F58" s="429"/>
      <c r="G58" s="429"/>
      <c r="H58" s="429"/>
    </row>
    <row r="59" spans="1:8" ht="15">
      <c r="B59" s="173" t="s">
        <v>856</v>
      </c>
      <c r="C59" s="429">
        <f>0.42</f>
        <v>0.42</v>
      </c>
      <c r="D59" s="435" t="s">
        <v>3</v>
      </c>
      <c r="E59" s="382">
        <f>C55</f>
        <v>4.8300000000000098</v>
      </c>
      <c r="F59" s="435" t="s">
        <v>2</v>
      </c>
      <c r="G59" s="429">
        <f>ROUNDUP(C59*E59,2)</f>
        <v>2.0299999999999998</v>
      </c>
      <c r="H59" s="429" t="s">
        <v>0</v>
      </c>
    </row>
    <row r="60" spans="1:8" ht="15">
      <c r="B60" s="172" t="s">
        <v>857</v>
      </c>
      <c r="C60" s="429"/>
      <c r="D60" s="429"/>
      <c r="E60" s="429"/>
      <c r="F60" s="429"/>
      <c r="G60" s="429"/>
      <c r="H60" s="429"/>
    </row>
    <row r="61" spans="1:8" ht="15.75">
      <c r="A61" s="245" t="s">
        <v>858</v>
      </c>
      <c r="B61" s="429"/>
      <c r="C61" s="429"/>
      <c r="D61" s="429"/>
      <c r="E61" s="429"/>
      <c r="F61" s="429"/>
      <c r="G61" s="429"/>
      <c r="H61" s="429"/>
    </row>
    <row r="62" spans="1:8" ht="15">
      <c r="B62" s="172" t="s">
        <v>859</v>
      </c>
      <c r="C62" s="429"/>
      <c r="D62" s="429"/>
      <c r="E62" s="429"/>
      <c r="F62" s="429"/>
      <c r="G62" s="429"/>
      <c r="H62" s="429"/>
    </row>
    <row r="63" spans="1:8" ht="15">
      <c r="B63" s="172" t="s">
        <v>860</v>
      </c>
      <c r="C63" s="429"/>
      <c r="D63" s="429"/>
      <c r="E63" s="429">
        <f>ROUNDUP(1.2*18*0.496*$C$55,2)</f>
        <v>51.75</v>
      </c>
      <c r="F63" s="429" t="s">
        <v>800</v>
      </c>
      <c r="G63" s="429"/>
      <c r="H63" s="429"/>
    </row>
    <row r="64" spans="1:8" ht="15">
      <c r="B64" s="172" t="s">
        <v>861</v>
      </c>
      <c r="C64" s="429"/>
      <c r="D64" s="429"/>
      <c r="E64" s="429">
        <f>ROUNDUP(0.3*24*0.496*$C$55,2)</f>
        <v>17.25</v>
      </c>
      <c r="F64" s="429" t="s">
        <v>800</v>
      </c>
      <c r="G64" s="429"/>
      <c r="H64" s="429"/>
    </row>
    <row r="65" spans="1:8">
      <c r="B65" s="429"/>
      <c r="C65" s="429"/>
      <c r="D65" s="1" t="s">
        <v>4</v>
      </c>
      <c r="E65" s="1">
        <f>SUM(E63:E64)</f>
        <v>69</v>
      </c>
      <c r="F65" s="1" t="s">
        <v>800</v>
      </c>
      <c r="G65" s="429"/>
      <c r="H65" s="429"/>
    </row>
    <row r="66" spans="1:8" ht="15">
      <c r="B66" s="173" t="s">
        <v>862</v>
      </c>
      <c r="C66" s="1">
        <f>'TYPE1-AbutMENT Drawing'!B21/2000</f>
        <v>2.4150000000000049</v>
      </c>
      <c r="D66" s="1" t="s">
        <v>863</v>
      </c>
      <c r="E66" s="429"/>
      <c r="F66" s="429"/>
      <c r="G66" s="429"/>
      <c r="H66" s="429"/>
    </row>
    <row r="67" spans="1:8" ht="15">
      <c r="B67" s="172" t="s">
        <v>864</v>
      </c>
      <c r="C67" s="429"/>
      <c r="D67" s="429"/>
      <c r="E67" s="429"/>
      <c r="F67" s="429"/>
      <c r="G67" s="429"/>
      <c r="H67" s="429"/>
    </row>
    <row r="68" spans="1:8" ht="15">
      <c r="B68" s="164" t="str">
        <f>CONCATENATE("= (1.2 x 18 + 0.3 x 24 ) x ",'TYPE1-AbutMENT Drawing'!G32/1000," = ")</f>
        <v xml:space="preserve">= (1.2 x 18 + 0.3 x 24 ) x 4.5 = </v>
      </c>
      <c r="C68" s="163">
        <f>((1.2*18)+(0.3*24))*'TYPE1-AbutMENT Drawing'!G32/1000</f>
        <v>129.6</v>
      </c>
      <c r="D68" s="429" t="s">
        <v>800</v>
      </c>
      <c r="E68" s="429"/>
      <c r="F68" s="429"/>
      <c r="G68" s="429"/>
      <c r="H68" s="429"/>
    </row>
    <row r="69" spans="1:8" ht="15.75">
      <c r="A69" s="245" t="s">
        <v>865</v>
      </c>
      <c r="B69" s="429"/>
      <c r="C69" s="429"/>
      <c r="D69" s="429"/>
      <c r="E69" s="429"/>
      <c r="F69" s="429"/>
      <c r="G69" s="429"/>
      <c r="H69" s="429"/>
    </row>
    <row r="70" spans="1:8" ht="15">
      <c r="B70" s="173" t="s">
        <v>866</v>
      </c>
      <c r="C70" s="429" t="str">
        <f>CONCATENATE("18 x",'TYPE1-AbutMENT Drawing'!G32/1000,"x (",'TYPE1-AbutMENT Drawing'!G6/1000," - ",'TYPE1-AbutMENT Drawing'!W30/1000,")")</f>
        <v>18 x4.5x (4.83000000000001 - 1)</v>
      </c>
      <c r="D70" s="429" t="s">
        <v>288</v>
      </c>
      <c r="E70" s="429">
        <f>C124</f>
        <v>34.479999999999997</v>
      </c>
      <c r="F70" s="429" t="s">
        <v>800</v>
      </c>
      <c r="G70" s="429"/>
      <c r="H70" s="429"/>
    </row>
    <row r="71" spans="1:8" ht="15.75">
      <c r="A71" s="245" t="s">
        <v>867</v>
      </c>
      <c r="B71" s="429"/>
      <c r="C71" s="429"/>
      <c r="D71" s="429"/>
      <c r="E71" s="429"/>
      <c r="F71" s="429"/>
      <c r="G71" s="429"/>
      <c r="H71" s="429"/>
    </row>
    <row r="72" spans="1:8" ht="15">
      <c r="B72" s="172" t="s">
        <v>868</v>
      </c>
      <c r="C72" s="429"/>
      <c r="D72" s="429"/>
      <c r="E72" s="429"/>
      <c r="F72" s="429"/>
      <c r="G72" s="429"/>
      <c r="H72" s="429"/>
    </row>
    <row r="73" spans="1:8" ht="15">
      <c r="B73" s="172" t="s">
        <v>869</v>
      </c>
      <c r="C73" s="429"/>
      <c r="D73" s="429"/>
      <c r="E73" s="429"/>
      <c r="F73" s="429"/>
      <c r="G73" s="429"/>
      <c r="H73" s="429"/>
    </row>
    <row r="74" spans="1:8" ht="15">
      <c r="B74" s="172" t="s">
        <v>870</v>
      </c>
      <c r="C74" s="429"/>
      <c r="D74" s="429"/>
      <c r="E74" s="429"/>
      <c r="F74" s="429"/>
      <c r="G74" s="429"/>
      <c r="H74" s="429"/>
    </row>
    <row r="75" spans="1:8" ht="15.75">
      <c r="B75" s="245" t="s">
        <v>871</v>
      </c>
      <c r="C75" s="429"/>
      <c r="D75" s="429"/>
      <c r="E75" s="429"/>
      <c r="F75" s="429"/>
      <c r="G75" s="429"/>
      <c r="H75" s="429"/>
    </row>
    <row r="76" spans="1:8" ht="15">
      <c r="B76" s="172" t="s">
        <v>872</v>
      </c>
      <c r="C76" s="429"/>
      <c r="D76" s="429"/>
      <c r="E76" s="429"/>
      <c r="F76" s="429"/>
      <c r="G76" s="429"/>
      <c r="H76" s="429"/>
    </row>
    <row r="77" spans="1:8" ht="15">
      <c r="B77" s="172" t="s">
        <v>873</v>
      </c>
      <c r="C77" s="382">
        <f>G134</f>
        <v>471.34899999999999</v>
      </c>
      <c r="D77" s="429" t="s">
        <v>5</v>
      </c>
      <c r="E77" s="429"/>
      <c r="F77" s="429"/>
      <c r="G77" s="429"/>
      <c r="H77" s="429"/>
    </row>
    <row r="78" spans="1:8" ht="15">
      <c r="B78" s="172" t="s">
        <v>874</v>
      </c>
      <c r="C78" s="382">
        <f>F134</f>
        <v>4132.4719999999998</v>
      </c>
      <c r="D78" s="429" t="s">
        <v>5</v>
      </c>
      <c r="E78" s="429"/>
      <c r="F78" s="429"/>
      <c r="G78" s="429"/>
      <c r="H78" s="429"/>
    </row>
    <row r="79" spans="1:8" ht="15">
      <c r="B79" s="172" t="s">
        <v>875</v>
      </c>
      <c r="C79" s="382">
        <f>C78</f>
        <v>4132.4719999999998</v>
      </c>
      <c r="D79" s="435" t="s">
        <v>8</v>
      </c>
      <c r="E79" s="382">
        <f>C77</f>
        <v>471.34899999999999</v>
      </c>
      <c r="F79" s="435" t="s">
        <v>2</v>
      </c>
      <c r="G79" s="1">
        <f>ROUND(C79/E79,2)</f>
        <v>8.77</v>
      </c>
      <c r="H79" s="429"/>
    </row>
    <row r="80" spans="1:8" ht="15">
      <c r="B80" s="172" t="s">
        <v>876</v>
      </c>
      <c r="C80" s="429"/>
      <c r="D80" s="429"/>
      <c r="E80" s="429"/>
      <c r="F80" s="429"/>
      <c r="G80" s="1" t="s">
        <v>877</v>
      </c>
      <c r="H80" s="429"/>
    </row>
    <row r="81" spans="1:8" ht="19.5">
      <c r="B81" s="172" t="s">
        <v>878</v>
      </c>
      <c r="C81" s="429"/>
      <c r="D81" s="429"/>
      <c r="E81" s="429"/>
      <c r="F81" s="429"/>
      <c r="G81" s="429"/>
      <c r="H81" s="429"/>
    </row>
    <row r="82" spans="1:8" ht="15">
      <c r="B82" s="172"/>
      <c r="C82" s="429" t="str">
        <f>CONCATENATE("=(",F134," - ",G134," ) / ",C134," ) =")</f>
        <v>=(4132.472 - 471.349 ) / 1004.041 ) =</v>
      </c>
      <c r="D82" s="429"/>
      <c r="E82" s="429">
        <f>ROUND((F134-G134)/C134,2)</f>
        <v>3.65</v>
      </c>
      <c r="F82" s="429" t="s">
        <v>0</v>
      </c>
      <c r="G82" s="429"/>
      <c r="H82" s="429"/>
    </row>
    <row r="83" spans="1:8" ht="15.75">
      <c r="A83" s="245" t="s">
        <v>879</v>
      </c>
      <c r="B83" s="429"/>
      <c r="C83" s="429"/>
      <c r="D83" s="429"/>
      <c r="E83" s="429"/>
      <c r="F83" s="429"/>
      <c r="G83" s="429"/>
      <c r="H83" s="429"/>
    </row>
    <row r="84" spans="1:8" ht="19.5">
      <c r="B84" s="173" t="s">
        <v>880</v>
      </c>
      <c r="C84" s="429">
        <f>'TYPE1-AbutMENT Drawing'!M33/1000</f>
        <v>8.0500000000000007</v>
      </c>
      <c r="D84" s="435" t="s">
        <v>881</v>
      </c>
      <c r="E84" s="382">
        <f>C84/6</f>
        <v>1.3416666666666668</v>
      </c>
      <c r="F84" s="429" t="s">
        <v>0</v>
      </c>
      <c r="G84" s="429"/>
      <c r="H84" s="429"/>
    </row>
    <row r="85" spans="1:8" ht="19.5">
      <c r="B85" s="173" t="s">
        <v>882</v>
      </c>
      <c r="C85" s="382">
        <f>'TYPE1-AbutMENT Drawing'!M33/2000</f>
        <v>4.0250000000000004</v>
      </c>
      <c r="D85" s="435" t="s">
        <v>16</v>
      </c>
      <c r="E85" s="429">
        <f>E82</f>
        <v>3.65</v>
      </c>
      <c r="F85" s="435" t="s">
        <v>2</v>
      </c>
      <c r="G85" s="382">
        <f>ROUNDUP(C85-E85,2)</f>
        <v>0.38</v>
      </c>
      <c r="H85" s="429" t="s">
        <v>0</v>
      </c>
    </row>
    <row r="86" spans="1:8">
      <c r="B86" s="429"/>
      <c r="C86" s="429"/>
      <c r="D86" s="429"/>
      <c r="E86" s="429"/>
      <c r="F86" s="435" t="s">
        <v>883</v>
      </c>
      <c r="G86" s="382">
        <f>E84</f>
        <v>1.3416666666666668</v>
      </c>
      <c r="H86" s="429" t="s">
        <v>0</v>
      </c>
    </row>
    <row r="87" spans="1:8" ht="15.75">
      <c r="B87" s="245" t="s">
        <v>884</v>
      </c>
      <c r="C87" s="429"/>
      <c r="D87" s="429"/>
      <c r="E87" s="429"/>
      <c r="F87" s="435"/>
      <c r="G87" s="382"/>
      <c r="H87" s="429"/>
    </row>
    <row r="88" spans="1:8" ht="15">
      <c r="B88" s="172" t="s">
        <v>885</v>
      </c>
      <c r="C88" s="429"/>
      <c r="D88" s="429"/>
      <c r="E88" s="429"/>
      <c r="F88" s="429"/>
      <c r="G88" s="429"/>
      <c r="H88" s="429"/>
    </row>
    <row r="89" spans="1:8" ht="15">
      <c r="B89" s="172" t="s">
        <v>873</v>
      </c>
      <c r="C89" s="382">
        <f>G128</f>
        <v>419.06399999999996</v>
      </c>
      <c r="D89" s="429" t="s">
        <v>5</v>
      </c>
      <c r="E89" s="429"/>
      <c r="F89" s="429"/>
      <c r="G89" s="429"/>
      <c r="H89" s="429"/>
    </row>
    <row r="90" spans="1:8" ht="15">
      <c r="B90" s="172" t="s">
        <v>874</v>
      </c>
      <c r="C90" s="382">
        <f>F128</f>
        <v>3855.154</v>
      </c>
      <c r="D90" s="429" t="s">
        <v>5</v>
      </c>
      <c r="E90" s="429"/>
      <c r="F90" s="429"/>
      <c r="G90" s="429"/>
      <c r="H90" s="429"/>
    </row>
    <row r="91" spans="1:8" ht="15">
      <c r="B91" s="172" t="s">
        <v>875</v>
      </c>
      <c r="C91" s="382">
        <f>C90</f>
        <v>3855.154</v>
      </c>
      <c r="D91" s="435" t="s">
        <v>8</v>
      </c>
      <c r="E91" s="382">
        <f>C89</f>
        <v>419.06399999999996</v>
      </c>
      <c r="F91" s="435" t="s">
        <v>2</v>
      </c>
      <c r="G91" s="1">
        <f>ROUND(C91/E91,2)</f>
        <v>9.1999999999999993</v>
      </c>
      <c r="H91" s="429"/>
    </row>
    <row r="92" spans="1:8" ht="15">
      <c r="B92" s="172" t="s">
        <v>876</v>
      </c>
      <c r="C92" s="429"/>
      <c r="D92" s="429"/>
      <c r="E92" s="429"/>
      <c r="F92" s="429"/>
      <c r="G92" s="1" t="s">
        <v>877</v>
      </c>
      <c r="H92" s="429"/>
    </row>
    <row r="93" spans="1:8" ht="19.5">
      <c r="B93" s="172" t="s">
        <v>886</v>
      </c>
      <c r="C93" s="429"/>
      <c r="D93" s="429"/>
      <c r="E93" s="429"/>
      <c r="F93" s="429"/>
      <c r="G93" s="429"/>
      <c r="H93" s="429"/>
    </row>
    <row r="94" spans="1:8" ht="15">
      <c r="B94" s="172"/>
      <c r="C94" s="429" t="str">
        <f>CONCATENATE("=(",F128," - ",G128," ) / ",C128," ) =")</f>
        <v>=(3855.154 - 419.064 ) / 907.587 ) =</v>
      </c>
      <c r="D94" s="429"/>
      <c r="E94" s="429">
        <f>ROUND((F128-G128)/C128,2)</f>
        <v>3.79</v>
      </c>
      <c r="F94" s="429" t="s">
        <v>0</v>
      </c>
      <c r="G94" s="429"/>
      <c r="H94" s="429"/>
    </row>
    <row r="95" spans="1:8" ht="15.75">
      <c r="A95" s="245" t="s">
        <v>887</v>
      </c>
      <c r="B95" s="429"/>
      <c r="C95" s="429"/>
      <c r="D95" s="429"/>
      <c r="E95" s="429"/>
      <c r="F95" s="429"/>
      <c r="G95" s="429"/>
      <c r="H95" s="429"/>
    </row>
    <row r="96" spans="1:8" ht="15">
      <c r="B96" s="172" t="s">
        <v>888</v>
      </c>
      <c r="C96" s="429"/>
      <c r="D96" s="429"/>
      <c r="E96" s="429"/>
      <c r="F96" s="429"/>
      <c r="G96" s="429"/>
      <c r="H96" s="429"/>
    </row>
    <row r="97" spans="1:8" ht="15">
      <c r="B97" s="172" t="s">
        <v>889</v>
      </c>
      <c r="C97" s="382">
        <f>C134</f>
        <v>1004.0409999999999</v>
      </c>
      <c r="D97" s="429" t="s">
        <v>10</v>
      </c>
      <c r="E97" s="429"/>
      <c r="F97" s="429"/>
      <c r="G97" s="429"/>
      <c r="H97" s="429"/>
    </row>
    <row r="98" spans="1:8" ht="15">
      <c r="B98" s="429"/>
      <c r="C98" s="429"/>
      <c r="D98" s="174">
        <f>C134</f>
        <v>1004.0409999999999</v>
      </c>
      <c r="E98" s="172" t="s">
        <v>890</v>
      </c>
      <c r="F98" s="429"/>
      <c r="G98" s="429"/>
      <c r="H98" s="429"/>
    </row>
    <row r="99" spans="1:8" ht="15.75">
      <c r="A99" s="245" t="s">
        <v>891</v>
      </c>
      <c r="B99" s="429"/>
      <c r="C99" s="429"/>
      <c r="D99" s="429"/>
      <c r="E99" s="435"/>
      <c r="F99" s="429"/>
      <c r="G99" s="429"/>
      <c r="H99" s="429"/>
    </row>
    <row r="100" spans="1:8" ht="15.75">
      <c r="A100" s="245"/>
      <c r="B100" s="431" t="s">
        <v>892</v>
      </c>
      <c r="C100" s="429" t="str">
        <f>CONCATENATE($C$97,"/","(",'TYPE1-AbutMENT Drawing'!$M$33/1000,"x",1,")","(1 +","(",6,"x",$G$85,"/",'TYPE1-AbutMENT Drawing'!$M$33/1000,"))")</f>
        <v>1004.041/(8.05x1)(1 +(6x0.38/8.05))</v>
      </c>
      <c r="D100" s="429"/>
      <c r="E100" s="435" t="s">
        <v>2</v>
      </c>
      <c r="F100" s="429">
        <f>ROUNDUP(($D$98*1000/'TYPE1-AbutMENT Drawing'!$M$33)*(1+$G$85*6*1000/'TYPE1-AbutMENT Drawing'!$M$33),2)</f>
        <v>160.06</v>
      </c>
      <c r="G100" s="429" t="s">
        <v>893</v>
      </c>
      <c r="H100" s="429"/>
    </row>
    <row r="101" spans="1:8">
      <c r="B101" s="431" t="s">
        <v>894</v>
      </c>
      <c r="C101" s="429" t="str">
        <f>CONCATENATE($C$97,"/","(",'TYPE1-AbutMENT Drawing'!$M$33/1000,"x",1,")","(1 -","(",6,"x",$G$85,"/",'TYPE1-AbutMENT Drawing'!$M$33/1000,"))")</f>
        <v>1004.041/(8.05x1)(1 -(6x0.38/8.05))</v>
      </c>
      <c r="D101" s="429"/>
      <c r="E101" s="435" t="s">
        <v>2</v>
      </c>
      <c r="F101" s="429">
        <f>ROUNDUP(($D$98*1000/'TYPE1-AbutMENT Drawing'!$M$33)*(1-$G$85*6*1000/'TYPE1-AbutMENT Drawing'!$M$33),2)</f>
        <v>89.4</v>
      </c>
      <c r="G101" s="429" t="s">
        <v>893</v>
      </c>
      <c r="H101" s="429"/>
    </row>
    <row r="102" spans="1:8" ht="16.5" thickBot="1">
      <c r="A102" s="781" t="s">
        <v>895</v>
      </c>
      <c r="B102" s="781"/>
      <c r="C102" s="781"/>
      <c r="D102" s="781"/>
      <c r="E102" s="781"/>
      <c r="F102" s="781"/>
      <c r="G102" s="781"/>
      <c r="H102" s="429"/>
    </row>
    <row r="103" spans="1:8" ht="16.5" thickBot="1">
      <c r="A103" s="446" t="s">
        <v>896</v>
      </c>
      <c r="B103" s="782" t="s">
        <v>897</v>
      </c>
      <c r="C103" s="785" t="s">
        <v>898</v>
      </c>
      <c r="D103" s="786"/>
      <c r="E103" s="785" t="s">
        <v>899</v>
      </c>
      <c r="F103" s="787"/>
      <c r="G103" s="786"/>
      <c r="H103" s="429"/>
    </row>
    <row r="104" spans="1:8" ht="15.75">
      <c r="A104" s="447" t="s">
        <v>900</v>
      </c>
      <c r="B104" s="783"/>
      <c r="C104" s="788" t="s">
        <v>47</v>
      </c>
      <c r="D104" s="788" t="s">
        <v>901</v>
      </c>
      <c r="E104" s="448" t="s">
        <v>902</v>
      </c>
      <c r="F104" s="448"/>
      <c r="G104" s="448"/>
      <c r="H104" s="429"/>
    </row>
    <row r="105" spans="1:8" ht="20.25" thickBot="1">
      <c r="A105" s="449"/>
      <c r="B105" s="784"/>
      <c r="C105" s="789"/>
      <c r="D105" s="789"/>
      <c r="E105" s="450" t="s">
        <v>0</v>
      </c>
      <c r="F105" s="450" t="s">
        <v>903</v>
      </c>
      <c r="G105" s="450" t="s">
        <v>904</v>
      </c>
      <c r="H105" s="429"/>
    </row>
    <row r="106" spans="1:8" ht="16.5" thickBot="1">
      <c r="A106" s="451" t="s">
        <v>494</v>
      </c>
      <c r="B106" s="452" t="s">
        <v>905</v>
      </c>
      <c r="C106" s="453">
        <f>$D$13</f>
        <v>177.84689142857164</v>
      </c>
      <c r="D106" s="450" t="s">
        <v>16</v>
      </c>
      <c r="E106" s="450">
        <f>ROUNDUP(('TYPE1-AbutMENT Drawing'!S32+('TYPE1-AbutMENT Drawing'!O32-'TYPE1-AbutMENT Drawing'!M13)/2)/1000,2)</f>
        <v>2.88</v>
      </c>
      <c r="F106" s="454">
        <f>ROUNDUP((C106*E106),2)</f>
        <v>512.20000000000005</v>
      </c>
      <c r="G106" s="450" t="s">
        <v>16</v>
      </c>
      <c r="H106" s="429"/>
    </row>
    <row r="107" spans="1:8" ht="30.75" thickBot="1">
      <c r="A107" s="451" t="s">
        <v>496</v>
      </c>
      <c r="B107" s="452" t="s">
        <v>906</v>
      </c>
      <c r="C107" s="450">
        <v>0</v>
      </c>
      <c r="D107" s="453">
        <f>$G$36</f>
        <v>9.3403003432499982</v>
      </c>
      <c r="E107" s="453">
        <f>ROUNDUP(('TYPE1-AbutMENT Drawing'!$B$21-'TYPE1-AbutMENT Drawing'!$K$17)/1000,2)</f>
        <v>4.3899999999999997</v>
      </c>
      <c r="F107" s="450" t="s">
        <v>16</v>
      </c>
      <c r="G107" s="454">
        <f>D107*E107</f>
        <v>41.003918506867493</v>
      </c>
      <c r="H107" s="429"/>
    </row>
    <row r="108" spans="1:8" ht="16.5" thickBot="1">
      <c r="A108" s="451" t="s">
        <v>498</v>
      </c>
      <c r="B108" s="452" t="s">
        <v>907</v>
      </c>
      <c r="C108" s="450">
        <v>0</v>
      </c>
      <c r="D108" s="453">
        <f>C58</f>
        <v>104.15</v>
      </c>
      <c r="E108" s="450">
        <f>G59</f>
        <v>2.0299999999999998</v>
      </c>
      <c r="F108" s="450" t="s">
        <v>16</v>
      </c>
      <c r="G108" s="454">
        <f>D108*E108</f>
        <v>211.42449999999999</v>
      </c>
      <c r="H108" s="429"/>
    </row>
    <row r="109" spans="1:8" ht="30.75" thickBot="1">
      <c r="A109" s="451" t="s">
        <v>500</v>
      </c>
      <c r="B109" s="452" t="s">
        <v>908</v>
      </c>
      <c r="C109" s="450">
        <v>0</v>
      </c>
      <c r="D109" s="453">
        <f>$E$65</f>
        <v>69</v>
      </c>
      <c r="E109" s="450">
        <f>C66</f>
        <v>2.4150000000000049</v>
      </c>
      <c r="F109" s="450" t="s">
        <v>16</v>
      </c>
      <c r="G109" s="454">
        <f>D109*E109</f>
        <v>166.63500000000033</v>
      </c>
      <c r="H109" s="429"/>
    </row>
    <row r="110" spans="1:8" ht="15">
      <c r="A110" s="790" t="s">
        <v>502</v>
      </c>
      <c r="B110" s="455" t="s">
        <v>909</v>
      </c>
      <c r="C110" s="792">
        <f>C68</f>
        <v>129.6</v>
      </c>
      <c r="D110" s="788" t="s">
        <v>16</v>
      </c>
      <c r="E110" s="788">
        <f>('TYPE1-AbutMENT Drawing'!M33-'TYPE1-AbutMENT Drawing'!G32/2)/1000</f>
        <v>5.8</v>
      </c>
      <c r="F110" s="788">
        <f>C110*E110</f>
        <v>751.68</v>
      </c>
      <c r="G110" s="788" t="s">
        <v>16</v>
      </c>
      <c r="H110" s="429"/>
    </row>
    <row r="111" spans="1:8" ht="15.75" thickBot="1">
      <c r="A111" s="791"/>
      <c r="B111" s="452" t="s">
        <v>910</v>
      </c>
      <c r="C111" s="793"/>
      <c r="D111" s="789"/>
      <c r="E111" s="789"/>
      <c r="F111" s="789"/>
      <c r="G111" s="789"/>
      <c r="H111" s="429"/>
    </row>
    <row r="112" spans="1:8" ht="15">
      <c r="A112" s="790" t="s">
        <v>911</v>
      </c>
      <c r="B112" s="455" t="s">
        <v>912</v>
      </c>
      <c r="C112" s="792">
        <f>ROUNDUP('TYPE1-AbutMENT Drawing'!M33*'TYPE1-AbutMENT Drawing'!W30*24/1000000,2)</f>
        <v>193.2</v>
      </c>
      <c r="D112" s="788" t="s">
        <v>16</v>
      </c>
      <c r="E112" s="788">
        <f>'TYPE1-AbutMENT Drawing'!M33/2000</f>
        <v>4.0250000000000004</v>
      </c>
      <c r="F112" s="788">
        <f>C112*E112</f>
        <v>777.63</v>
      </c>
      <c r="G112" s="788" t="s">
        <v>16</v>
      </c>
      <c r="H112" s="429"/>
    </row>
    <row r="113" spans="1:8" ht="15.75" thickBot="1">
      <c r="A113" s="791"/>
      <c r="B113" s="456" t="str">
        <f>CONCATENATE('TYPE1-AbutMENT Drawing'!M33/1000,"x",'TYPE1-AbutMENT Drawing'!W30/1000,"x 24 =")</f>
        <v>8.05x1x 24 =</v>
      </c>
      <c r="C113" s="793"/>
      <c r="D113" s="789"/>
      <c r="E113" s="789"/>
      <c r="F113" s="789"/>
      <c r="G113" s="789"/>
      <c r="H113" s="429"/>
    </row>
    <row r="114" spans="1:8" ht="15">
      <c r="A114" s="790" t="s">
        <v>913</v>
      </c>
      <c r="B114" s="455" t="s">
        <v>914</v>
      </c>
      <c r="C114" s="792">
        <f>ROUNDUP('TYPE1-AbutMENT Drawing'!K23*'TYPE1-AbutMENT Drawing'!O32*24/1000000,2)</f>
        <v>54.94</v>
      </c>
      <c r="D114" s="788" t="s">
        <v>16</v>
      </c>
      <c r="E114" s="788">
        <f>ROUNDUP(('TYPE1-AbutMENT Drawing'!S32+'TYPE1-AbutMENT Drawing'!O32/2)/1000,2)</f>
        <v>3.03</v>
      </c>
      <c r="F114" s="788">
        <f>C114*E114</f>
        <v>166.4682</v>
      </c>
      <c r="G114" s="788" t="s">
        <v>16</v>
      </c>
      <c r="H114" s="429"/>
    </row>
    <row r="115" spans="1:8" ht="15.75" thickBot="1">
      <c r="A115" s="791"/>
      <c r="B115" s="456" t="str">
        <f>CONCATENATE('TYPE1-AbutMENT Drawing'!K23/1000,"x",'TYPE1-AbutMENT Drawing'!O32/1000,"x 24 =")</f>
        <v>2.18000000000001x1.05x 24 =</v>
      </c>
      <c r="C115" s="793"/>
      <c r="D115" s="789"/>
      <c r="E115" s="789"/>
      <c r="F115" s="789"/>
      <c r="G115" s="789"/>
      <c r="H115" s="429"/>
    </row>
    <row r="116" spans="1:8" ht="15">
      <c r="A116" s="790" t="s">
        <v>915</v>
      </c>
      <c r="B116" s="455" t="s">
        <v>916</v>
      </c>
      <c r="C116" s="792">
        <f>ROUNDUP('TYPE1-AbutMENT Drawing'!J20*'TYPE1-AbutMENT Drawing'!O32*24/1000000,2)</f>
        <v>30.24</v>
      </c>
      <c r="D116" s="788" t="s">
        <v>16</v>
      </c>
      <c r="E116" s="788" t="s">
        <v>917</v>
      </c>
      <c r="F116" s="788">
        <f>C116*E116</f>
        <v>50.803199999999997</v>
      </c>
      <c r="G116" s="788" t="s">
        <v>16</v>
      </c>
      <c r="H116" s="429"/>
    </row>
    <row r="117" spans="1:8" ht="15.75" thickBot="1">
      <c r="A117" s="791"/>
      <c r="B117" s="456" t="str">
        <f>CONCATENATE('TYPE1-AbutMENT Drawing'!J20/1000,"x",'TYPE1-AbutMENT Drawing'!O32/1000,"x 24 =")</f>
        <v>1.2x1.05x 24 =</v>
      </c>
      <c r="C117" s="793"/>
      <c r="D117" s="789"/>
      <c r="E117" s="789"/>
      <c r="F117" s="789"/>
      <c r="G117" s="789"/>
      <c r="H117" s="429"/>
    </row>
    <row r="118" spans="1:8" ht="15">
      <c r="A118" s="790" t="s">
        <v>918</v>
      </c>
      <c r="B118" s="455" t="s">
        <v>919</v>
      </c>
      <c r="C118" s="792">
        <f>ROUNDUP('TYPE1-AbutMENT Drawing'!K17*'TYPE1-AbutMENT Drawing'!M13*24/1000000,2)</f>
        <v>3.24</v>
      </c>
      <c r="D118" s="788" t="s">
        <v>16</v>
      </c>
      <c r="E118" s="788" t="s">
        <v>920</v>
      </c>
      <c r="F118" s="788">
        <f>C118*E118</f>
        <v>6.6419999999999995</v>
      </c>
      <c r="G118" s="788" t="s">
        <v>16</v>
      </c>
      <c r="H118" s="429"/>
    </row>
    <row r="119" spans="1:8" ht="15.75" thickBot="1">
      <c r="A119" s="791"/>
      <c r="B119" s="456" t="str">
        <f>CONCATENATE('TYPE1-AbutMENT Drawing'!M13/1000,"x",'TYPE1-AbutMENT Drawing'!K17/1000,"x 24 =")</f>
        <v>0.3x0.45x 24 =</v>
      </c>
      <c r="C119" s="793"/>
      <c r="D119" s="789"/>
      <c r="E119" s="789"/>
      <c r="F119" s="789"/>
      <c r="G119" s="789"/>
      <c r="H119" s="429"/>
    </row>
    <row r="120" spans="1:8" ht="15">
      <c r="A120" s="790" t="s">
        <v>918</v>
      </c>
      <c r="B120" s="455" t="s">
        <v>921</v>
      </c>
      <c r="C120" s="792">
        <f>0.5*24*('TYPE1-AbutMENT Drawing'!$G$8-500)/1000*('TYPE1-AbutMENT Drawing'!$G$6-'TYPE1-AbutMENT Drawing'!$G$10-'TYPE1-AbutMENT Drawing'!$G$12)/1000</f>
        <v>63.120000000000239</v>
      </c>
      <c r="D120" s="788" t="s">
        <v>16</v>
      </c>
      <c r="E120" s="792">
        <f>0.5+(2/3*('TYPE1-AbutMENT Drawing'!$G$8/1000-0.5))</f>
        <v>1.8333333333333333</v>
      </c>
      <c r="F120" s="788">
        <f>C120*E120</f>
        <v>115.72000000000044</v>
      </c>
      <c r="G120" s="788" t="s">
        <v>16</v>
      </c>
      <c r="H120" s="429"/>
    </row>
    <row r="121" spans="1:8" ht="15.75" thickBot="1">
      <c r="A121" s="791"/>
      <c r="B121" s="456" t="str">
        <f>CONCATENATE("1/2x",('TYPE1-AbutMENT Drawing'!$G$8-500)/1000,"x",('TYPE1-AbutMENT Drawing'!$G$6-'TYPE1-AbutMENT Drawing'!$G$12-'TYPE1-AbutMENT Drawing'!$G10)/1000,"x",24,"=")</f>
        <v>1/2x2x2.63000000000001x24=</v>
      </c>
      <c r="C121" s="793"/>
      <c r="D121" s="789"/>
      <c r="E121" s="793"/>
      <c r="F121" s="789"/>
      <c r="G121" s="789"/>
      <c r="H121" s="429"/>
    </row>
    <row r="122" spans="1:8" ht="15">
      <c r="A122" s="790" t="s">
        <v>918</v>
      </c>
      <c r="B122" s="455" t="s">
        <v>922</v>
      </c>
      <c r="C122" s="792">
        <f>0.5*24*('TYPE1-AbutMENT Drawing'!$G$7-500)/1000*('TYPE1-AbutMENT Drawing'!$G$6-'TYPE1-AbutMENT Drawing'!$G$10-'TYPE1-AbutMENT Drawing'!$G$12)/1000</f>
        <v>126.24000000000048</v>
      </c>
      <c r="D122" s="788" t="s">
        <v>16</v>
      </c>
      <c r="E122" s="792">
        <f>'TYPE1-AbutMENT Drawing'!$M$33/1000-0.5-(2/3*('TYPE1-AbutMENT Drawing'!$G$7/1000-0.5))</f>
        <v>4.8833333333333346</v>
      </c>
      <c r="F122" s="788">
        <f>C122*E122</f>
        <v>616.47200000000248</v>
      </c>
      <c r="G122" s="788" t="s">
        <v>16</v>
      </c>
      <c r="H122" s="429"/>
    </row>
    <row r="123" spans="1:8" ht="15.75" thickBot="1">
      <c r="A123" s="791"/>
      <c r="B123" s="456" t="str">
        <f>CONCATENATE("1/2x",('TYPE1-AbutMENT Drawing'!$G$7-500)/1000,"x",('TYPE1-AbutMENT Drawing'!$G$6-'TYPE1-AbutMENT Drawing'!$G$12-'TYPE1-AbutMENT Drawing'!$G12)/1000,"x",24,"=")</f>
        <v>1/2x4x2.83000000000001x24=</v>
      </c>
      <c r="C123" s="793"/>
      <c r="D123" s="789"/>
      <c r="E123" s="793"/>
      <c r="F123" s="789"/>
      <c r="G123" s="789"/>
      <c r="H123" s="429"/>
    </row>
    <row r="124" spans="1:8" ht="30">
      <c r="A124" s="790" t="s">
        <v>923</v>
      </c>
      <c r="B124" s="455" t="s">
        <v>924</v>
      </c>
      <c r="C124" s="788">
        <f>ROUNDUP((0.5*('TYPE1-AbutMENT Drawing'!$B$21-'TYPE1-AbutMENT Drawing'!$W$30)/1000* $E$9),2)</f>
        <v>34.479999999999997</v>
      </c>
      <c r="D124" s="788" t="s">
        <v>16</v>
      </c>
      <c r="E124" s="788">
        <f>'TYPE1-AbutMENT Drawing'!$M$33/1000-0.25</f>
        <v>7.8000000000000007</v>
      </c>
      <c r="F124" s="788">
        <f>C124*E124</f>
        <v>268.94400000000002</v>
      </c>
      <c r="G124" s="788" t="s">
        <v>16</v>
      </c>
      <c r="H124" s="429"/>
    </row>
    <row r="125" spans="1:8" ht="15.75" thickBot="1">
      <c r="A125" s="791"/>
      <c r="B125" s="456" t="str">
        <f>CONCATENATE(0.5," x ",('TYPE1-AbutMENT Drawing'!B21-'TYPE1-AbutMENT Drawing'!W30)/1000," x ", E9,"=")</f>
        <v>0.5 x 3.83000000000001 x 18=</v>
      </c>
      <c r="C125" s="789"/>
      <c r="D125" s="789"/>
      <c r="E125" s="789"/>
      <c r="F125" s="789"/>
      <c r="G125" s="789"/>
      <c r="H125" s="429"/>
    </row>
    <row r="126" spans="1:8" ht="30">
      <c r="A126" s="790" t="s">
        <v>923</v>
      </c>
      <c r="B126" s="455" t="s">
        <v>925</v>
      </c>
      <c r="C126" s="792">
        <f>0.5*18*('TYPE1-AbutMENT Drawing'!$G$7-500)/1000*('TYPE1-AbutMENT Drawing'!$G$6-'TYPE1-AbutMENT Drawing'!$G$10-'TYPE1-AbutMENT Drawing'!$G$12)/1000</f>
        <v>94.680000000000362</v>
      </c>
      <c r="D126" s="788" t="s">
        <v>16</v>
      </c>
      <c r="E126" s="792">
        <f>'TYPE1-AbutMENT Drawing'!$M$33/1000-0.5-(1/3*('TYPE1-AbutMENT Drawing'!$G$7/1000-0.5))</f>
        <v>6.2166666666666677</v>
      </c>
      <c r="F126" s="788">
        <f>C126*E126</f>
        <v>588.59400000000232</v>
      </c>
      <c r="G126" s="788" t="s">
        <v>16</v>
      </c>
      <c r="H126" s="429"/>
    </row>
    <row r="127" spans="1:8" ht="15.75" thickBot="1">
      <c r="A127" s="791"/>
      <c r="B127" s="456" t="str">
        <f>CONCATENATE("1/2x",('TYPE1-AbutMENT Drawing'!$G$7-500)/1000,"x",('TYPE1-AbutMENT Drawing'!$G$6-'TYPE1-AbutMENT Drawing'!$G$12-'TYPE1-AbutMENT Drawing'!$G15)/1000,"x",18,"=")</f>
        <v>1/2x4x3.83000000000001x18=</v>
      </c>
      <c r="C127" s="793"/>
      <c r="D127" s="789"/>
      <c r="E127" s="793"/>
      <c r="F127" s="789"/>
      <c r="G127" s="789"/>
      <c r="H127" s="429"/>
    </row>
    <row r="128" spans="1:8" ht="15.75">
      <c r="A128" s="790" t="s">
        <v>926</v>
      </c>
      <c r="B128" s="457" t="s">
        <v>927</v>
      </c>
      <c r="C128" s="794">
        <f>ROUNDUP(SUM(C106:C127),3)</f>
        <v>907.58699999999999</v>
      </c>
      <c r="D128" s="794"/>
      <c r="E128" s="794"/>
      <c r="F128" s="794">
        <f>ROUNDUP(SUM(F106:F127),3)</f>
        <v>3855.154</v>
      </c>
      <c r="G128" s="794">
        <f>ROUNDUP(SUM(G106:G127),3)</f>
        <v>419.06399999999996</v>
      </c>
      <c r="H128" s="429"/>
    </row>
    <row r="129" spans="1:8" ht="16.5" thickBot="1">
      <c r="A129" s="791"/>
      <c r="B129" s="458" t="s">
        <v>928</v>
      </c>
      <c r="C129" s="795"/>
      <c r="D129" s="795"/>
      <c r="E129" s="795"/>
      <c r="F129" s="795"/>
      <c r="G129" s="795"/>
      <c r="H129" s="429"/>
    </row>
    <row r="130" spans="1:8" ht="15">
      <c r="A130" s="790" t="s">
        <v>929</v>
      </c>
      <c r="B130" s="455" t="s">
        <v>930</v>
      </c>
      <c r="C130" s="792">
        <f>D14</f>
        <v>93.841231822070142</v>
      </c>
      <c r="D130" s="788" t="s">
        <v>16</v>
      </c>
      <c r="E130" s="788">
        <f>('TYPE1-AbutMENT Drawing'!S32+('TYPE1-AbutMENT Drawing'!O32-'TYPE1-AbutMENT Drawing'!M13)/2)/1000</f>
        <v>2.875</v>
      </c>
      <c r="F130" s="788">
        <f>C130*E130</f>
        <v>269.79354148845164</v>
      </c>
      <c r="G130" s="788" t="s">
        <v>16</v>
      </c>
      <c r="H130" s="429"/>
    </row>
    <row r="131" spans="1:8" ht="15.75" thickBot="1">
      <c r="A131" s="791"/>
      <c r="B131" s="452" t="s">
        <v>931</v>
      </c>
      <c r="C131" s="793"/>
      <c r="D131" s="789"/>
      <c r="E131" s="789"/>
      <c r="F131" s="789"/>
      <c r="G131" s="789"/>
      <c r="H131" s="429"/>
    </row>
    <row r="132" spans="1:8" ht="16.5" thickBot="1">
      <c r="A132" s="451" t="s">
        <v>932</v>
      </c>
      <c r="B132" s="452" t="s">
        <v>933</v>
      </c>
      <c r="C132" s="453">
        <f>E39</f>
        <v>2.6126126126126121</v>
      </c>
      <c r="D132" s="450" t="s">
        <v>16</v>
      </c>
      <c r="E132" s="450">
        <f>E106</f>
        <v>2.88</v>
      </c>
      <c r="F132" s="797">
        <f>C132*E132</f>
        <v>7.524324324324323</v>
      </c>
      <c r="G132" s="450" t="s">
        <v>16</v>
      </c>
      <c r="H132" s="429"/>
    </row>
    <row r="133" spans="1:8" ht="16.5" thickBot="1">
      <c r="A133" s="451" t="s">
        <v>934</v>
      </c>
      <c r="B133" s="452" t="s">
        <v>935</v>
      </c>
      <c r="C133" s="453">
        <v>0</v>
      </c>
      <c r="D133" s="453">
        <f>G24</f>
        <v>11.91</v>
      </c>
      <c r="E133" s="453">
        <f>ROUNDUP(('TYPE1-AbutMENT Drawing'!$B$21-'TYPE1-AbutMENT Drawing'!$K$17)/1000,2)</f>
        <v>4.3899999999999997</v>
      </c>
      <c r="F133" s="798"/>
      <c r="G133" s="450">
        <f>D133*E133</f>
        <v>52.284899999999993</v>
      </c>
      <c r="H133" s="429"/>
    </row>
    <row r="134" spans="1:8" ht="15.75">
      <c r="A134" s="790" t="s">
        <v>936</v>
      </c>
      <c r="B134" s="457" t="s">
        <v>937</v>
      </c>
      <c r="C134" s="794">
        <f>ROUNDUP(SUM(C128:C133),3)</f>
        <v>1004.0409999999999</v>
      </c>
      <c r="D134" s="794">
        <f>SUM(D106:D133)</f>
        <v>194.40030034325</v>
      </c>
      <c r="E134" s="799" t="s">
        <v>16</v>
      </c>
      <c r="F134" s="794">
        <f>ROUNDUP(SUM(F128:F133),3)</f>
        <v>4132.4719999999998</v>
      </c>
      <c r="G134" s="794">
        <f>ROUNDUP(SUM(G128:G133),3)</f>
        <v>471.34899999999999</v>
      </c>
      <c r="H134" s="429"/>
    </row>
    <row r="135" spans="1:8" ht="16.5" thickBot="1">
      <c r="A135" s="791"/>
      <c r="B135" s="458" t="s">
        <v>938</v>
      </c>
      <c r="C135" s="796"/>
      <c r="D135" s="796"/>
      <c r="E135" s="796"/>
      <c r="F135" s="796"/>
      <c r="G135" s="796"/>
      <c r="H135" s="429"/>
    </row>
    <row r="136" spans="1:8" ht="15.75">
      <c r="A136" s="245"/>
      <c r="B136" s="429" t="s">
        <v>939</v>
      </c>
      <c r="C136" s="382">
        <f>F134</f>
        <v>4132.4719999999998</v>
      </c>
      <c r="D136" s="435" t="s">
        <v>16</v>
      </c>
      <c r="E136" s="382">
        <f>G134</f>
        <v>471.34899999999999</v>
      </c>
      <c r="F136" s="435" t="s">
        <v>2</v>
      </c>
      <c r="G136" s="382">
        <f>C136-E136</f>
        <v>3661.1229999999996</v>
      </c>
      <c r="H136" s="429"/>
    </row>
    <row r="137" spans="1:8" ht="15.75">
      <c r="A137" s="245"/>
      <c r="B137" s="429"/>
      <c r="C137" s="429"/>
      <c r="D137" s="429"/>
      <c r="E137" s="429"/>
      <c r="F137" s="429"/>
      <c r="G137" s="429"/>
      <c r="H137" s="429"/>
    </row>
    <row r="138" spans="1:8" ht="15">
      <c r="B138" s="173" t="s">
        <v>940</v>
      </c>
      <c r="C138" s="429">
        <f>F100</f>
        <v>160.06</v>
      </c>
      <c r="D138" s="429" t="s">
        <v>941</v>
      </c>
      <c r="E138" s="459">
        <f>'STABILITY CHECK FOR PIER'!E17*10</f>
        <v>200</v>
      </c>
      <c r="F138" s="429" t="s">
        <v>942</v>
      </c>
      <c r="G138" s="429"/>
      <c r="H138" s="429"/>
    </row>
    <row r="139" spans="1:8" ht="15">
      <c r="B139" s="173" t="s">
        <v>943</v>
      </c>
      <c r="C139" s="429">
        <f>F101</f>
        <v>89.4</v>
      </c>
      <c r="D139" s="429" t="s">
        <v>944</v>
      </c>
      <c r="E139" s="429"/>
      <c r="F139" s="429"/>
      <c r="G139" s="429"/>
      <c r="H139" s="429"/>
    </row>
    <row r="140" spans="1:8" ht="15.75">
      <c r="A140" s="245" t="s">
        <v>945</v>
      </c>
      <c r="B140" s="431"/>
      <c r="C140" s="429"/>
      <c r="D140" s="429"/>
      <c r="E140" s="429"/>
      <c r="F140" s="429"/>
      <c r="G140" s="429"/>
      <c r="H140" s="429"/>
    </row>
    <row r="141" spans="1:8" ht="15">
      <c r="B141" s="173" t="s">
        <v>946</v>
      </c>
      <c r="C141" s="429"/>
      <c r="D141" s="429"/>
      <c r="E141" s="429"/>
      <c r="F141" s="429"/>
      <c r="G141" s="429"/>
      <c r="H141" s="429"/>
    </row>
    <row r="142" spans="1:8" ht="15">
      <c r="B142" s="173" t="s">
        <v>947</v>
      </c>
      <c r="C142" s="382">
        <f>D134</f>
        <v>194.40030034325</v>
      </c>
      <c r="D142" s="429" t="s">
        <v>948</v>
      </c>
      <c r="E142" s="429"/>
      <c r="F142" s="429"/>
      <c r="G142" s="429"/>
      <c r="H142" s="429"/>
    </row>
    <row r="143" spans="1:8" ht="15">
      <c r="B143" s="173" t="s">
        <v>949</v>
      </c>
      <c r="C143" s="429">
        <v>0.6</v>
      </c>
      <c r="D143" s="435" t="s">
        <v>154</v>
      </c>
      <c r="E143" s="382">
        <f>C134</f>
        <v>1004.0409999999999</v>
      </c>
      <c r="F143" s="435" t="s">
        <v>335</v>
      </c>
      <c r="G143" s="429">
        <f>ROUNDUP(C143*E143,2)</f>
        <v>602.42999999999995</v>
      </c>
      <c r="H143" s="429" t="s">
        <v>10</v>
      </c>
    </row>
    <row r="144" spans="1:8" ht="15">
      <c r="B144" s="173" t="s">
        <v>950</v>
      </c>
      <c r="C144" s="429">
        <f>G143</f>
        <v>602.42999999999995</v>
      </c>
      <c r="D144" s="435" t="s">
        <v>951</v>
      </c>
      <c r="E144" s="382">
        <f>C142</f>
        <v>194.40030034325</v>
      </c>
      <c r="F144" s="435" t="s">
        <v>335</v>
      </c>
      <c r="G144" s="83">
        <f>ROUND(C144/E144,2)</f>
        <v>3.1</v>
      </c>
      <c r="H144" s="429"/>
    </row>
    <row r="145" spans="1:8" ht="15.75">
      <c r="A145" s="245" t="s">
        <v>952</v>
      </c>
      <c r="B145" s="429"/>
      <c r="C145" s="429"/>
      <c r="D145" s="429"/>
      <c r="E145" s="429"/>
      <c r="F145" s="429"/>
      <c r="G145" s="460" t="s">
        <v>877</v>
      </c>
      <c r="H145" s="429"/>
    </row>
    <row r="146" spans="1:8" ht="15">
      <c r="B146" s="172" t="s">
        <v>953</v>
      </c>
      <c r="C146" s="429"/>
      <c r="D146" s="429"/>
      <c r="E146" s="429"/>
      <c r="F146" s="429"/>
      <c r="G146" s="429"/>
      <c r="H146" s="429"/>
    </row>
    <row r="147" spans="1:8" ht="15.75">
      <c r="A147" s="245"/>
      <c r="B147" s="429"/>
      <c r="C147" s="429"/>
      <c r="D147" s="429"/>
      <c r="E147" s="429"/>
      <c r="F147" s="429"/>
      <c r="G147" s="429"/>
      <c r="H147" s="429"/>
    </row>
    <row r="148" spans="1:8" ht="15.75">
      <c r="A148" s="245"/>
      <c r="B148" s="429"/>
      <c r="C148" s="429"/>
      <c r="D148" s="429"/>
      <c r="E148" s="429"/>
      <c r="F148" s="429"/>
      <c r="G148" s="429"/>
      <c r="H148" s="429"/>
    </row>
    <row r="149" spans="1:8" ht="15.75">
      <c r="A149" s="245"/>
      <c r="B149" s="429"/>
      <c r="C149" s="429"/>
      <c r="D149" s="429"/>
      <c r="E149" s="429"/>
      <c r="F149" s="429"/>
      <c r="G149" s="429"/>
      <c r="H149" s="429"/>
    </row>
    <row r="150" spans="1:8" ht="15.75">
      <c r="A150" s="245"/>
      <c r="B150" s="429"/>
      <c r="C150" s="429"/>
      <c r="D150" s="429"/>
      <c r="E150" s="429"/>
      <c r="F150" s="429"/>
      <c r="G150" s="429"/>
      <c r="H150" s="429"/>
    </row>
    <row r="151" spans="1:8">
      <c r="B151" s="429"/>
      <c r="C151" s="429"/>
      <c r="D151" s="429"/>
      <c r="E151" s="429"/>
      <c r="F151" s="429"/>
      <c r="G151" s="429"/>
      <c r="H151" s="429"/>
    </row>
    <row r="152" spans="1:8">
      <c r="B152" s="429"/>
      <c r="C152" s="429"/>
      <c r="D152" s="429"/>
      <c r="E152" s="429"/>
      <c r="F152" s="429"/>
      <c r="G152" s="429"/>
      <c r="H152" s="429"/>
    </row>
    <row r="153" spans="1:8">
      <c r="B153" s="429"/>
      <c r="C153" s="429"/>
      <c r="D153" s="429"/>
      <c r="E153" s="429"/>
      <c r="F153" s="429"/>
      <c r="G153" s="429"/>
      <c r="H153" s="429"/>
    </row>
    <row r="154" spans="1:8">
      <c r="B154" s="429"/>
      <c r="C154" s="429"/>
      <c r="D154" s="429"/>
      <c r="E154" s="429"/>
      <c r="F154" s="429"/>
      <c r="G154" s="429"/>
      <c r="H154" s="429"/>
    </row>
    <row r="155" spans="1:8">
      <c r="B155" s="429"/>
      <c r="C155" s="429"/>
      <c r="D155" s="429"/>
      <c r="E155" s="429"/>
      <c r="F155" s="429"/>
      <c r="G155" s="429"/>
      <c r="H155" s="429"/>
    </row>
    <row r="156" spans="1:8">
      <c r="B156" s="429"/>
      <c r="C156" s="429"/>
      <c r="D156" s="429"/>
      <c r="E156" s="429"/>
      <c r="F156" s="429"/>
      <c r="G156" s="429"/>
      <c r="H156" s="429"/>
    </row>
    <row r="157" spans="1:8">
      <c r="B157" s="429"/>
      <c r="C157" s="429"/>
      <c r="D157" s="429"/>
      <c r="E157" s="429"/>
      <c r="F157" s="429"/>
      <c r="G157" s="429"/>
      <c r="H157" s="429"/>
    </row>
    <row r="158" spans="1:8">
      <c r="B158" s="429"/>
      <c r="C158" s="429"/>
      <c r="D158" s="429"/>
      <c r="E158" s="429"/>
      <c r="F158" s="429"/>
      <c r="G158" s="429"/>
      <c r="H158" s="429"/>
    </row>
    <row r="159" spans="1:8">
      <c r="B159" s="429"/>
      <c r="C159" s="429"/>
      <c r="D159" s="429"/>
      <c r="E159" s="429"/>
      <c r="F159" s="429"/>
      <c r="G159" s="429"/>
      <c r="H159" s="429"/>
    </row>
    <row r="160" spans="1:8">
      <c r="B160" s="429"/>
      <c r="C160" s="429"/>
      <c r="D160" s="429"/>
      <c r="E160" s="429"/>
      <c r="F160" s="429"/>
      <c r="G160" s="429"/>
      <c r="H160" s="429"/>
    </row>
    <row r="161" spans="2:8">
      <c r="B161" s="429"/>
      <c r="C161" s="429"/>
      <c r="D161" s="429"/>
      <c r="E161" s="429"/>
      <c r="F161" s="429"/>
      <c r="G161" s="429"/>
      <c r="H161" s="429"/>
    </row>
  </sheetData>
  <mergeCells count="84">
    <mergeCell ref="G134:G135"/>
    <mergeCell ref="F132:F133"/>
    <mergeCell ref="A134:A135"/>
    <mergeCell ref="C134:C135"/>
    <mergeCell ref="D134:D135"/>
    <mergeCell ref="E134:E135"/>
    <mergeCell ref="F134:F135"/>
    <mergeCell ref="A130:A131"/>
    <mergeCell ref="C130:C131"/>
    <mergeCell ref="D130:D131"/>
    <mergeCell ref="E130:E131"/>
    <mergeCell ref="F130:F131"/>
    <mergeCell ref="G130:G131"/>
    <mergeCell ref="A128:A129"/>
    <mergeCell ref="C128:C129"/>
    <mergeCell ref="D128:D129"/>
    <mergeCell ref="E128:E129"/>
    <mergeCell ref="F128:F129"/>
    <mergeCell ref="G128:G129"/>
    <mergeCell ref="A126:A127"/>
    <mergeCell ref="C126:C127"/>
    <mergeCell ref="D126:D127"/>
    <mergeCell ref="E126:E127"/>
    <mergeCell ref="F126:F127"/>
    <mergeCell ref="G126:G127"/>
    <mergeCell ref="A124:A125"/>
    <mergeCell ref="C124:C125"/>
    <mergeCell ref="D124:D125"/>
    <mergeCell ref="E124:E125"/>
    <mergeCell ref="F124:F125"/>
    <mergeCell ref="G124:G125"/>
    <mergeCell ref="A122:A123"/>
    <mergeCell ref="C122:C123"/>
    <mergeCell ref="D122:D123"/>
    <mergeCell ref="E122:E123"/>
    <mergeCell ref="F122:F123"/>
    <mergeCell ref="G122:G123"/>
    <mergeCell ref="A120:A121"/>
    <mergeCell ref="C120:C121"/>
    <mergeCell ref="D120:D121"/>
    <mergeCell ref="E120:E121"/>
    <mergeCell ref="F120:F121"/>
    <mergeCell ref="G120:G121"/>
    <mergeCell ref="A118:A119"/>
    <mergeCell ref="C118:C119"/>
    <mergeCell ref="D118:D119"/>
    <mergeCell ref="E118:E119"/>
    <mergeCell ref="F118:F119"/>
    <mergeCell ref="G118:G119"/>
    <mergeCell ref="A116:A117"/>
    <mergeCell ref="C116:C117"/>
    <mergeCell ref="D116:D117"/>
    <mergeCell ref="E116:E117"/>
    <mergeCell ref="F116:F117"/>
    <mergeCell ref="G116:G117"/>
    <mergeCell ref="A114:A115"/>
    <mergeCell ref="C114:C115"/>
    <mergeCell ref="D114:D115"/>
    <mergeCell ref="E114:E115"/>
    <mergeCell ref="F114:F115"/>
    <mergeCell ref="G114:G115"/>
    <mergeCell ref="G110:G111"/>
    <mergeCell ref="A112:A113"/>
    <mergeCell ref="C112:C113"/>
    <mergeCell ref="D112:D113"/>
    <mergeCell ref="E112:E113"/>
    <mergeCell ref="F112:F113"/>
    <mergeCell ref="G112:G113"/>
    <mergeCell ref="B103:B105"/>
    <mergeCell ref="C103:D103"/>
    <mergeCell ref="E103:G103"/>
    <mergeCell ref="C104:C105"/>
    <mergeCell ref="D104:D105"/>
    <mergeCell ref="A110:A111"/>
    <mergeCell ref="C110:C111"/>
    <mergeCell ref="D110:D111"/>
    <mergeCell ref="E110:E111"/>
    <mergeCell ref="F110:F111"/>
    <mergeCell ref="A1:H1"/>
    <mergeCell ref="C9:D9"/>
    <mergeCell ref="B15:H15"/>
    <mergeCell ref="B16:H16"/>
    <mergeCell ref="B18:H18"/>
    <mergeCell ref="A102:G102"/>
  </mergeCells>
  <pageMargins left="0.75" right="0.75" top="1" bottom="1" header="0.5" footer="0.5"/>
  <pageSetup paperSize="9" scale="94" fitToHeight="28" orientation="landscape" verticalDpi="1200" r:id="rId1"/>
  <headerFooter>
    <oddFooter>&amp;L&amp;P/{&amp;N}&amp;C&amp;F&amp;R&amp;A</oddFooter>
  </headerFooter>
  <rowBreaks count="1" manualBreakCount="1">
    <brk id="101"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9"/>
  <sheetViews>
    <sheetView topLeftCell="A7" zoomScaleNormal="100" zoomScaleSheetLayoutView="100" workbookViewId="0">
      <selection sqref="A1:N1"/>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c r="A1" s="724" t="s">
        <v>954</v>
      </c>
      <c r="B1" s="724"/>
      <c r="C1" s="724"/>
      <c r="D1" s="724"/>
      <c r="E1" s="724"/>
      <c r="F1" s="724"/>
      <c r="G1" s="724"/>
      <c r="H1" s="724"/>
      <c r="I1" s="724"/>
      <c r="J1" s="724"/>
      <c r="K1" s="724"/>
      <c r="L1" s="724"/>
      <c r="M1" s="724"/>
      <c r="N1" s="724"/>
    </row>
    <row r="2" spans="1:14">
      <c r="A2" s="83" t="str">
        <f>'TYPE1-STABILITY CHECK ABUTMENT'!A2</f>
        <v>Name Of Work :- Construction of Submersible Bridge on ON KHERWARA - JAWAS - SUVERI ROAD IN KM 9/000, ACROSS RIVER SOM</v>
      </c>
      <c r="B2" s="13"/>
      <c r="C2" s="13"/>
      <c r="D2" s="13"/>
      <c r="E2" s="13"/>
      <c r="F2" s="13"/>
      <c r="G2" s="13"/>
      <c r="H2" s="13"/>
      <c r="I2" s="13"/>
      <c r="J2" s="13"/>
      <c r="K2" s="13"/>
      <c r="L2" s="13"/>
      <c r="M2" s="13"/>
      <c r="N2" s="13"/>
    </row>
    <row r="3" spans="1:14">
      <c r="A3" s="1" t="s">
        <v>955</v>
      </c>
    </row>
    <row r="4" spans="1:14">
      <c r="A4" s="1" t="s">
        <v>356</v>
      </c>
      <c r="B4" s="2"/>
      <c r="C4" s="19"/>
      <c r="E4"/>
    </row>
    <row r="5" spans="1:14" ht="15.75">
      <c r="A5" s="1"/>
      <c r="B5" s="6" t="s">
        <v>357</v>
      </c>
      <c r="C5" t="s">
        <v>412</v>
      </c>
      <c r="D5" s="2">
        <f>15+'TYPE1-AbutMENT Drawing'!K7/1000+'TYPE1-AbutMENT Drawing'!K8/1000</f>
        <v>17</v>
      </c>
      <c r="E5" s="7" t="s">
        <v>0</v>
      </c>
    </row>
    <row r="6" spans="1:14" ht="15.75">
      <c r="A6" s="1"/>
      <c r="B6" s="6" t="s">
        <v>358</v>
      </c>
      <c r="C6" t="s">
        <v>413</v>
      </c>
      <c r="D6" s="2">
        <f>'TYPE1- Abut Footing STRESS'!D18</f>
        <v>8.0500000000000007</v>
      </c>
      <c r="E6" s="7" t="s">
        <v>0</v>
      </c>
    </row>
    <row r="7" spans="1:14">
      <c r="A7" s="1"/>
      <c r="B7" s="6" t="s">
        <v>956</v>
      </c>
      <c r="D7" s="2">
        <f>D6-('TYPE1-AbutMENT Drawing'!K7+'TYPE1-AbutMENT Drawing'!K8)/1000</f>
        <v>6.0500000000000007</v>
      </c>
      <c r="E7" s="7" t="s">
        <v>0</v>
      </c>
    </row>
    <row r="8" spans="1:14">
      <c r="A8" s="1"/>
      <c r="B8" s="6" t="s">
        <v>360</v>
      </c>
      <c r="C8" t="s">
        <v>44</v>
      </c>
      <c r="D8" s="2">
        <f>'TYPE1-STABILITY CHECK ABUTMENT'!C134</f>
        <v>1004.0409999999999</v>
      </c>
      <c r="E8" s="7" t="s">
        <v>10</v>
      </c>
    </row>
    <row r="9" spans="1:14" ht="15.75">
      <c r="A9" s="1"/>
      <c r="B9" s="6" t="s">
        <v>361</v>
      </c>
      <c r="C9" s="19" t="s">
        <v>414</v>
      </c>
      <c r="D9" s="2">
        <f>'TYPE1-STABILITY CHECK ABUTMENT'!G136</f>
        <v>3661.1229999999996</v>
      </c>
      <c r="E9" s="7" t="s">
        <v>5</v>
      </c>
    </row>
    <row r="10" spans="1:14" ht="15.75">
      <c r="B10" s="6" t="s">
        <v>362</v>
      </c>
      <c r="C10" t="s">
        <v>415</v>
      </c>
      <c r="D10" s="2">
        <v>0</v>
      </c>
      <c r="E10" s="7" t="s">
        <v>5</v>
      </c>
    </row>
    <row r="11" spans="1:14" ht="15.75" hidden="1">
      <c r="A11" s="1"/>
      <c r="B11" s="7" t="s">
        <v>416</v>
      </c>
      <c r="C11" s="19" t="s">
        <v>417</v>
      </c>
      <c r="D11" s="2">
        <f>D9/D8</f>
        <v>3.6463879463089652</v>
      </c>
      <c r="E11" s="7" t="s">
        <v>0</v>
      </c>
    </row>
    <row r="12" spans="1:14" ht="15.75" hidden="1">
      <c r="B12" s="7" t="s">
        <v>418</v>
      </c>
      <c r="C12" s="19" t="s">
        <v>419</v>
      </c>
      <c r="D12" s="2">
        <f>D10/D8</f>
        <v>0</v>
      </c>
      <c r="E12" s="7" t="s">
        <v>0</v>
      </c>
    </row>
    <row r="13" spans="1:14" ht="15.75" hidden="1">
      <c r="B13" s="47" t="s">
        <v>420</v>
      </c>
      <c r="C13" s="2"/>
      <c r="D13" s="2">
        <f>D11/D5</f>
        <v>0.21449340860640972</v>
      </c>
      <c r="E13" s="800" t="s">
        <v>363</v>
      </c>
      <c r="F13" s="800"/>
      <c r="G13" s="800"/>
    </row>
    <row r="14" spans="1:14" ht="15.75" hidden="1">
      <c r="B14" s="47" t="s">
        <v>421</v>
      </c>
      <c r="C14" s="2"/>
      <c r="D14" s="2">
        <f>D12/D6</f>
        <v>0</v>
      </c>
      <c r="E14" s="800"/>
      <c r="F14" s="800"/>
      <c r="G14" s="800"/>
    </row>
    <row r="15" spans="1:14" ht="12.75" hidden="1" customHeight="1">
      <c r="B15" s="47" t="s">
        <v>364</v>
      </c>
      <c r="C15" s="2"/>
      <c r="D15" s="185">
        <v>1</v>
      </c>
      <c r="E15" s="800"/>
      <c r="F15" s="800"/>
      <c r="G15" s="800"/>
    </row>
    <row r="16" spans="1:14" hidden="1">
      <c r="B16" s="47" t="s">
        <v>365</v>
      </c>
      <c r="C16" s="2"/>
      <c r="D16" s="186">
        <v>0</v>
      </c>
      <c r="E16" s="800"/>
      <c r="F16" s="800"/>
      <c r="G16" s="800"/>
    </row>
    <row r="17" spans="1:8" ht="15.75">
      <c r="B17" s="403" t="s">
        <v>422</v>
      </c>
      <c r="C17" s="403"/>
      <c r="D17" s="187"/>
      <c r="E17" s="461">
        <f>D6*D16</f>
        <v>0</v>
      </c>
      <c r="F17" s="42" t="s">
        <v>423</v>
      </c>
      <c r="G17" s="462">
        <f>E17/D6*100</f>
        <v>0</v>
      </c>
      <c r="H17" s="19" t="s">
        <v>27</v>
      </c>
    </row>
    <row r="18" spans="1:8" ht="14.25">
      <c r="A18" s="1"/>
      <c r="B18" s="6" t="s">
        <v>366</v>
      </c>
      <c r="C18" s="6"/>
      <c r="E18" s="461">
        <f>'TYPE1-STABILITY CHECK ABUTMENT'!F100</f>
        <v>160.06</v>
      </c>
      <c r="F18" s="42" t="s">
        <v>108</v>
      </c>
    </row>
    <row r="19" spans="1:8" ht="14.25">
      <c r="A19" s="1"/>
      <c r="B19" s="6" t="s">
        <v>367</v>
      </c>
      <c r="C19" s="6"/>
      <c r="E19" s="461">
        <f>E18*D15</f>
        <v>160.06</v>
      </c>
      <c r="F19" s="42" t="s">
        <v>108</v>
      </c>
    </row>
    <row r="20" spans="1:8" s="402" customFormat="1" ht="14.25">
      <c r="B20" s="403" t="s">
        <v>368</v>
      </c>
      <c r="C20" s="403"/>
      <c r="D20" s="187"/>
      <c r="E20" s="461">
        <f>E19</f>
        <v>160.06</v>
      </c>
      <c r="F20" s="42" t="s">
        <v>108</v>
      </c>
    </row>
    <row r="21" spans="1:8" s="402" customFormat="1" ht="15" customHeight="1">
      <c r="B21" s="403" t="s">
        <v>369</v>
      </c>
      <c r="C21" s="403"/>
      <c r="D21" s="187"/>
      <c r="E21" s="463">
        <f>'TYPE1- Abut Footing STRESS'!F8</f>
        <v>1</v>
      </c>
      <c r="F21" s="464" t="s">
        <v>0</v>
      </c>
    </row>
    <row r="22" spans="1:8" s="402" customFormat="1" ht="14.25">
      <c r="B22" s="403" t="s">
        <v>370</v>
      </c>
      <c r="C22" s="403"/>
      <c r="D22" s="187"/>
      <c r="E22" s="461">
        <f>(D6-E17-E21)*E20/(D6-E17)</f>
        <v>140.17677018633543</v>
      </c>
      <c r="F22" s="42" t="s">
        <v>108</v>
      </c>
    </row>
    <row r="23" spans="1:8" s="402" customFormat="1" ht="14.25">
      <c r="B23" s="403" t="s">
        <v>371</v>
      </c>
      <c r="C23" s="403"/>
      <c r="D23" s="187"/>
      <c r="E23" s="461">
        <f>(E20+E22)/2</f>
        <v>150.11838509316772</v>
      </c>
      <c r="F23" s="42" t="s">
        <v>108</v>
      </c>
    </row>
    <row r="24" spans="1:8" s="402" customFormat="1" ht="14.25">
      <c r="B24" s="403" t="s">
        <v>372</v>
      </c>
      <c r="C24" s="403"/>
      <c r="D24" s="187"/>
      <c r="E24" s="461">
        <f>E21*1</f>
        <v>1</v>
      </c>
      <c r="F24" s="42" t="s">
        <v>423</v>
      </c>
    </row>
    <row r="25" spans="1:8" s="402" customFormat="1" ht="25.5">
      <c r="B25" s="403" t="s">
        <v>373</v>
      </c>
      <c r="C25" s="403"/>
      <c r="D25" s="187"/>
      <c r="E25" s="461">
        <f>E21/3*(E22+2*E20)/(E20+E22)</f>
        <v>0.51103752759381893</v>
      </c>
      <c r="F25" s="464" t="s">
        <v>0</v>
      </c>
    </row>
    <row r="26" spans="1:8" s="402" customFormat="1">
      <c r="B26" s="403" t="s">
        <v>374</v>
      </c>
      <c r="C26" s="403"/>
      <c r="D26" s="187"/>
      <c r="E26" s="189">
        <f>E23*E24*E25</f>
        <v>76.716128364389235</v>
      </c>
      <c r="F26" s="42" t="s">
        <v>5</v>
      </c>
    </row>
    <row r="27" spans="1:8" s="402" customFormat="1">
      <c r="B27" s="465" t="s">
        <v>375</v>
      </c>
      <c r="C27" s="89"/>
      <c r="D27" s="89"/>
      <c r="E27" s="466" t="s">
        <v>467</v>
      </c>
      <c r="F27" s="89"/>
      <c r="G27" s="1"/>
      <c r="H27" s="1"/>
    </row>
    <row r="28" spans="1:8" s="402" customFormat="1">
      <c r="B28" s="465" t="s">
        <v>424</v>
      </c>
      <c r="C28" s="89"/>
      <c r="D28" s="89"/>
      <c r="E28" s="466">
        <v>10</v>
      </c>
      <c r="F28" s="17" t="s">
        <v>252</v>
      </c>
      <c r="G28" s="1"/>
      <c r="H28" s="1"/>
    </row>
    <row r="29" spans="1:8" s="402" customFormat="1">
      <c r="B29" s="465" t="s">
        <v>0</v>
      </c>
      <c r="C29" s="89"/>
      <c r="D29" s="89"/>
      <c r="E29" s="467">
        <f>280/(3*E28)</f>
        <v>9.3333333333333339</v>
      </c>
      <c r="F29" s="89"/>
      <c r="G29" s="1"/>
      <c r="H29" s="1"/>
    </row>
    <row r="30" spans="1:8" s="402" customFormat="1">
      <c r="B30" s="195" t="s">
        <v>376</v>
      </c>
      <c r="C30" s="89"/>
      <c r="D30" s="89"/>
      <c r="E30" s="466">
        <v>200</v>
      </c>
      <c r="F30" s="89"/>
      <c r="G30" s="1"/>
      <c r="H30" s="1"/>
    </row>
    <row r="31" spans="1:8" s="402" customFormat="1">
      <c r="B31" s="465" t="s">
        <v>377</v>
      </c>
      <c r="C31" s="17"/>
      <c r="D31" s="17"/>
      <c r="E31" s="196">
        <f>(E29*E28)/(E28*E29+E30)</f>
        <v>0.31818181818181818</v>
      </c>
      <c r="F31" s="17"/>
      <c r="G31"/>
      <c r="H31"/>
    </row>
    <row r="32" spans="1:8" s="402" customFormat="1">
      <c r="B32" s="465" t="s">
        <v>378</v>
      </c>
      <c r="C32" s="17"/>
      <c r="D32" s="17"/>
      <c r="E32" s="196">
        <f>1-(E31/3)</f>
        <v>0.89393939393939392</v>
      </c>
      <c r="F32" s="17"/>
      <c r="G32"/>
      <c r="H32"/>
    </row>
    <row r="33" spans="2:10" s="402" customFormat="1">
      <c r="B33" s="89" t="s">
        <v>18</v>
      </c>
      <c r="C33" s="17"/>
      <c r="D33" s="17"/>
      <c r="E33" s="196">
        <f>0.5*E28*E32*E31</f>
        <v>1.4221763085399448</v>
      </c>
      <c r="F33" s="17"/>
      <c r="G33"/>
      <c r="H33"/>
    </row>
    <row r="34" spans="2:10" s="402" customFormat="1">
      <c r="B34" s="89" t="s">
        <v>379</v>
      </c>
      <c r="C34" s="17"/>
      <c r="D34" s="17"/>
      <c r="E34" s="197">
        <f>SQRT((E26*1000*1000)/(E33*1000))</f>
        <v>232.25582703938719</v>
      </c>
      <c r="F34" s="17" t="s">
        <v>1</v>
      </c>
      <c r="G34"/>
      <c r="H34"/>
    </row>
    <row r="35" spans="2:10" s="402" customFormat="1">
      <c r="B35" s="89" t="s">
        <v>380</v>
      </c>
      <c r="C35" s="17"/>
      <c r="D35" s="17"/>
      <c r="E35" s="197">
        <v>1000</v>
      </c>
      <c r="F35" s="17" t="s">
        <v>1</v>
      </c>
      <c r="G35"/>
      <c r="H35"/>
    </row>
    <row r="36" spans="2:10" s="402" customFormat="1">
      <c r="B36" s="121" t="s">
        <v>381</v>
      </c>
      <c r="C36" s="20"/>
      <c r="D36" s="20"/>
      <c r="E36" s="197">
        <v>50</v>
      </c>
      <c r="F36" s="17" t="s">
        <v>1</v>
      </c>
    </row>
    <row r="37" spans="2:10" s="402" customFormat="1">
      <c r="B37" s="121" t="s">
        <v>382</v>
      </c>
      <c r="C37" s="20"/>
      <c r="D37" s="20"/>
      <c r="E37" s="198">
        <v>16</v>
      </c>
      <c r="F37" s="17" t="s">
        <v>1</v>
      </c>
    </row>
    <row r="38" spans="2:10" s="402" customFormat="1">
      <c r="B38" s="121" t="s">
        <v>427</v>
      </c>
      <c r="C38" s="20"/>
      <c r="D38" s="20"/>
      <c r="E38" s="197">
        <f>E35-E36-E37/2</f>
        <v>942</v>
      </c>
      <c r="F38" s="17" t="s">
        <v>1</v>
      </c>
    </row>
    <row r="39" spans="2:10" s="402" customFormat="1">
      <c r="B39" s="89" t="s">
        <v>383</v>
      </c>
      <c r="C39" s="17"/>
      <c r="D39" s="17"/>
      <c r="E39" s="85">
        <f>IF(E34&gt;E38,E34,E38)</f>
        <v>942</v>
      </c>
      <c r="F39" s="17" t="s">
        <v>1</v>
      </c>
    </row>
    <row r="40" spans="2:10" s="402" customFormat="1" ht="14.25">
      <c r="B40" s="89" t="s">
        <v>384</v>
      </c>
      <c r="C40" s="17"/>
      <c r="D40" s="17"/>
      <c r="E40" s="197">
        <f>(E26*1000*1000)/(E30*E32*E39)</f>
        <v>455.50977653475206</v>
      </c>
      <c r="F40" s="17" t="s">
        <v>9</v>
      </c>
    </row>
    <row r="41" spans="2:10" s="402" customFormat="1" ht="14.25">
      <c r="B41" s="89" t="s">
        <v>385</v>
      </c>
      <c r="C41" s="17"/>
      <c r="D41" s="17"/>
      <c r="E41" s="197">
        <f>3.14*E37*E37/4</f>
        <v>200.96</v>
      </c>
      <c r="F41" s="17" t="s">
        <v>9</v>
      </c>
    </row>
    <row r="42" spans="2:10" s="402" customFormat="1">
      <c r="B42" s="465" t="s">
        <v>386</v>
      </c>
      <c r="C42" s="17"/>
      <c r="D42" s="17"/>
      <c r="E42" s="197">
        <f>(E41*1000)/E40</f>
        <v>441.17604133282134</v>
      </c>
      <c r="F42" s="17" t="s">
        <v>1</v>
      </c>
    </row>
    <row r="43" spans="2:10" s="402" customFormat="1">
      <c r="B43" s="89" t="s">
        <v>387</v>
      </c>
      <c r="C43" s="468">
        <f>E37</f>
        <v>16</v>
      </c>
      <c r="D43" s="17" t="s">
        <v>1</v>
      </c>
      <c r="E43" s="410">
        <v>150</v>
      </c>
      <c r="F43" s="17" t="s">
        <v>1</v>
      </c>
      <c r="G43" s="203" t="s">
        <v>957</v>
      </c>
    </row>
    <row r="44" spans="2:10" s="402" customFormat="1" ht="14.25">
      <c r="B44" s="89" t="s">
        <v>388</v>
      </c>
      <c r="C44" s="17"/>
      <c r="D44" s="17"/>
      <c r="E44" s="197">
        <f>(0.2*1000*E39)/100</f>
        <v>1884</v>
      </c>
      <c r="F44" s="17" t="s">
        <v>9</v>
      </c>
    </row>
    <row r="45" spans="2:10" s="402" customFormat="1" ht="21" customHeight="1">
      <c r="B45" s="89" t="s">
        <v>389</v>
      </c>
      <c r="C45" s="17"/>
      <c r="D45" s="17"/>
      <c r="E45" s="85">
        <v>20</v>
      </c>
      <c r="F45" s="17" t="s">
        <v>1</v>
      </c>
      <c r="G45" s="201"/>
      <c r="H45" s="201"/>
      <c r="I45" s="201"/>
      <c r="J45" s="201"/>
    </row>
    <row r="46" spans="2:10" s="402" customFormat="1" ht="14.25">
      <c r="B46" s="89" t="s">
        <v>390</v>
      </c>
      <c r="C46" s="17"/>
      <c r="D46" s="17"/>
      <c r="E46" s="85">
        <f>3.14*E45*E45/4</f>
        <v>314</v>
      </c>
      <c r="F46" s="17" t="s">
        <v>9</v>
      </c>
      <c r="G46" s="201"/>
      <c r="H46" s="201"/>
      <c r="I46" s="201"/>
      <c r="J46" s="201"/>
    </row>
    <row r="47" spans="2:10" s="402" customFormat="1">
      <c r="B47" s="121" t="s">
        <v>391</v>
      </c>
      <c r="C47" s="121"/>
      <c r="D47" s="121"/>
      <c r="E47" s="197">
        <f>(E46*1000)/E44</f>
        <v>166.66666666666666</v>
      </c>
      <c r="F47" s="17" t="s">
        <v>1</v>
      </c>
      <c r="G47" s="201"/>
      <c r="H47" s="201"/>
      <c r="I47" s="201"/>
      <c r="J47" s="201"/>
    </row>
    <row r="48" spans="2:10" s="402" customFormat="1">
      <c r="B48" s="89" t="s">
        <v>387</v>
      </c>
      <c r="C48" s="17">
        <v>16</v>
      </c>
      <c r="D48" s="17" t="s">
        <v>1</v>
      </c>
      <c r="E48" s="85">
        <f>ROUNDDOWN(E47,-1)</f>
        <v>160</v>
      </c>
      <c r="F48" s="17" t="s">
        <v>1</v>
      </c>
      <c r="G48" s="203" t="s">
        <v>957</v>
      </c>
      <c r="H48" s="201"/>
      <c r="I48" s="201"/>
      <c r="J48" s="201"/>
    </row>
    <row r="49" spans="1:14">
      <c r="C49" s="19"/>
      <c r="D49" s="3"/>
    </row>
    <row r="50" spans="1:14" ht="25.5">
      <c r="B50" s="465" t="s">
        <v>392</v>
      </c>
      <c r="C50">
        <v>12</v>
      </c>
      <c r="D50" t="s">
        <v>1</v>
      </c>
      <c r="E50" s="7">
        <v>150</v>
      </c>
      <c r="F50" t="s">
        <v>1</v>
      </c>
    </row>
    <row r="51" spans="1:14" ht="25.5">
      <c r="B51" s="465" t="s">
        <v>393</v>
      </c>
      <c r="C51">
        <v>12</v>
      </c>
      <c r="D51" t="s">
        <v>1</v>
      </c>
      <c r="E51" s="7">
        <v>150</v>
      </c>
      <c r="F51" t="s">
        <v>1</v>
      </c>
    </row>
    <row r="52" spans="1:14" ht="14.25">
      <c r="A52" s="1" t="s">
        <v>394</v>
      </c>
      <c r="C52" t="s">
        <v>395</v>
      </c>
      <c r="D52" s="2"/>
      <c r="H52" s="88"/>
      <c r="M52" s="88"/>
    </row>
    <row r="53" spans="1:14">
      <c r="B53" t="s">
        <v>396</v>
      </c>
      <c r="C53" s="19"/>
      <c r="D53" s="87"/>
      <c r="E53" s="7">
        <f>E39</f>
        <v>942</v>
      </c>
      <c r="F53" t="s">
        <v>1</v>
      </c>
    </row>
    <row r="54" spans="1:14">
      <c r="B54" s="17" t="s">
        <v>397</v>
      </c>
      <c r="C54" s="17"/>
      <c r="D54" s="17"/>
      <c r="E54" s="202">
        <f>E21-E53/1000</f>
        <v>5.8000000000000052E-2</v>
      </c>
      <c r="F54" s="17" t="s">
        <v>0</v>
      </c>
      <c r="G54" s="17"/>
      <c r="H54" s="17"/>
      <c r="I54" s="17"/>
      <c r="J54" s="17"/>
      <c r="K54" s="17"/>
      <c r="L54" s="17"/>
      <c r="M54" s="17"/>
      <c r="N54" s="17"/>
    </row>
    <row r="55" spans="1:14" s="402" customFormat="1" ht="14.25">
      <c r="B55" s="403" t="s">
        <v>368</v>
      </c>
      <c r="C55" s="403"/>
      <c r="D55" s="187"/>
      <c r="E55" s="461">
        <f>E20</f>
        <v>160.06</v>
      </c>
      <c r="F55" s="42" t="s">
        <v>108</v>
      </c>
    </row>
    <row r="56" spans="1:14" s="402" customFormat="1" ht="14.25">
      <c r="B56" s="403" t="s">
        <v>398</v>
      </c>
      <c r="C56" s="403"/>
      <c r="D56" s="187"/>
      <c r="E56" s="461">
        <f>E55/('[7]STRESS DIAGRAM'!D18-'[7]STRESS DIAGRAM'!B21)*(-'TYPE1-ABUTMENT FOOTING DESIGN'!E54+'[7]STRESS DIAGRAM'!D18-'[7]STRESS DIAGRAM'!B21)</f>
        <v>157.48125555555555</v>
      </c>
      <c r="F56" s="42" t="s">
        <v>108</v>
      </c>
    </row>
    <row r="57" spans="1:14" s="402" customFormat="1" ht="14.25">
      <c r="B57" s="403" t="s">
        <v>371</v>
      </c>
      <c r="C57" s="403"/>
      <c r="D57" s="187"/>
      <c r="E57" s="461">
        <f>(E55+E56)/2</f>
        <v>158.77062777777778</v>
      </c>
      <c r="F57" s="42" t="s">
        <v>108</v>
      </c>
    </row>
    <row r="58" spans="1:14">
      <c r="B58" s="17" t="s">
        <v>399</v>
      </c>
      <c r="C58" s="17"/>
      <c r="D58" s="17"/>
      <c r="E58" s="202">
        <f>E57*E54</f>
        <v>9.20869641111112</v>
      </c>
      <c r="F58" s="17" t="s">
        <v>10</v>
      </c>
      <c r="G58" s="17"/>
      <c r="H58" s="17"/>
      <c r="I58" s="17"/>
      <c r="J58" s="17"/>
      <c r="K58" s="17"/>
      <c r="L58" s="17"/>
    </row>
    <row r="59" spans="1:14">
      <c r="B59" s="403" t="s">
        <v>400</v>
      </c>
      <c r="C59" t="s">
        <v>401</v>
      </c>
      <c r="D59" s="2"/>
      <c r="E59" s="5"/>
      <c r="F59" s="2"/>
      <c r="G59" s="2"/>
      <c r="H59" s="2"/>
      <c r="I59" s="2"/>
    </row>
    <row r="60" spans="1:14" ht="14.25">
      <c r="B60" s="403" t="s">
        <v>402</v>
      </c>
      <c r="D60" s="3"/>
      <c r="E60" s="47">
        <f>E58*1000/E53/1000</f>
        <v>9.7756862113706159E-3</v>
      </c>
      <c r="F60" s="42" t="s">
        <v>425</v>
      </c>
      <c r="G60" s="3"/>
      <c r="H60" s="3"/>
      <c r="I60" s="2"/>
      <c r="K60" s="2"/>
      <c r="L60" s="2"/>
      <c r="M60" s="2"/>
      <c r="N60" s="2"/>
    </row>
    <row r="61" spans="1:14">
      <c r="B61" s="403" t="s">
        <v>403</v>
      </c>
      <c r="C61" t="s">
        <v>404</v>
      </c>
      <c r="D61" s="2"/>
      <c r="E61" s="47">
        <f>100*E41*(1000/E43)/(1000*E39)</f>
        <v>0.14222222222222222</v>
      </c>
    </row>
    <row r="62" spans="1:14" ht="14.25">
      <c r="B62" s="403" t="s">
        <v>405</v>
      </c>
      <c r="D62" s="3"/>
      <c r="E62" s="47">
        <v>0.23</v>
      </c>
      <c r="F62" s="42" t="s">
        <v>425</v>
      </c>
      <c r="I62" s="88"/>
      <c r="J62" s="2"/>
      <c r="N62" s="88"/>
    </row>
    <row r="63" spans="1:14">
      <c r="B63" s="403" t="s">
        <v>406</v>
      </c>
      <c r="D63" s="87"/>
    </row>
    <row r="64" spans="1:14" ht="14.25">
      <c r="B64" s="403" t="s">
        <v>407</v>
      </c>
      <c r="C64" s="19"/>
      <c r="D64" s="87"/>
      <c r="E64" s="47">
        <f>E62</f>
        <v>0.23</v>
      </c>
      <c r="F64" s="42" t="s">
        <v>425</v>
      </c>
      <c r="G64" s="2"/>
      <c r="H64" s="2"/>
      <c r="I64" s="2"/>
      <c r="J64" s="2"/>
      <c r="K64" s="2"/>
      <c r="L64" s="2"/>
      <c r="M64" s="2"/>
    </row>
    <row r="65" spans="2:12" ht="26.25" customHeight="1">
      <c r="B65" s="17"/>
      <c r="C65" s="17"/>
      <c r="D65" s="706" t="s">
        <v>408</v>
      </c>
      <c r="E65" s="706"/>
      <c r="F65" s="706"/>
      <c r="G65" s="706"/>
      <c r="H65" s="17"/>
      <c r="I65" s="17"/>
      <c r="J65" s="17"/>
      <c r="K65" s="17"/>
      <c r="L65" s="17"/>
    </row>
    <row r="66" spans="2:12" s="402" customFormat="1" ht="21" customHeight="1">
      <c r="B66" s="89" t="s">
        <v>409</v>
      </c>
      <c r="C66" s="17"/>
      <c r="D66" s="17"/>
      <c r="E66" s="85">
        <v>16</v>
      </c>
      <c r="F66" s="17" t="s">
        <v>1</v>
      </c>
      <c r="G66" s="201"/>
      <c r="H66" s="201"/>
      <c r="I66" s="201"/>
      <c r="J66" s="201"/>
    </row>
    <row r="67" spans="2:12" s="402" customFormat="1" ht="14.25">
      <c r="B67" s="89" t="s">
        <v>390</v>
      </c>
      <c r="C67" s="17"/>
      <c r="D67" s="17"/>
      <c r="E67" s="197">
        <f>3.14*E66*E66/4</f>
        <v>200.96</v>
      </c>
      <c r="F67" s="17" t="s">
        <v>9</v>
      </c>
      <c r="G67" s="201"/>
      <c r="H67" s="201"/>
      <c r="I67" s="201"/>
      <c r="J67" s="201"/>
    </row>
    <row r="68" spans="2:12" s="402" customFormat="1">
      <c r="B68" s="121" t="s">
        <v>410</v>
      </c>
      <c r="C68" s="121"/>
      <c r="D68" s="121"/>
      <c r="E68" s="197">
        <f>2*E67*E30*E39/(E58*1000)</f>
        <v>8222.849860555174</v>
      </c>
      <c r="F68" s="17" t="s">
        <v>1</v>
      </c>
      <c r="G68" s="201"/>
      <c r="H68" s="201"/>
      <c r="I68" s="201"/>
      <c r="J68" s="201"/>
    </row>
    <row r="69" spans="2:12" s="402" customFormat="1">
      <c r="B69" s="89" t="s">
        <v>387</v>
      </c>
      <c r="C69" s="17">
        <f>E66</f>
        <v>16</v>
      </c>
      <c r="D69" s="17" t="s">
        <v>1</v>
      </c>
      <c r="E69" s="85">
        <v>150</v>
      </c>
      <c r="F69" s="17" t="s">
        <v>1</v>
      </c>
      <c r="G69" s="1" t="s">
        <v>957</v>
      </c>
      <c r="H69" s="201"/>
      <c r="I69" s="201"/>
      <c r="J69" s="201"/>
    </row>
  </sheetData>
  <mergeCells count="3">
    <mergeCell ref="A1:N1"/>
    <mergeCell ref="E13:G16"/>
    <mergeCell ref="D65:G65"/>
  </mergeCells>
  <pageMargins left="0.75" right="0.75" top="1" bottom="1" header="0.5" footer="0.5"/>
  <pageSetup paperSize="9" firstPageNumber="46" fitToHeight="28" orientation="landscape" verticalDpi="300" r:id="rId1"/>
  <headerFooter>
    <oddFooter>&amp;L&amp;P/{&amp;N}&amp;C&amp;F&amp;R&amp;A</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zoomScaleNormal="100" workbookViewId="0"/>
  </sheetViews>
  <sheetFormatPr defaultRowHeight="12.75"/>
  <cols>
    <col min="1" max="1" width="11.85546875" customWidth="1"/>
    <col min="2" max="2" width="8.42578125" customWidth="1"/>
  </cols>
  <sheetData>
    <row r="1" spans="2:7">
      <c r="E1" s="41">
        <f>D18-1</f>
        <v>7.0500000000000007</v>
      </c>
      <c r="F1" t="s">
        <v>0</v>
      </c>
    </row>
    <row r="8" spans="2:7">
      <c r="B8" s="41">
        <f>'TYPE1-AbutMENT Drawing'!K7/1000</f>
        <v>1</v>
      </c>
      <c r="C8" t="s">
        <v>0</v>
      </c>
      <c r="F8" s="41">
        <f>'TYPE1-AbutMENT Drawing'!K8/1000</f>
        <v>1</v>
      </c>
      <c r="G8" t="s">
        <v>0</v>
      </c>
    </row>
    <row r="18" spans="1:9">
      <c r="D18" s="41">
        <f>'TYPE1-AbutMENT Drawing'!M33/1000</f>
        <v>8.0500000000000007</v>
      </c>
      <c r="E18" t="s">
        <v>0</v>
      </c>
    </row>
    <row r="21" spans="1:9">
      <c r="B21" s="2">
        <v>258.56357441323684</v>
      </c>
      <c r="C21" t="s">
        <v>0</v>
      </c>
      <c r="D21" s="41"/>
    </row>
    <row r="22" spans="1:9">
      <c r="I22" s="2"/>
    </row>
    <row r="25" spans="1:9">
      <c r="E25" s="2">
        <f>'TYPE1-ABUTMENT FOOTING DESIGN'!E56</f>
        <v>157.48125555555555</v>
      </c>
    </row>
    <row r="26" spans="1:9" ht="14.25">
      <c r="E26" s="48" t="s">
        <v>108</v>
      </c>
      <c r="G26" s="2">
        <f>'TYPE1-ABUTMENT FOOTING DESIGN'!E55</f>
        <v>160.06</v>
      </c>
      <c r="H26" s="42" t="s">
        <v>108</v>
      </c>
    </row>
    <row r="29" spans="1:9">
      <c r="D29" s="1" t="s">
        <v>426</v>
      </c>
    </row>
    <row r="31" spans="1:9">
      <c r="A31" s="724" t="s">
        <v>954</v>
      </c>
      <c r="B31" s="724"/>
      <c r="C31" s="724"/>
      <c r="D31" s="724"/>
      <c r="E31" s="724"/>
      <c r="F31" s="724"/>
    </row>
  </sheetData>
  <mergeCells count="1">
    <mergeCell ref="A31:F31"/>
  </mergeCells>
  <pageMargins left="0.75" right="0.75" top="1" bottom="1" header="0.5" footer="0.5"/>
  <pageSetup paperSize="9" firstPageNumber="49" fitToHeight="28" orientation="landscape" r:id="rId1"/>
  <headerFooter>
    <oddFooter>&amp;L&amp;P/{&amp;N}&amp;C&amp;F&amp;R&amp;A</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6"/>
  <sheetViews>
    <sheetView workbookViewId="0">
      <selection sqref="A1:D1"/>
    </sheetView>
  </sheetViews>
  <sheetFormatPr defaultRowHeight="12.75"/>
  <cols>
    <col min="1" max="1" width="6.7109375" customWidth="1"/>
    <col min="2" max="2" width="61" bestFit="1" customWidth="1"/>
    <col min="3" max="3" width="3" bestFit="1" customWidth="1"/>
    <col min="4" max="4" width="9.85546875" bestFit="1" customWidth="1"/>
    <col min="5" max="5" width="12.42578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2.85546875" bestFit="1" customWidth="1"/>
  </cols>
  <sheetData>
    <row r="1" spans="1:15" ht="30" customHeight="1">
      <c r="A1" s="728" t="s">
        <v>958</v>
      </c>
      <c r="B1" s="728"/>
      <c r="C1" s="728"/>
      <c r="D1" s="728"/>
      <c r="E1" s="465"/>
      <c r="F1" s="465"/>
      <c r="G1" s="465"/>
      <c r="H1" s="465"/>
      <c r="I1" s="465"/>
      <c r="J1" s="465"/>
      <c r="K1" s="465"/>
      <c r="L1" s="465"/>
      <c r="M1" s="465"/>
      <c r="N1" s="465"/>
      <c r="O1" s="465"/>
    </row>
    <row r="2" spans="1:15" ht="30" customHeight="1">
      <c r="A2" s="728" t="str">
        <f>'TYPE1-STABILITY CHECK ABUTMENT'!A2</f>
        <v>Name Of Work :- Construction of Submersible Bridge on ON KHERWARA - JAWAS - SUVERI ROAD IN KM 9/000, ACROSS RIVER SOM</v>
      </c>
      <c r="B2" s="728"/>
      <c r="C2" s="728"/>
      <c r="D2" s="728"/>
      <c r="E2" s="728"/>
      <c r="F2" s="728"/>
      <c r="G2" s="728"/>
      <c r="H2" s="728"/>
      <c r="I2" s="728"/>
      <c r="J2" s="728"/>
      <c r="K2" s="728"/>
      <c r="L2" s="728"/>
      <c r="M2" s="728"/>
      <c r="N2" s="728"/>
      <c r="O2" s="465"/>
    </row>
    <row r="3" spans="1:15">
      <c r="A3" s="1" t="s">
        <v>740</v>
      </c>
    </row>
    <row r="4" spans="1:15">
      <c r="A4" s="1" t="s">
        <v>741</v>
      </c>
    </row>
    <row r="5" spans="1:15" s="402" customFormat="1" ht="14.25">
      <c r="B5" s="1" t="s">
        <v>959</v>
      </c>
      <c r="C5" s="17"/>
      <c r="D5" s="17"/>
      <c r="E5" s="197">
        <v>250</v>
      </c>
      <c r="F5" s="17" t="s">
        <v>9</v>
      </c>
    </row>
    <row r="6" spans="1:15" s="402" customFormat="1" ht="14.25">
      <c r="B6" s="89" t="s">
        <v>385</v>
      </c>
      <c r="C6" s="17">
        <v>12</v>
      </c>
      <c r="D6" s="17" t="s">
        <v>960</v>
      </c>
      <c r="E6" s="197">
        <f>3.14*C6*C6/4</f>
        <v>113.03999999999999</v>
      </c>
      <c r="F6" s="17" t="s">
        <v>9</v>
      </c>
    </row>
    <row r="7" spans="1:15" s="402" customFormat="1">
      <c r="B7" s="465" t="s">
        <v>386</v>
      </c>
      <c r="C7" s="17"/>
      <c r="D7" s="17"/>
      <c r="E7" s="197">
        <f>(E6*1000)/E5</f>
        <v>452.15999999999997</v>
      </c>
      <c r="F7" s="17" t="s">
        <v>1</v>
      </c>
    </row>
    <row r="8" spans="1:15" s="402" customFormat="1">
      <c r="B8" s="89" t="s">
        <v>387</v>
      </c>
      <c r="C8" s="200">
        <f>C6</f>
        <v>12</v>
      </c>
      <c r="D8" s="17" t="s">
        <v>1</v>
      </c>
      <c r="E8" s="410">
        <v>125</v>
      </c>
      <c r="F8" s="17" t="s">
        <v>1</v>
      </c>
    </row>
    <row r="9" spans="1:15">
      <c r="B9" s="465" t="s">
        <v>387</v>
      </c>
      <c r="C9" s="3">
        <f>C8</f>
        <v>12</v>
      </c>
      <c r="D9" t="s">
        <v>1</v>
      </c>
      <c r="E9" s="411">
        <v>125</v>
      </c>
      <c r="F9" t="s">
        <v>1</v>
      </c>
    </row>
    <row r="10" spans="1:15">
      <c r="B10" s="1" t="s">
        <v>961</v>
      </c>
      <c r="D10" s="15">
        <v>12</v>
      </c>
      <c r="E10" s="145" t="s">
        <v>165</v>
      </c>
      <c r="F10" s="15">
        <f>E8</f>
        <v>125</v>
      </c>
      <c r="G10" s="15" t="s">
        <v>12</v>
      </c>
      <c r="H10" s="203" t="s">
        <v>962</v>
      </c>
      <c r="I10" s="1"/>
      <c r="J10" s="38"/>
    </row>
    <row r="11" spans="1:15">
      <c r="B11" s="1" t="s">
        <v>963</v>
      </c>
      <c r="D11" s="15">
        <v>12</v>
      </c>
      <c r="E11" s="145" t="s">
        <v>165</v>
      </c>
      <c r="F11" s="15">
        <f>F10</f>
        <v>125</v>
      </c>
      <c r="G11" s="15" t="s">
        <v>12</v>
      </c>
      <c r="H11" s="203" t="s">
        <v>964</v>
      </c>
      <c r="I11" s="1"/>
      <c r="J11" s="38"/>
    </row>
    <row r="12" spans="1:15">
      <c r="C12" s="19"/>
      <c r="D12" s="3"/>
    </row>
    <row r="15" spans="1:15">
      <c r="C15" s="19"/>
      <c r="D15" s="2"/>
    </row>
    <row r="16" spans="1:15" ht="14.25">
      <c r="C16" s="19"/>
      <c r="D16" s="2"/>
      <c r="H16" s="88"/>
      <c r="M16" s="88"/>
    </row>
    <row r="17" spans="2:15">
      <c r="C17" s="19"/>
      <c r="D17" s="87"/>
    </row>
    <row r="18" spans="2:15">
      <c r="B18" s="17"/>
      <c r="C18" s="17"/>
      <c r="D18" s="17"/>
      <c r="E18" s="17"/>
      <c r="F18" s="17"/>
      <c r="G18" s="17"/>
      <c r="H18" s="17"/>
      <c r="I18" s="17"/>
      <c r="J18" s="17"/>
      <c r="K18" s="17"/>
      <c r="L18" s="17"/>
      <c r="M18" s="17"/>
      <c r="N18" s="17"/>
      <c r="O18" s="17"/>
    </row>
    <row r="19" spans="2:15">
      <c r="B19" s="17"/>
      <c r="C19" s="17"/>
      <c r="D19" s="17"/>
      <c r="E19" s="17"/>
      <c r="F19" s="17"/>
      <c r="G19" s="17"/>
      <c r="H19" s="17"/>
      <c r="I19" s="17"/>
      <c r="J19" s="17"/>
      <c r="K19" s="17"/>
      <c r="L19" s="17"/>
    </row>
    <row r="20" spans="2:15">
      <c r="D20" s="2"/>
      <c r="E20" s="16"/>
      <c r="F20" s="2"/>
      <c r="G20" s="2"/>
      <c r="H20" s="2"/>
      <c r="I20" s="2"/>
    </row>
    <row r="21" spans="2:15">
      <c r="D21" s="3"/>
      <c r="E21" s="3"/>
      <c r="F21" s="3"/>
      <c r="G21" s="3"/>
      <c r="H21" s="3"/>
      <c r="I21" s="2"/>
      <c r="K21" s="2"/>
      <c r="L21" s="2"/>
      <c r="M21" s="2"/>
      <c r="N21" s="2"/>
      <c r="O21" s="2"/>
    </row>
    <row r="22" spans="2:15">
      <c r="C22" s="19"/>
      <c r="D22" s="87"/>
      <c r="E22" s="2"/>
      <c r="F22" s="2"/>
      <c r="G22" s="2"/>
      <c r="H22" s="2"/>
      <c r="I22" s="2"/>
      <c r="J22" s="2"/>
      <c r="K22" s="2"/>
      <c r="L22" s="2"/>
      <c r="M22" s="2"/>
    </row>
    <row r="23" spans="2:15">
      <c r="D23" s="2"/>
      <c r="E23" s="2"/>
    </row>
    <row r="24" spans="2:15" ht="14.25">
      <c r="D24" s="3"/>
      <c r="E24" s="3"/>
      <c r="F24" s="3"/>
      <c r="I24" s="88"/>
      <c r="J24" s="2"/>
      <c r="O24" s="88"/>
    </row>
    <row r="25" spans="2:15">
      <c r="D25" s="87"/>
    </row>
    <row r="26" spans="2:15">
      <c r="B26" s="17"/>
      <c r="C26" s="17"/>
      <c r="D26" s="17"/>
      <c r="E26" s="17"/>
      <c r="F26" s="17"/>
      <c r="G26" s="17"/>
      <c r="H26" s="17"/>
      <c r="I26" s="17"/>
      <c r="J26" s="17"/>
      <c r="K26" s="17"/>
      <c r="L26" s="17"/>
    </row>
  </sheetData>
  <mergeCells count="2">
    <mergeCell ref="A1:D1"/>
    <mergeCell ref="A2:N2"/>
  </mergeCells>
  <pageMargins left="0.75" right="0.75" top="1" bottom="1" header="0.5" footer="0.5"/>
  <pageSetup paperSize="9" scale="88" firstPageNumber="19" fitToHeight="28" orientation="landscape" verticalDpi="300" r:id="rId1"/>
  <headerFooter>
    <oddFooter>&amp;L&amp;P/{&amp;N}&amp;C&amp;F&amp;R&amp;A</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N110"/>
  <sheetViews>
    <sheetView zoomScaleNormal="100" zoomScaleSheetLayoutView="100" workbookViewId="0">
      <selection activeCell="S46" sqref="S46"/>
    </sheetView>
  </sheetViews>
  <sheetFormatPr defaultRowHeight="12.75"/>
  <cols>
    <col min="2" max="2" width="67.28515625" customWidth="1"/>
    <col min="3" max="3" width="26.85546875" bestFit="1" customWidth="1"/>
    <col min="4" max="4" width="7" bestFit="1" customWidth="1"/>
  </cols>
  <sheetData>
    <row r="1" spans="1:10">
      <c r="A1" s="1"/>
      <c r="B1" s="1" t="s">
        <v>965</v>
      </c>
      <c r="C1" s="1"/>
    </row>
    <row r="2" spans="1:10">
      <c r="A2" s="1" t="str">
        <f>'TYPE1-STABILITY CHECK ABUTMENT'!A2</f>
        <v>Name Of Work :- Construction of Submersible Bridge on ON KHERWARA - JAWAS - SUVERI ROAD IN KM 9/000, ACROSS RIVER SOM</v>
      </c>
      <c r="B2" s="1"/>
      <c r="C2" s="1"/>
    </row>
    <row r="3" spans="1:10">
      <c r="A3" s="1" t="s">
        <v>966</v>
      </c>
    </row>
    <row r="4" spans="1:10">
      <c r="A4" t="s">
        <v>690</v>
      </c>
    </row>
    <row r="5" spans="1:10">
      <c r="A5" t="s">
        <v>691</v>
      </c>
      <c r="C5">
        <v>0.97499999999999998</v>
      </c>
      <c r="D5" t="s">
        <v>154</v>
      </c>
      <c r="E5">
        <v>15</v>
      </c>
      <c r="F5" t="s">
        <v>692</v>
      </c>
      <c r="G5">
        <v>2.4</v>
      </c>
      <c r="H5" s="19" t="s">
        <v>2</v>
      </c>
      <c r="I5" s="16">
        <f>C5*E5*G5</f>
        <v>35.1</v>
      </c>
      <c r="J5" t="s">
        <v>660</v>
      </c>
    </row>
    <row r="6" spans="1:10">
      <c r="A6" t="s">
        <v>693</v>
      </c>
      <c r="C6">
        <v>7.4999999999999997E-2</v>
      </c>
      <c r="D6" t="s">
        <v>154</v>
      </c>
      <c r="E6">
        <v>12</v>
      </c>
      <c r="F6" t="s">
        <v>692</v>
      </c>
      <c r="G6">
        <v>2.4</v>
      </c>
      <c r="H6" s="19" t="s">
        <v>2</v>
      </c>
      <c r="I6" s="16">
        <f>C6*E6*G6</f>
        <v>2.1599999999999997</v>
      </c>
      <c r="J6" t="s">
        <v>660</v>
      </c>
    </row>
    <row r="7" spans="1:10">
      <c r="G7" s="1" t="s">
        <v>41</v>
      </c>
      <c r="H7" s="1"/>
      <c r="I7" s="59">
        <f>SUM(I5:I6)</f>
        <v>37.26</v>
      </c>
      <c r="J7" s="1" t="s">
        <v>660</v>
      </c>
    </row>
    <row r="8" spans="1:10">
      <c r="A8" t="s">
        <v>967</v>
      </c>
      <c r="E8" s="19" t="s">
        <v>2</v>
      </c>
      <c r="F8" s="2"/>
      <c r="G8" s="19"/>
    </row>
    <row r="9" spans="1:10">
      <c r="E9" s="2">
        <f>I7</f>
        <v>37.26</v>
      </c>
      <c r="F9" s="19" t="s">
        <v>8</v>
      </c>
      <c r="G9">
        <v>2</v>
      </c>
      <c r="H9" s="19" t="s">
        <v>2</v>
      </c>
      <c r="I9" s="16">
        <f>E9/G9</f>
        <v>18.63</v>
      </c>
      <c r="J9" t="s">
        <v>660</v>
      </c>
    </row>
    <row r="10" spans="1:10">
      <c r="A10" t="s">
        <v>968</v>
      </c>
    </row>
    <row r="11" spans="1:10">
      <c r="D11" t="s">
        <v>696</v>
      </c>
      <c r="E11" s="2">
        <v>82.5</v>
      </c>
      <c r="F11" s="19" t="s">
        <v>154</v>
      </c>
      <c r="G11">
        <v>1.1375</v>
      </c>
      <c r="H11" s="19" t="s">
        <v>2</v>
      </c>
      <c r="I11" s="2">
        <f>E11*G11</f>
        <v>93.84375</v>
      </c>
      <c r="J11" t="s">
        <v>660</v>
      </c>
    </row>
    <row r="12" spans="1:10">
      <c r="A12" t="s">
        <v>697</v>
      </c>
    </row>
    <row r="13" spans="1:10">
      <c r="A13" t="s">
        <v>698</v>
      </c>
    </row>
    <row r="14" spans="1:10">
      <c r="A14" t="s">
        <v>699</v>
      </c>
      <c r="D14" t="s">
        <v>700</v>
      </c>
      <c r="E14">
        <v>6.6950000000000003</v>
      </c>
      <c r="F14" t="s">
        <v>29</v>
      </c>
    </row>
    <row r="15" spans="1:10">
      <c r="A15" t="s">
        <v>701</v>
      </c>
    </row>
    <row r="16" spans="1:10">
      <c r="A16" t="s">
        <v>969</v>
      </c>
      <c r="D16" t="s">
        <v>696</v>
      </c>
      <c r="E16" s="2">
        <f>I11</f>
        <v>93.84375</v>
      </c>
      <c r="F16" s="19" t="s">
        <v>8</v>
      </c>
      <c r="G16">
        <f>E14</f>
        <v>6.6950000000000003</v>
      </c>
      <c r="H16" s="19" t="s">
        <v>2</v>
      </c>
      <c r="I16" s="2">
        <f>E16/G16</f>
        <v>14.016990291262136</v>
      </c>
      <c r="J16" t="s">
        <v>660</v>
      </c>
    </row>
    <row r="17" spans="1:10">
      <c r="B17" t="s">
        <v>703</v>
      </c>
      <c r="D17" s="105"/>
    </row>
    <row r="18" spans="1:10">
      <c r="A18" t="s">
        <v>704</v>
      </c>
      <c r="D18" s="2">
        <f>I9</f>
        <v>18.63</v>
      </c>
      <c r="E18" s="19" t="s">
        <v>7</v>
      </c>
      <c r="F18" s="2">
        <f>I16</f>
        <v>14.016990291262136</v>
      </c>
      <c r="H18" s="19" t="s">
        <v>2</v>
      </c>
      <c r="I18" s="2">
        <f>D18+F18</f>
        <v>32.646990291262135</v>
      </c>
      <c r="J18" t="s">
        <v>660</v>
      </c>
    </row>
    <row r="19" spans="1:10">
      <c r="A19" t="s">
        <v>970</v>
      </c>
      <c r="I19" t="s">
        <v>706</v>
      </c>
    </row>
    <row r="20" spans="1:10">
      <c r="A20" t="s">
        <v>707</v>
      </c>
      <c r="D20">
        <f>90-2.5-1.25</f>
        <v>86.25</v>
      </c>
      <c r="E20" t="s">
        <v>708</v>
      </c>
    </row>
    <row r="21" spans="1:10">
      <c r="A21" t="s">
        <v>709</v>
      </c>
    </row>
    <row r="22" spans="1:10">
      <c r="A22" t="s">
        <v>710</v>
      </c>
      <c r="D22" s="19" t="s">
        <v>2</v>
      </c>
      <c r="E22">
        <f>71.25-37.5</f>
        <v>33.75</v>
      </c>
      <c r="F22" t="s">
        <v>708</v>
      </c>
      <c r="G22" s="19" t="s">
        <v>2</v>
      </c>
      <c r="H22" s="2">
        <f>E22/100</f>
        <v>0.33750000000000002</v>
      </c>
      <c r="I22" t="s">
        <v>29</v>
      </c>
    </row>
    <row r="23" spans="1:10" ht="28.5" customHeight="1">
      <c r="A23" s="706" t="s">
        <v>711</v>
      </c>
      <c r="B23" s="706"/>
      <c r="C23" s="2">
        <f>I18</f>
        <v>32.646990291262135</v>
      </c>
      <c r="D23" s="19" t="s">
        <v>3</v>
      </c>
      <c r="E23" s="2">
        <f>H22</f>
        <v>0.33750000000000002</v>
      </c>
      <c r="H23" s="2">
        <f>ROUNDUP(C23*E23,2)</f>
        <v>11.02</v>
      </c>
      <c r="I23" t="s">
        <v>712</v>
      </c>
    </row>
    <row r="24" spans="1:10" ht="28.5" customHeight="1">
      <c r="A24" s="392"/>
      <c r="B24" s="401" t="s">
        <v>2</v>
      </c>
      <c r="C24" s="2">
        <f>H23</f>
        <v>11.02</v>
      </c>
      <c r="D24" s="19" t="s">
        <v>3</v>
      </c>
      <c r="E24" s="2">
        <v>10</v>
      </c>
      <c r="F24" s="19" t="s">
        <v>2</v>
      </c>
      <c r="G24" s="1">
        <f>ROUNDUP(C24*10,2)</f>
        <v>110.2</v>
      </c>
      <c r="H24" s="1" t="s">
        <v>713</v>
      </c>
      <c r="I24" s="1"/>
    </row>
    <row r="25" spans="1:10">
      <c r="A25" t="s">
        <v>714</v>
      </c>
    </row>
    <row r="26" spans="1:10" s="402" customFormat="1">
      <c r="B26" s="394" t="s">
        <v>971</v>
      </c>
      <c r="C26" s="403"/>
      <c r="D26" s="187"/>
      <c r="E26" s="189">
        <f>G24</f>
        <v>110.2</v>
      </c>
      <c r="F26" s="42" t="s">
        <v>5</v>
      </c>
    </row>
    <row r="27" spans="1:10" s="402" customFormat="1">
      <c r="B27" s="465" t="s">
        <v>375</v>
      </c>
      <c r="C27" s="89"/>
      <c r="D27" s="89"/>
      <c r="E27" s="466" t="s">
        <v>716</v>
      </c>
      <c r="F27" s="89"/>
      <c r="G27" s="1"/>
      <c r="H27" s="1"/>
    </row>
    <row r="28" spans="1:10" s="402" customFormat="1">
      <c r="B28" s="465" t="s">
        <v>424</v>
      </c>
      <c r="C28" s="89"/>
      <c r="D28" s="89"/>
      <c r="E28" s="466">
        <v>10</v>
      </c>
      <c r="F28" s="17" t="s">
        <v>252</v>
      </c>
      <c r="G28" s="1"/>
      <c r="H28" s="1"/>
    </row>
    <row r="29" spans="1:10" s="402" customFormat="1">
      <c r="B29" s="465" t="s">
        <v>0</v>
      </c>
      <c r="C29" s="89"/>
      <c r="D29" s="89"/>
      <c r="E29" s="467">
        <f>280/(3*E28)</f>
        <v>9.3333333333333339</v>
      </c>
      <c r="F29" s="89"/>
      <c r="G29" s="1"/>
      <c r="H29" s="1"/>
    </row>
    <row r="30" spans="1:10" s="402" customFormat="1">
      <c r="B30" s="195" t="s">
        <v>376</v>
      </c>
      <c r="C30" s="89"/>
      <c r="D30" s="89"/>
      <c r="E30" s="466">
        <v>200</v>
      </c>
      <c r="F30" s="89"/>
      <c r="G30" s="1"/>
      <c r="H30" s="1"/>
    </row>
    <row r="31" spans="1:10" s="402" customFormat="1">
      <c r="B31" s="465" t="s">
        <v>377</v>
      </c>
      <c r="C31" s="17"/>
      <c r="D31" s="17"/>
      <c r="E31" s="196">
        <f>(E29*E28)/(E28*E29+E30)</f>
        <v>0.31818181818181818</v>
      </c>
      <c r="F31" s="17"/>
      <c r="G31"/>
      <c r="H31"/>
    </row>
    <row r="32" spans="1:10" s="402" customFormat="1">
      <c r="B32" s="465" t="s">
        <v>378</v>
      </c>
      <c r="C32" s="17"/>
      <c r="D32" s="17"/>
      <c r="E32" s="196">
        <f>1-(E31/3)</f>
        <v>0.89393939393939392</v>
      </c>
      <c r="F32" s="17"/>
      <c r="G32"/>
      <c r="H32"/>
    </row>
    <row r="33" spans="1:10" s="402" customFormat="1">
      <c r="B33" s="89" t="s">
        <v>18</v>
      </c>
      <c r="C33" s="17"/>
      <c r="D33" s="17"/>
      <c r="E33" s="196">
        <f>0.5*E28*E32*E31</f>
        <v>1.4221763085399448</v>
      </c>
      <c r="F33" s="17"/>
      <c r="G33"/>
      <c r="H33"/>
    </row>
    <row r="34" spans="1:10" s="402" customFormat="1">
      <c r="B34" s="89" t="s">
        <v>379</v>
      </c>
      <c r="C34" s="17"/>
      <c r="D34" s="17"/>
      <c r="E34" s="197">
        <f>SQRT((E26*1000*1000)/(E33*1000))</f>
        <v>278.36464666569498</v>
      </c>
      <c r="F34" s="17" t="s">
        <v>1</v>
      </c>
      <c r="G34"/>
      <c r="H34"/>
    </row>
    <row r="35" spans="1:10" s="402" customFormat="1">
      <c r="B35" s="89" t="s">
        <v>380</v>
      </c>
      <c r="C35" s="17"/>
      <c r="D35" s="17"/>
      <c r="E35" s="197">
        <f>1200</f>
        <v>1200</v>
      </c>
      <c r="F35" s="17" t="s">
        <v>1</v>
      </c>
      <c r="G35"/>
      <c r="H35"/>
    </row>
    <row r="36" spans="1:10" s="402" customFormat="1">
      <c r="B36" s="121" t="s">
        <v>381</v>
      </c>
      <c r="C36" s="20"/>
      <c r="D36" s="20"/>
      <c r="E36" s="197">
        <v>50</v>
      </c>
      <c r="F36" s="17" t="s">
        <v>1</v>
      </c>
    </row>
    <row r="37" spans="1:10" s="402" customFormat="1">
      <c r="B37" s="121" t="s">
        <v>382</v>
      </c>
      <c r="C37" s="20"/>
      <c r="D37" s="20"/>
      <c r="E37" s="198">
        <v>25</v>
      </c>
      <c r="F37" s="17" t="s">
        <v>1</v>
      </c>
    </row>
    <row r="38" spans="1:10" s="402" customFormat="1">
      <c r="B38" s="121" t="s">
        <v>427</v>
      </c>
      <c r="C38" s="20"/>
      <c r="D38" s="20"/>
      <c r="E38" s="197">
        <f>E35-E36-E37/2</f>
        <v>1137.5</v>
      </c>
      <c r="F38" s="17" t="s">
        <v>1</v>
      </c>
    </row>
    <row r="39" spans="1:10" s="402" customFormat="1">
      <c r="B39" s="89" t="s">
        <v>383</v>
      </c>
      <c r="C39" s="17"/>
      <c r="D39" s="17"/>
      <c r="E39" s="85">
        <f>IF(E34&gt;E38,E34,E38)</f>
        <v>1137.5</v>
      </c>
      <c r="F39" s="17" t="s">
        <v>1</v>
      </c>
    </row>
    <row r="40" spans="1:10" s="402" customFormat="1" ht="14.25">
      <c r="B40" s="89" t="s">
        <v>384</v>
      </c>
      <c r="C40" s="17"/>
      <c r="D40" s="17"/>
      <c r="E40" s="197">
        <f>(E26*1000*1000)/(E30*E32*E39)</f>
        <v>541.8662693238964</v>
      </c>
      <c r="F40" s="17" t="s">
        <v>9</v>
      </c>
    </row>
    <row r="41" spans="1:10" s="402" customFormat="1" ht="14.25">
      <c r="B41" s="89" t="s">
        <v>385</v>
      </c>
      <c r="C41" s="17"/>
      <c r="D41" s="17"/>
      <c r="E41" s="197">
        <f>3.14*E37*E37/4</f>
        <v>490.625</v>
      </c>
      <c r="F41" s="17" t="s">
        <v>9</v>
      </c>
    </row>
    <row r="42" spans="1:10" s="402" customFormat="1">
      <c r="B42" s="465" t="s">
        <v>386</v>
      </c>
      <c r="C42" s="17"/>
      <c r="D42" s="17"/>
      <c r="E42" s="197">
        <f>(E41*1000)/E40</f>
        <v>905.43558028103178</v>
      </c>
      <c r="F42" s="17" t="s">
        <v>1</v>
      </c>
    </row>
    <row r="43" spans="1:10" s="402" customFormat="1">
      <c r="B43" s="89" t="s">
        <v>387</v>
      </c>
      <c r="C43" s="200">
        <f>E37</f>
        <v>25</v>
      </c>
      <c r="D43" s="17" t="s">
        <v>1</v>
      </c>
      <c r="E43" s="410">
        <v>100</v>
      </c>
      <c r="F43" s="17" t="s">
        <v>1</v>
      </c>
      <c r="G43" s="203" t="s">
        <v>717</v>
      </c>
    </row>
    <row r="44" spans="1:10">
      <c r="B44" s="465" t="s">
        <v>392</v>
      </c>
      <c r="C44" s="3">
        <f>C43</f>
        <v>25</v>
      </c>
      <c r="D44" t="s">
        <v>1</v>
      </c>
      <c r="E44" s="411">
        <f>E43</f>
        <v>100</v>
      </c>
      <c r="F44" t="s">
        <v>1</v>
      </c>
    </row>
    <row r="45" spans="1:10">
      <c r="B45" s="465" t="s">
        <v>718</v>
      </c>
      <c r="C45">
        <v>16</v>
      </c>
      <c r="D45" t="s">
        <v>1</v>
      </c>
      <c r="E45" s="411">
        <f>E44</f>
        <v>100</v>
      </c>
      <c r="F45" t="s">
        <v>1</v>
      </c>
    </row>
    <row r="46" spans="1:10">
      <c r="A46" s="1" t="s">
        <v>972</v>
      </c>
    </row>
    <row r="47" spans="1:10">
      <c r="A47" t="s">
        <v>720</v>
      </c>
    </row>
    <row r="48" spans="1:10" s="469" customFormat="1">
      <c r="A48" s="469" t="s">
        <v>721</v>
      </c>
      <c r="C48" s="469">
        <v>0.97499999999999998</v>
      </c>
      <c r="D48" s="469" t="s">
        <v>154</v>
      </c>
      <c r="E48" s="469">
        <v>15</v>
      </c>
      <c r="F48" s="469" t="s">
        <v>692</v>
      </c>
      <c r="G48" s="469">
        <v>2.4</v>
      </c>
      <c r="H48" s="470" t="s">
        <v>2</v>
      </c>
      <c r="I48" s="471">
        <f>C48*E48*G48</f>
        <v>35.1</v>
      </c>
      <c r="J48" s="469" t="s">
        <v>660</v>
      </c>
    </row>
    <row r="49" spans="1:10" s="469" customFormat="1">
      <c r="A49" s="469" t="s">
        <v>693</v>
      </c>
      <c r="C49" s="469">
        <v>7.4999999999999997E-2</v>
      </c>
      <c r="D49" s="469" t="s">
        <v>154</v>
      </c>
      <c r="E49" s="469">
        <v>12</v>
      </c>
      <c r="F49" s="469" t="s">
        <v>692</v>
      </c>
      <c r="G49" s="469">
        <v>2.4</v>
      </c>
      <c r="H49" s="470" t="s">
        <v>2</v>
      </c>
      <c r="I49" s="471">
        <f>C49*E49*G49</f>
        <v>2.1599999999999997</v>
      </c>
      <c r="J49" s="469" t="s">
        <v>660</v>
      </c>
    </row>
    <row r="50" spans="1:10" s="469" customFormat="1">
      <c r="G50" s="469" t="s">
        <v>41</v>
      </c>
      <c r="I50" s="415">
        <f>SUM(I48:I49)</f>
        <v>37.26</v>
      </c>
      <c r="J50" s="469" t="s">
        <v>660</v>
      </c>
    </row>
    <row r="51" spans="1:10" s="469" customFormat="1">
      <c r="A51" s="469" t="s">
        <v>973</v>
      </c>
      <c r="E51" s="470" t="s">
        <v>2</v>
      </c>
      <c r="F51" s="472"/>
      <c r="G51" s="470"/>
    </row>
    <row r="52" spans="1:10" s="469" customFormat="1">
      <c r="E52" s="472">
        <f>I50</f>
        <v>37.26</v>
      </c>
      <c r="F52" s="470" t="s">
        <v>8</v>
      </c>
      <c r="G52" s="469">
        <v>2</v>
      </c>
      <c r="H52" s="470" t="s">
        <v>2</v>
      </c>
      <c r="I52" s="471">
        <f>E52/G52</f>
        <v>18.63</v>
      </c>
      <c r="J52" s="469" t="s">
        <v>723</v>
      </c>
    </row>
    <row r="53" spans="1:10">
      <c r="A53" t="s">
        <v>974</v>
      </c>
      <c r="E53" t="s">
        <v>725</v>
      </c>
      <c r="I53">
        <v>64.69</v>
      </c>
      <c r="J53" t="s">
        <v>660</v>
      </c>
    </row>
    <row r="55" spans="1:10">
      <c r="A55" t="s">
        <v>726</v>
      </c>
    </row>
    <row r="56" spans="1:10">
      <c r="A56" t="s">
        <v>727</v>
      </c>
      <c r="C56" t="s">
        <v>725</v>
      </c>
      <c r="D56">
        <v>5.3</v>
      </c>
      <c r="E56" t="s">
        <v>29</v>
      </c>
    </row>
    <row r="58" spans="1:10" s="469" customFormat="1">
      <c r="A58" s="469" t="s">
        <v>975</v>
      </c>
      <c r="E58" s="472">
        <f>I53</f>
        <v>64.69</v>
      </c>
      <c r="F58" s="470" t="s">
        <v>8</v>
      </c>
      <c r="G58" s="469">
        <f>D56</f>
        <v>5.3</v>
      </c>
      <c r="H58" s="470" t="s">
        <v>2</v>
      </c>
      <c r="I58" s="471">
        <f>E58/G58</f>
        <v>12.205660377358491</v>
      </c>
      <c r="J58" s="469" t="s">
        <v>723</v>
      </c>
    </row>
    <row r="59" spans="1:10">
      <c r="A59" t="s">
        <v>976</v>
      </c>
      <c r="D59" s="2">
        <f>I52</f>
        <v>18.63</v>
      </c>
      <c r="E59" s="19" t="s">
        <v>7</v>
      </c>
      <c r="F59" s="2">
        <f>I58</f>
        <v>12.205660377358491</v>
      </c>
      <c r="H59" s="19" t="s">
        <v>2</v>
      </c>
      <c r="I59" s="2">
        <f>ROUNDUP((D59+F59),2)</f>
        <v>30.84</v>
      </c>
      <c r="J59" t="s">
        <v>660</v>
      </c>
    </row>
    <row r="60" spans="1:10">
      <c r="A60" t="s">
        <v>730</v>
      </c>
      <c r="I60" t="s">
        <v>706</v>
      </c>
    </row>
    <row r="61" spans="1:10">
      <c r="A61" t="s">
        <v>977</v>
      </c>
    </row>
    <row r="62" spans="1:10">
      <c r="A62" t="s">
        <v>732</v>
      </c>
    </row>
    <row r="63" spans="1:10" ht="28.5" customHeight="1">
      <c r="A63" s="706" t="s">
        <v>733</v>
      </c>
      <c r="B63" s="706"/>
      <c r="C63" s="2">
        <f>I59</f>
        <v>30.84</v>
      </c>
      <c r="D63" s="19" t="s">
        <v>3</v>
      </c>
      <c r="E63">
        <v>0</v>
      </c>
      <c r="H63" s="2">
        <f>C63*E63</f>
        <v>0</v>
      </c>
      <c r="I63" t="s">
        <v>712</v>
      </c>
    </row>
    <row r="64" spans="1:10">
      <c r="A64" t="s">
        <v>734</v>
      </c>
    </row>
    <row r="65" spans="1:11">
      <c r="A65" s="1" t="s">
        <v>978</v>
      </c>
    </row>
    <row r="66" spans="1:11">
      <c r="A66" t="s">
        <v>979</v>
      </c>
    </row>
    <row r="67" spans="1:11">
      <c r="A67" t="s">
        <v>737</v>
      </c>
    </row>
    <row r="68" spans="1:11">
      <c r="A68" t="s">
        <v>980</v>
      </c>
    </row>
    <row r="69" spans="1:11">
      <c r="A69" t="s">
        <v>739</v>
      </c>
    </row>
    <row r="70" spans="1:11">
      <c r="A70" t="s">
        <v>740</v>
      </c>
    </row>
    <row r="71" spans="1:11">
      <c r="A71" t="s">
        <v>741</v>
      </c>
    </row>
    <row r="72" spans="1:11" ht="14.25">
      <c r="A72" t="s">
        <v>742</v>
      </c>
      <c r="F72">
        <v>250</v>
      </c>
      <c r="G72" s="19" t="s">
        <v>3</v>
      </c>
      <c r="H72">
        <v>1.2</v>
      </c>
      <c r="I72" s="19" t="s">
        <v>2</v>
      </c>
      <c r="J72">
        <f>F72*H72</f>
        <v>300</v>
      </c>
      <c r="K72" t="s">
        <v>9</v>
      </c>
    </row>
    <row r="73" spans="1:11">
      <c r="A73" s="1" t="s">
        <v>981</v>
      </c>
    </row>
    <row r="74" spans="1:11">
      <c r="A74" s="1" t="s">
        <v>982</v>
      </c>
    </row>
    <row r="75" spans="1:11">
      <c r="A75" t="s">
        <v>745</v>
      </c>
    </row>
    <row r="76" spans="1:11" ht="14.25">
      <c r="A76" s="19" t="s">
        <v>746</v>
      </c>
      <c r="C76" s="19" t="s">
        <v>2</v>
      </c>
      <c r="D76">
        <f>14*491</f>
        <v>6874</v>
      </c>
      <c r="E76" t="s">
        <v>9</v>
      </c>
      <c r="F76" t="s">
        <v>747</v>
      </c>
      <c r="H76" t="s">
        <v>748</v>
      </c>
    </row>
    <row r="78" spans="1:11">
      <c r="A78" t="s">
        <v>749</v>
      </c>
    </row>
    <row r="79" spans="1:11" ht="14.25">
      <c r="A79" s="19" t="s">
        <v>750</v>
      </c>
      <c r="C79" s="19" t="s">
        <v>2</v>
      </c>
      <c r="D79">
        <v>2814</v>
      </c>
      <c r="E79" t="s">
        <v>9</v>
      </c>
      <c r="F79" t="s">
        <v>747</v>
      </c>
      <c r="H79" t="s">
        <v>748</v>
      </c>
    </row>
    <row r="80" spans="1:11">
      <c r="A80" s="1" t="s">
        <v>751</v>
      </c>
    </row>
    <row r="81" spans="1:14">
      <c r="B81" t="s">
        <v>752</v>
      </c>
      <c r="C81" s="2">
        <f>I59</f>
        <v>30.84</v>
      </c>
      <c r="D81" t="s">
        <v>660</v>
      </c>
    </row>
    <row r="82" spans="1:14">
      <c r="B82" s="17" t="s">
        <v>399</v>
      </c>
      <c r="C82" s="17"/>
      <c r="D82" s="17"/>
      <c r="E82" s="202">
        <f>C81*10</f>
        <v>308.39999999999998</v>
      </c>
      <c r="F82" s="17" t="s">
        <v>10</v>
      </c>
      <c r="G82" s="17"/>
      <c r="H82" s="17"/>
      <c r="I82" s="17"/>
      <c r="J82" s="17"/>
      <c r="K82" s="17"/>
      <c r="L82" s="17"/>
    </row>
    <row r="83" spans="1:14">
      <c r="B83" s="403" t="s">
        <v>400</v>
      </c>
      <c r="C83" t="s">
        <v>401</v>
      </c>
      <c r="D83" s="2"/>
      <c r="E83" s="5"/>
      <c r="F83" s="2"/>
      <c r="G83" s="2"/>
      <c r="H83" s="2"/>
      <c r="I83" s="2"/>
    </row>
    <row r="84" spans="1:14" ht="14.25">
      <c r="B84" s="403" t="s">
        <v>402</v>
      </c>
      <c r="D84" s="3"/>
      <c r="E84" s="47">
        <f>E82*1000/$E$39/1000</f>
        <v>0.27112087912087912</v>
      </c>
      <c r="F84" s="42" t="s">
        <v>425</v>
      </c>
      <c r="G84" s="3"/>
      <c r="H84" s="3"/>
      <c r="I84" s="2"/>
      <c r="K84" s="2"/>
      <c r="L84" s="2"/>
      <c r="M84" s="2"/>
      <c r="N84" s="2"/>
    </row>
    <row r="85" spans="1:14">
      <c r="B85" s="403" t="s">
        <v>403</v>
      </c>
      <c r="C85" t="s">
        <v>404</v>
      </c>
      <c r="D85" s="2"/>
      <c r="E85" s="47">
        <f>100*$D$79/(1000*$E$39)</f>
        <v>0.2473846153846154</v>
      </c>
    </row>
    <row r="86" spans="1:14" ht="14.25">
      <c r="B86" s="403" t="s">
        <v>405</v>
      </c>
      <c r="D86" s="3"/>
      <c r="E86" s="47">
        <v>0.23</v>
      </c>
      <c r="F86" s="42" t="s">
        <v>425</v>
      </c>
      <c r="I86" s="88"/>
      <c r="J86" s="2"/>
      <c r="N86" s="88"/>
    </row>
    <row r="87" spans="1:14">
      <c r="B87" s="403" t="s">
        <v>406</v>
      </c>
      <c r="D87" s="87"/>
      <c r="E87" s="7"/>
    </row>
    <row r="88" spans="1:14" ht="14.25">
      <c r="B88" s="403" t="s">
        <v>407</v>
      </c>
      <c r="C88" s="19"/>
      <c r="D88" s="87"/>
      <c r="E88" s="47">
        <f>E86</f>
        <v>0.23</v>
      </c>
      <c r="F88" s="42" t="s">
        <v>425</v>
      </c>
      <c r="G88" s="2"/>
      <c r="H88" s="2"/>
      <c r="I88" s="2"/>
      <c r="J88" s="2"/>
      <c r="K88" s="2"/>
      <c r="L88" s="2"/>
      <c r="M88" s="2"/>
    </row>
    <row r="89" spans="1:14" ht="26.25" customHeight="1">
      <c r="B89" s="17"/>
      <c r="C89" s="17"/>
      <c r="D89" s="706" t="s">
        <v>408</v>
      </c>
      <c r="E89" s="706"/>
      <c r="F89" s="706"/>
      <c r="G89" s="706"/>
      <c r="H89" s="17"/>
      <c r="I89" s="17"/>
      <c r="J89" s="17"/>
      <c r="K89" s="17"/>
      <c r="L89" s="17"/>
    </row>
    <row r="90" spans="1:14" s="402" customFormat="1" ht="21" customHeight="1">
      <c r="B90" s="89" t="s">
        <v>409</v>
      </c>
      <c r="C90" s="17"/>
      <c r="D90" s="17"/>
      <c r="E90" s="85">
        <v>16</v>
      </c>
      <c r="F90" s="17" t="s">
        <v>1</v>
      </c>
      <c r="G90" s="201"/>
      <c r="H90" s="201"/>
      <c r="I90" s="201"/>
      <c r="J90" s="201"/>
    </row>
    <row r="91" spans="1:14" s="402" customFormat="1" ht="14.25">
      <c r="B91" s="89" t="s">
        <v>390</v>
      </c>
      <c r="C91" s="17"/>
      <c r="D91" s="17"/>
      <c r="E91" s="197">
        <f>3.14*E90*E90/4</f>
        <v>200.96</v>
      </c>
      <c r="F91" s="17" t="s">
        <v>9</v>
      </c>
      <c r="G91" s="201"/>
      <c r="H91" s="201"/>
      <c r="I91" s="201"/>
      <c r="J91" s="201"/>
    </row>
    <row r="92" spans="1:14" s="402" customFormat="1">
      <c r="B92" s="121" t="s">
        <v>410</v>
      </c>
      <c r="C92" s="121"/>
      <c r="D92" s="121"/>
      <c r="E92" s="197">
        <f>2*E91*E30*E39/(E82*1000)</f>
        <v>296.48767833981844</v>
      </c>
      <c r="F92" s="17" t="s">
        <v>1</v>
      </c>
      <c r="G92" s="201"/>
      <c r="H92" s="201"/>
      <c r="I92" s="201"/>
      <c r="J92" s="201"/>
    </row>
    <row r="93" spans="1:14" s="402" customFormat="1">
      <c r="B93" s="89" t="s">
        <v>387</v>
      </c>
      <c r="C93" s="17">
        <f>E90</f>
        <v>16</v>
      </c>
      <c r="D93" s="17" t="s">
        <v>1</v>
      </c>
      <c r="E93" s="85">
        <v>100</v>
      </c>
      <c r="F93" s="17" t="s">
        <v>1</v>
      </c>
      <c r="G93" s="1" t="s">
        <v>717</v>
      </c>
      <c r="H93" s="201"/>
      <c r="I93" s="201"/>
      <c r="J93" s="201"/>
    </row>
    <row r="94" spans="1:14">
      <c r="A94" s="1" t="s">
        <v>753</v>
      </c>
    </row>
    <row r="95" spans="1:14">
      <c r="A95" s="1" t="s">
        <v>983</v>
      </c>
    </row>
    <row r="96" spans="1:14">
      <c r="A96" s="1" t="s">
        <v>984</v>
      </c>
    </row>
    <row r="97" spans="1:14">
      <c r="A97" s="1"/>
    </row>
    <row r="98" spans="1:14">
      <c r="A98" s="1" t="s">
        <v>756</v>
      </c>
    </row>
    <row r="99" spans="1:14">
      <c r="B99" t="s">
        <v>752</v>
      </c>
      <c r="C99">
        <v>20.3</v>
      </c>
      <c r="D99" t="s">
        <v>660</v>
      </c>
    </row>
    <row r="100" spans="1:14">
      <c r="B100" s="17" t="s">
        <v>399</v>
      </c>
      <c r="C100" s="17"/>
      <c r="D100" s="17"/>
      <c r="E100" s="202">
        <f>C99*10</f>
        <v>203</v>
      </c>
      <c r="F100" s="17" t="s">
        <v>10</v>
      </c>
      <c r="G100" s="17"/>
      <c r="H100" s="17"/>
      <c r="I100" s="17"/>
      <c r="J100" s="17"/>
      <c r="K100" s="17"/>
      <c r="L100" s="17"/>
    </row>
    <row r="101" spans="1:14">
      <c r="B101" s="403" t="s">
        <v>400</v>
      </c>
      <c r="C101" t="s">
        <v>401</v>
      </c>
      <c r="D101" s="2"/>
      <c r="E101" s="5"/>
      <c r="F101" s="2"/>
      <c r="G101" s="2"/>
      <c r="H101" s="2"/>
      <c r="I101" s="2"/>
    </row>
    <row r="102" spans="1:14" ht="14.25">
      <c r="B102" s="403" t="s">
        <v>402</v>
      </c>
      <c r="D102" s="3"/>
      <c r="E102" s="47">
        <f>E100*1000/$E$39/1000</f>
        <v>0.17846153846153845</v>
      </c>
      <c r="F102" s="42" t="s">
        <v>425</v>
      </c>
      <c r="G102" s="3"/>
      <c r="H102" s="3"/>
      <c r="I102" s="2"/>
      <c r="K102" s="2"/>
      <c r="L102" s="2"/>
      <c r="M102" s="2"/>
      <c r="N102" s="2"/>
    </row>
    <row r="103" spans="1:14">
      <c r="B103" s="403" t="s">
        <v>403</v>
      </c>
      <c r="C103" t="s">
        <v>404</v>
      </c>
      <c r="D103" s="2"/>
      <c r="E103" s="47">
        <f>100*$D$79/(1000*$E$39)</f>
        <v>0.2473846153846154</v>
      </c>
    </row>
    <row r="104" spans="1:14" ht="14.25">
      <c r="B104" s="403" t="s">
        <v>405</v>
      </c>
      <c r="D104" s="3"/>
      <c r="E104" s="47">
        <v>0.23</v>
      </c>
      <c r="F104" s="42" t="s">
        <v>425</v>
      </c>
      <c r="I104" s="88"/>
      <c r="J104" s="2"/>
      <c r="N104" s="88"/>
    </row>
    <row r="105" spans="1:14">
      <c r="B105" s="403" t="s">
        <v>406</v>
      </c>
      <c r="D105" s="87"/>
      <c r="E105" s="7"/>
    </row>
    <row r="106" spans="1:14" ht="14.25">
      <c r="B106" s="403" t="s">
        <v>407</v>
      </c>
      <c r="C106" s="19"/>
      <c r="D106" s="87"/>
      <c r="E106" s="47">
        <f>E104</f>
        <v>0.23</v>
      </c>
      <c r="F106" s="42" t="s">
        <v>425</v>
      </c>
      <c r="G106" s="2"/>
      <c r="H106" s="2"/>
      <c r="I106" s="2"/>
      <c r="J106" s="2"/>
      <c r="K106" s="2"/>
      <c r="L106" s="2"/>
      <c r="M106" s="2"/>
    </row>
    <row r="107" spans="1:14" ht="26.25" customHeight="1">
      <c r="B107" s="17"/>
      <c r="C107" s="17"/>
      <c r="D107" s="706" t="s">
        <v>757</v>
      </c>
      <c r="E107" s="706"/>
      <c r="F107" s="706"/>
      <c r="G107" s="706"/>
      <c r="H107" s="17"/>
      <c r="I107" s="17"/>
      <c r="J107" s="17"/>
      <c r="K107" s="17"/>
      <c r="L107" s="17"/>
    </row>
    <row r="108" spans="1:14">
      <c r="A108" s="1" t="s">
        <v>753</v>
      </c>
    </row>
    <row r="109" spans="1:14">
      <c r="A109" s="1" t="s">
        <v>983</v>
      </c>
    </row>
    <row r="110" spans="1:14">
      <c r="A110" s="1" t="s">
        <v>984</v>
      </c>
    </row>
  </sheetData>
  <mergeCells count="4">
    <mergeCell ref="A23:B23"/>
    <mergeCell ref="A63:B63"/>
    <mergeCell ref="D89:G89"/>
    <mergeCell ref="D107:G107"/>
  </mergeCells>
  <pageMargins left="0.75" right="0.75" top="1" bottom="1" header="0.5" footer="0.5"/>
  <pageSetup paperSize="9" scale="76" fitToHeight="28" orientation="landscape" verticalDpi="1200" r:id="rId1"/>
  <headerFooter>
    <oddFooter>&amp;L&amp;P/{&amp;N}&amp;C&amp;F&amp;R&amp;A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0"/>
  <sheetViews>
    <sheetView workbookViewId="0"/>
  </sheetViews>
  <sheetFormatPr defaultRowHeight="12.75"/>
  <cols>
    <col min="5" max="5" width="6.28515625" customWidth="1"/>
    <col min="6" max="6" width="10.42578125" customWidth="1"/>
    <col min="7" max="7" width="8.42578125" bestFit="1" customWidth="1"/>
    <col min="8" max="8" width="16.42578125" customWidth="1"/>
    <col min="9" max="9" width="4.5703125" bestFit="1" customWidth="1"/>
  </cols>
  <sheetData>
    <row r="1" spans="1:9" ht="18">
      <c r="A1" s="473" t="s">
        <v>985</v>
      </c>
    </row>
    <row r="2" spans="1:9">
      <c r="A2" t="s">
        <v>986</v>
      </c>
      <c r="F2" s="38">
        <f>'TYPE1-DIRT DirectLoad_BM'!N25</f>
        <v>31.6</v>
      </c>
      <c r="G2" t="s">
        <v>596</v>
      </c>
    </row>
    <row r="3" spans="1:9">
      <c r="A3" s="135" t="s">
        <v>987</v>
      </c>
      <c r="F3">
        <v>1000</v>
      </c>
      <c r="G3" t="s">
        <v>12</v>
      </c>
      <c r="H3" s="474" t="s">
        <v>988</v>
      </c>
      <c r="I3" s="475">
        <f>(300/500+F3/300)/F3</f>
        <v>3.9333333333333338E-3</v>
      </c>
    </row>
    <row r="4" spans="1:9">
      <c r="A4" s="135" t="s">
        <v>989</v>
      </c>
      <c r="F4">
        <v>300</v>
      </c>
      <c r="G4" t="s">
        <v>12</v>
      </c>
      <c r="H4" s="476" t="s">
        <v>990</v>
      </c>
      <c r="I4" s="477">
        <f>(300/500+F4/300)/F4</f>
        <v>5.333333333333334E-3</v>
      </c>
    </row>
    <row r="5" spans="1:9">
      <c r="A5" t="s">
        <v>991</v>
      </c>
      <c r="F5" s="2">
        <f>'TYPE1-DIRT DirectLoad_BM'!D62*10</f>
        <v>12.8</v>
      </c>
      <c r="G5" t="s">
        <v>992</v>
      </c>
    </row>
    <row r="6" spans="1:9">
      <c r="A6" t="s">
        <v>993</v>
      </c>
      <c r="F6" s="38">
        <f>F2*1.5</f>
        <v>47.400000000000006</v>
      </c>
      <c r="G6" t="s">
        <v>596</v>
      </c>
    </row>
    <row r="7" spans="1:9">
      <c r="A7" t="s">
        <v>994</v>
      </c>
      <c r="F7" s="2">
        <f>F5*1.5</f>
        <v>19.200000000000003</v>
      </c>
      <c r="G7" t="s">
        <v>992</v>
      </c>
    </row>
    <row r="8" spans="1:9">
      <c r="A8" t="s">
        <v>995</v>
      </c>
      <c r="F8" s="1">
        <v>10</v>
      </c>
      <c r="G8" t="s">
        <v>12</v>
      </c>
    </row>
    <row r="9" spans="1:9">
      <c r="A9" t="s">
        <v>996</v>
      </c>
      <c r="F9">
        <v>40</v>
      </c>
      <c r="G9" t="s">
        <v>12</v>
      </c>
    </row>
    <row r="10" spans="1:9">
      <c r="A10" t="s">
        <v>997</v>
      </c>
      <c r="F10">
        <f>F9+(F8/2)</f>
        <v>45</v>
      </c>
      <c r="G10" t="s">
        <v>12</v>
      </c>
    </row>
    <row r="11" spans="1:9">
      <c r="A11" t="s">
        <v>998</v>
      </c>
      <c r="F11" s="2">
        <f>F10/F4</f>
        <v>0.15</v>
      </c>
    </row>
    <row r="12" spans="1:9">
      <c r="A12" t="s">
        <v>999</v>
      </c>
      <c r="F12" s="2">
        <v>0.15</v>
      </c>
    </row>
    <row r="13" spans="1:9">
      <c r="A13" t="s">
        <v>1000</v>
      </c>
      <c r="F13" s="2">
        <f>F6*1000/(30*F3*F4)</f>
        <v>5.2666666666666678E-3</v>
      </c>
    </row>
    <row r="14" spans="1:9" ht="14.25">
      <c r="A14" t="s">
        <v>1001</v>
      </c>
      <c r="F14" s="2">
        <f>F7*1000000/(30*F3*F4^2)</f>
        <v>7.1111111111111123E-3</v>
      </c>
    </row>
    <row r="15" spans="1:9">
      <c r="A15" s="135" t="s">
        <v>1002</v>
      </c>
    </row>
    <row r="16" spans="1:9">
      <c r="A16" s="135" t="s">
        <v>1003</v>
      </c>
      <c r="F16" s="1">
        <v>33</v>
      </c>
      <c r="H16" s="1" t="s">
        <v>1004</v>
      </c>
    </row>
    <row r="17" spans="1:16">
      <c r="A17" t="s">
        <v>1005</v>
      </c>
      <c r="F17">
        <v>0.01</v>
      </c>
    </row>
    <row r="18" spans="1:16">
      <c r="A18" t="s">
        <v>44</v>
      </c>
      <c r="F18">
        <f>F17*30</f>
        <v>0.3</v>
      </c>
      <c r="H18" t="s">
        <v>1006</v>
      </c>
    </row>
    <row r="19" spans="1:16">
      <c r="A19" t="s">
        <v>1007</v>
      </c>
      <c r="F19">
        <f>F18*F3*F4/100</f>
        <v>900</v>
      </c>
      <c r="G19" t="s">
        <v>1008</v>
      </c>
    </row>
    <row r="20" spans="1:16">
      <c r="A20" t="s">
        <v>1009</v>
      </c>
      <c r="F20" s="3">
        <f>ROUNDUP(F19/(0.785*(F8^2)),0)</f>
        <v>12</v>
      </c>
    </row>
    <row r="21" spans="1:16">
      <c r="A21" t="s">
        <v>1010</v>
      </c>
      <c r="F21" s="3">
        <f>ROUNDUP(F20/2,0)</f>
        <v>6</v>
      </c>
    </row>
    <row r="22" spans="1:16">
      <c r="A22" t="s">
        <v>1011</v>
      </c>
      <c r="F22" s="1">
        <f>F3/(F21-1)</f>
        <v>200</v>
      </c>
      <c r="G22" t="s">
        <v>12</v>
      </c>
      <c r="H22" s="1"/>
    </row>
    <row r="24" spans="1:16" s="6" customFormat="1" ht="15.75">
      <c r="A24" s="391" t="s">
        <v>1012</v>
      </c>
    </row>
    <row r="25" spans="1:16" s="6" customFormat="1"/>
    <row r="26" spans="1:16" s="6" customFormat="1">
      <c r="B26" s="83"/>
      <c r="D26" s="6" t="s">
        <v>1013</v>
      </c>
      <c r="E26" s="6" t="s">
        <v>2</v>
      </c>
      <c r="F26" s="54">
        <f>F5</f>
        <v>12.8</v>
      </c>
      <c r="G26" s="6" t="str">
        <f>G5</f>
        <v>KN-M</v>
      </c>
    </row>
    <row r="27" spans="1:16" s="6" customFormat="1" ht="14.25">
      <c r="C27" s="6" t="s">
        <v>1014</v>
      </c>
      <c r="D27" s="478"/>
      <c r="E27" s="479"/>
      <c r="F27" s="480">
        <f>F26</f>
        <v>12.8</v>
      </c>
      <c r="G27" s="481" t="s">
        <v>3</v>
      </c>
      <c r="H27" s="482" t="s">
        <v>1015</v>
      </c>
      <c r="I27" s="732" t="s">
        <v>2</v>
      </c>
      <c r="J27" s="732">
        <v>118.7</v>
      </c>
      <c r="K27" s="801" t="s">
        <v>1</v>
      </c>
    </row>
    <row r="28" spans="1:16" s="6" customFormat="1">
      <c r="D28" s="478"/>
      <c r="E28" s="479"/>
      <c r="F28" s="484">
        <v>1000</v>
      </c>
      <c r="G28" s="485" t="s">
        <v>3</v>
      </c>
      <c r="H28" s="485">
        <v>0.97199999999999998</v>
      </c>
      <c r="I28" s="732"/>
      <c r="J28" s="732"/>
      <c r="K28" s="801"/>
    </row>
    <row r="29" spans="1:16" s="6" customFormat="1">
      <c r="C29" s="6" t="s">
        <v>1016</v>
      </c>
      <c r="D29" s="105">
        <f>F4</f>
        <v>300</v>
      </c>
      <c r="E29" s="105" t="s">
        <v>16</v>
      </c>
      <c r="F29" s="486">
        <v>50</v>
      </c>
      <c r="G29" s="486" t="s">
        <v>16</v>
      </c>
      <c r="H29" s="487">
        <v>16</v>
      </c>
      <c r="I29" s="732" t="s">
        <v>2</v>
      </c>
      <c r="J29" s="732">
        <f>D29-F29-F8/2</f>
        <v>245</v>
      </c>
      <c r="K29" s="732" t="s">
        <v>1</v>
      </c>
      <c r="L29" s="732" t="s">
        <v>1017</v>
      </c>
      <c r="M29" s="801">
        <v>118.7</v>
      </c>
      <c r="N29" s="801"/>
      <c r="O29" s="732" t="s">
        <v>1</v>
      </c>
      <c r="P29" s="732" t="s">
        <v>1018</v>
      </c>
    </row>
    <row r="30" spans="1:16" s="6" customFormat="1">
      <c r="F30" s="484"/>
      <c r="G30" s="484"/>
      <c r="H30" s="484">
        <v>2</v>
      </c>
      <c r="I30" s="732"/>
      <c r="J30" s="732"/>
      <c r="K30" s="732"/>
      <c r="L30" s="732"/>
      <c r="M30" s="801"/>
      <c r="N30" s="801"/>
      <c r="O30" s="732"/>
      <c r="P30" s="732"/>
    </row>
    <row r="31" spans="1:16" s="6" customFormat="1" ht="14.25">
      <c r="C31" s="6" t="s">
        <v>1019</v>
      </c>
      <c r="D31" s="6" t="s">
        <v>2</v>
      </c>
      <c r="F31" s="488">
        <f>F27</f>
        <v>12.8</v>
      </c>
      <c r="G31" s="398" t="s">
        <v>244</v>
      </c>
      <c r="H31" s="489"/>
      <c r="I31" s="802" t="s">
        <v>1020</v>
      </c>
      <c r="J31" s="802"/>
      <c r="K31" s="732" t="s">
        <v>2</v>
      </c>
      <c r="L31" s="734">
        <f>F31*1000000/(F32*H32*J32)</f>
        <v>284.86858211114327</v>
      </c>
      <c r="M31" s="6" t="s">
        <v>9</v>
      </c>
    </row>
    <row r="32" spans="1:16" s="6" customFormat="1">
      <c r="F32" s="7">
        <v>200</v>
      </c>
      <c r="G32" s="105" t="s">
        <v>244</v>
      </c>
      <c r="H32" s="6">
        <v>0.91700000000000004</v>
      </c>
      <c r="I32" s="6" t="s">
        <v>3</v>
      </c>
      <c r="J32" s="6">
        <f>J29</f>
        <v>245</v>
      </c>
      <c r="K32" s="732"/>
      <c r="L32" s="734"/>
    </row>
    <row r="33" spans="2:10" s="6" customFormat="1">
      <c r="B33" s="6" t="s">
        <v>1021</v>
      </c>
      <c r="F33" s="6" t="s">
        <v>1022</v>
      </c>
      <c r="G33" s="6" t="s">
        <v>1023</v>
      </c>
    </row>
    <row r="34" spans="2:10" s="6" customFormat="1"/>
    <row r="35" spans="2:10" s="6" customFormat="1">
      <c r="B35" s="83" t="s">
        <v>1024</v>
      </c>
    </row>
    <row r="36" spans="2:10" s="6" customFormat="1" ht="14.25">
      <c r="B36" s="6" t="s">
        <v>1025</v>
      </c>
      <c r="G36" s="6" t="s">
        <v>2</v>
      </c>
      <c r="H36" s="491">
        <f>ROUNDUP(78.5*1000/150,0)</f>
        <v>524</v>
      </c>
      <c r="I36" s="6" t="s">
        <v>9</v>
      </c>
    </row>
    <row r="37" spans="2:10" s="6" customFormat="1" ht="14.25">
      <c r="B37" s="6" t="s">
        <v>1026</v>
      </c>
      <c r="D37" s="105"/>
      <c r="G37" s="6" t="s">
        <v>2</v>
      </c>
      <c r="H37" s="6">
        <f>H36</f>
        <v>524</v>
      </c>
      <c r="I37" s="6" t="s">
        <v>9</v>
      </c>
    </row>
    <row r="38" spans="2:10" s="6" customFormat="1">
      <c r="B38" s="83" t="s">
        <v>1027</v>
      </c>
    </row>
    <row r="39" spans="2:10" s="6" customFormat="1">
      <c r="B39" s="6" t="s">
        <v>2</v>
      </c>
      <c r="C39" s="6">
        <v>2E-3</v>
      </c>
      <c r="D39" s="105" t="s">
        <v>3</v>
      </c>
      <c r="E39" s="6">
        <v>1000</v>
      </c>
      <c r="F39" s="105" t="s">
        <v>3</v>
      </c>
      <c r="G39" s="6">
        <v>250</v>
      </c>
    </row>
    <row r="40" spans="2:10" s="6" customFormat="1" ht="14.25">
      <c r="B40" s="6" t="s">
        <v>2</v>
      </c>
      <c r="D40" s="411">
        <v>500</v>
      </c>
      <c r="E40" s="6" t="s">
        <v>9</v>
      </c>
    </row>
    <row r="41" spans="2:10" s="6" customFormat="1" ht="14.25">
      <c r="B41" s="6" t="s">
        <v>1028</v>
      </c>
      <c r="D41" s="6" t="s">
        <v>1029</v>
      </c>
    </row>
    <row r="42" spans="2:10" s="6" customFormat="1" ht="14.25">
      <c r="B42" s="6" t="s">
        <v>1030</v>
      </c>
      <c r="D42" s="135" t="s">
        <v>1031</v>
      </c>
      <c r="F42" s="6" t="s">
        <v>1032</v>
      </c>
      <c r="G42" s="6" t="s">
        <v>2</v>
      </c>
      <c r="H42" s="491">
        <f>1000/250*78.5</f>
        <v>314</v>
      </c>
      <c r="I42" s="6" t="s">
        <v>9</v>
      </c>
    </row>
    <row r="43" spans="2:10">
      <c r="C43" s="492" t="s">
        <v>11</v>
      </c>
      <c r="D43" s="1"/>
    </row>
    <row r="44" spans="2:10">
      <c r="C44" s="83" t="s">
        <v>1033</v>
      </c>
      <c r="D44" s="1"/>
      <c r="E44" s="1"/>
      <c r="F44" s="1"/>
      <c r="I44" s="11"/>
      <c r="J44" s="1"/>
    </row>
    <row r="45" spans="2:10">
      <c r="C45" s="1" t="s">
        <v>1034</v>
      </c>
      <c r="D45" s="1">
        <v>10</v>
      </c>
      <c r="E45" s="1" t="s">
        <v>1</v>
      </c>
      <c r="F45" s="1"/>
    </row>
    <row r="46" spans="2:10">
      <c r="C46" s="83" t="s">
        <v>166</v>
      </c>
      <c r="D46" s="1">
        <v>150</v>
      </c>
      <c r="E46" s="1" t="s">
        <v>1</v>
      </c>
      <c r="F46" s="1"/>
    </row>
    <row r="47" spans="2:10">
      <c r="C47" s="83"/>
      <c r="D47" s="1"/>
      <c r="E47" s="1"/>
      <c r="F47" s="1"/>
    </row>
    <row r="48" spans="2:10">
      <c r="C48" s="1" t="s">
        <v>1035</v>
      </c>
      <c r="D48" s="1"/>
      <c r="E48" s="1"/>
      <c r="F48" s="1"/>
    </row>
    <row r="49" spans="3:6">
      <c r="C49" s="1" t="s">
        <v>1034</v>
      </c>
      <c r="D49" s="1">
        <v>10</v>
      </c>
      <c r="E49" s="1" t="s">
        <v>1</v>
      </c>
      <c r="F49" s="1"/>
    </row>
    <row r="50" spans="3:6">
      <c r="C50" s="83" t="s">
        <v>166</v>
      </c>
      <c r="D50" s="1">
        <v>250</v>
      </c>
      <c r="E50" s="1" t="s">
        <v>1</v>
      </c>
    </row>
  </sheetData>
  <mergeCells count="13">
    <mergeCell ref="L29:L30"/>
    <mergeCell ref="M29:N30"/>
    <mergeCell ref="O29:O30"/>
    <mergeCell ref="P29:P30"/>
    <mergeCell ref="I31:J31"/>
    <mergeCell ref="K31:K32"/>
    <mergeCell ref="L31:L32"/>
    <mergeCell ref="I27:I28"/>
    <mergeCell ref="J27:J28"/>
    <mergeCell ref="K27:K28"/>
    <mergeCell ref="I29:I30"/>
    <mergeCell ref="J29:J30"/>
    <mergeCell ref="K29:K30"/>
  </mergeCells>
  <pageMargins left="0.75" right="0.75" top="1" bottom="1" header="0.5" footer="0.5"/>
  <pageSetup paperSize="9" scale="90" fitToHeight="28" orientation="landscape" horizontalDpi="300" verticalDpi="300" r:id="rId1"/>
  <headerFooter>
    <oddFooter>&amp;L&amp;P/{&amp;N}&amp;C&amp;F&amp;R&amp;A</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P97"/>
  <sheetViews>
    <sheetView zoomScaleNormal="100" zoomScaleSheetLayoutView="100" workbookViewId="0"/>
  </sheetViews>
  <sheetFormatPr defaultRowHeight="12.75"/>
  <cols>
    <col min="1" max="1" width="3.7109375" style="6" customWidth="1"/>
    <col min="2" max="3" width="6" style="6" customWidth="1"/>
    <col min="4" max="4" width="12.42578125" style="6" customWidth="1"/>
    <col min="5" max="5" width="7.7109375" style="6" customWidth="1"/>
    <col min="6" max="6" width="7.140625" style="6" customWidth="1"/>
    <col min="7" max="7" width="6.42578125" style="6" customWidth="1"/>
    <col min="8" max="8" width="6" style="6" customWidth="1"/>
    <col min="9" max="9" width="1.85546875" style="6" customWidth="1"/>
    <col min="10" max="11" width="5.85546875" style="6" customWidth="1"/>
    <col min="12" max="12" width="7.28515625" style="6" customWidth="1"/>
    <col min="13" max="13" width="3.42578125" style="6" customWidth="1"/>
    <col min="14" max="14" width="5.5703125" style="6" customWidth="1"/>
    <col min="15" max="15" width="7" style="6" customWidth="1"/>
    <col min="16" max="16" width="6.140625" style="6" customWidth="1"/>
    <col min="17" max="16384" width="9.140625" style="6"/>
  </cols>
  <sheetData>
    <row r="1" spans="1:12">
      <c r="A1" s="83" t="s">
        <v>1036</v>
      </c>
    </row>
    <row r="2" spans="1:12">
      <c r="B2" s="6" t="s">
        <v>1037</v>
      </c>
    </row>
    <row r="3" spans="1:12">
      <c r="B3" s="135" t="s">
        <v>1038</v>
      </c>
      <c r="C3" s="6" t="s">
        <v>801</v>
      </c>
    </row>
    <row r="4" spans="1:12">
      <c r="B4" s="135" t="s">
        <v>1039</v>
      </c>
      <c r="C4" s="6" t="s">
        <v>1040</v>
      </c>
    </row>
    <row r="5" spans="1:12">
      <c r="B5" s="135" t="s">
        <v>1041</v>
      </c>
      <c r="C5" s="6" t="s">
        <v>1042</v>
      </c>
    </row>
    <row r="6" spans="1:12">
      <c r="B6" s="135" t="s">
        <v>1041</v>
      </c>
      <c r="C6" s="6" t="s">
        <v>1043</v>
      </c>
    </row>
    <row r="7" spans="1:12">
      <c r="B7" s="6" t="s">
        <v>1044</v>
      </c>
      <c r="C7" s="6" t="s">
        <v>1045</v>
      </c>
    </row>
    <row r="8" spans="1:12">
      <c r="C8" s="6" t="s">
        <v>1046</v>
      </c>
    </row>
    <row r="9" spans="1:12">
      <c r="C9" s="6" t="s">
        <v>1047</v>
      </c>
      <c r="L9" s="479"/>
    </row>
    <row r="11" spans="1:12">
      <c r="B11" s="6" t="s">
        <v>2</v>
      </c>
      <c r="C11" s="41">
        <v>2.9</v>
      </c>
      <c r="D11" s="105" t="s">
        <v>7</v>
      </c>
      <c r="E11" s="7" t="s">
        <v>441</v>
      </c>
      <c r="F11" s="6">
        <v>1.2</v>
      </c>
      <c r="G11" s="105" t="s">
        <v>7</v>
      </c>
      <c r="H11" s="6">
        <v>0.30499999999999999</v>
      </c>
      <c r="I11" s="6" t="s">
        <v>15</v>
      </c>
      <c r="J11" s="6" t="s">
        <v>7</v>
      </c>
      <c r="K11" s="6">
        <v>0.83</v>
      </c>
      <c r="L11" s="493"/>
    </row>
    <row r="13" spans="1:12">
      <c r="B13" s="6" t="s">
        <v>2</v>
      </c>
      <c r="C13" s="41">
        <v>2.9</v>
      </c>
      <c r="D13" s="105" t="s">
        <v>7</v>
      </c>
      <c r="E13" s="731">
        <v>1.53</v>
      </c>
      <c r="F13" s="731"/>
      <c r="G13" s="105" t="s">
        <v>7</v>
      </c>
      <c r="H13" s="6">
        <v>0.82499999999999996</v>
      </c>
    </row>
    <row r="15" spans="1:12">
      <c r="B15" s="6" t="s">
        <v>2</v>
      </c>
      <c r="C15" s="6">
        <v>5.2549999999999999</v>
      </c>
      <c r="D15" s="6" t="s">
        <v>29</v>
      </c>
      <c r="G15" s="54"/>
    </row>
    <row r="16" spans="1:12">
      <c r="B16" s="490" t="s">
        <v>1048</v>
      </c>
      <c r="C16" s="490"/>
      <c r="D16" s="731" t="s">
        <v>2</v>
      </c>
      <c r="E16" s="733">
        <v>14</v>
      </c>
      <c r="F16" s="733"/>
      <c r="G16" s="731" t="s">
        <v>2</v>
      </c>
      <c r="H16" s="731">
        <v>2.66</v>
      </c>
      <c r="I16" s="803" t="s">
        <v>655</v>
      </c>
      <c r="J16" s="803"/>
    </row>
    <row r="17" spans="2:15">
      <c r="B17" s="6" t="s">
        <v>1049</v>
      </c>
      <c r="D17" s="731"/>
      <c r="E17" s="731">
        <v>5.2549999999999999</v>
      </c>
      <c r="F17" s="731"/>
      <c r="G17" s="731"/>
      <c r="H17" s="731"/>
      <c r="I17" s="803"/>
      <c r="J17" s="803"/>
    </row>
    <row r="18" spans="2:15">
      <c r="B18" s="6" t="s">
        <v>1050</v>
      </c>
      <c r="C18" s="6" t="s">
        <v>1051</v>
      </c>
    </row>
    <row r="19" spans="2:15">
      <c r="B19" s="6" t="s">
        <v>2</v>
      </c>
      <c r="C19" s="6">
        <v>0.6</v>
      </c>
      <c r="D19" s="6" t="s">
        <v>3</v>
      </c>
      <c r="E19" s="6">
        <v>0.3</v>
      </c>
      <c r="F19" s="105" t="s">
        <v>3</v>
      </c>
      <c r="G19" s="6">
        <v>2.4</v>
      </c>
      <c r="H19" s="105"/>
    </row>
    <row r="21" spans="2:15">
      <c r="B21" s="6" t="s">
        <v>2</v>
      </c>
      <c r="C21" s="6">
        <v>0.495</v>
      </c>
      <c r="D21" s="6" t="s">
        <v>655</v>
      </c>
    </row>
    <row r="23" spans="2:15">
      <c r="B23" s="6" t="s">
        <v>1052</v>
      </c>
      <c r="C23" s="105">
        <v>0.5</v>
      </c>
      <c r="D23" s="6" t="s">
        <v>655</v>
      </c>
    </row>
    <row r="25" spans="2:15">
      <c r="B25" s="6" t="s">
        <v>1053</v>
      </c>
      <c r="E25" s="804">
        <v>2.66</v>
      </c>
      <c r="F25" s="804"/>
      <c r="G25" s="105" t="s">
        <v>7</v>
      </c>
      <c r="H25" s="6">
        <v>0.5</v>
      </c>
      <c r="I25" s="6" t="s">
        <v>2</v>
      </c>
      <c r="J25" s="731">
        <v>3.16</v>
      </c>
      <c r="K25" s="731"/>
      <c r="L25" s="6" t="s">
        <v>655</v>
      </c>
      <c r="M25" s="135" t="s">
        <v>2</v>
      </c>
      <c r="N25" s="83">
        <f>J25*10</f>
        <v>31.6</v>
      </c>
      <c r="O25" s="83" t="s">
        <v>10</v>
      </c>
    </row>
    <row r="27" spans="2:15">
      <c r="B27" s="6" t="s">
        <v>1054</v>
      </c>
    </row>
    <row r="28" spans="2:15">
      <c r="B28" s="6" t="s">
        <v>1055</v>
      </c>
    </row>
    <row r="29" spans="2:15">
      <c r="B29" s="6" t="s">
        <v>1056</v>
      </c>
    </row>
    <row r="31" spans="2:15">
      <c r="B31" s="135" t="s">
        <v>1057</v>
      </c>
      <c r="E31" s="6" t="s">
        <v>2</v>
      </c>
      <c r="G31" s="494">
        <v>0.2</v>
      </c>
      <c r="H31" s="398" t="s">
        <v>3</v>
      </c>
      <c r="I31" s="733">
        <v>14</v>
      </c>
      <c r="J31" s="733"/>
      <c r="K31" s="490" t="s">
        <v>3</v>
      </c>
      <c r="L31" s="490">
        <v>1</v>
      </c>
      <c r="M31" s="6" t="s">
        <v>2</v>
      </c>
      <c r="N31" s="6">
        <v>0.53</v>
      </c>
      <c r="O31" s="6" t="s">
        <v>660</v>
      </c>
    </row>
    <row r="32" spans="2:15">
      <c r="H32" s="805">
        <v>5.2549999999999999</v>
      </c>
      <c r="I32" s="805"/>
      <c r="J32" s="805"/>
    </row>
    <row r="33" spans="2:13">
      <c r="B33" s="135" t="s">
        <v>1058</v>
      </c>
    </row>
    <row r="35" spans="2:13">
      <c r="B35" s="6" t="s">
        <v>2</v>
      </c>
      <c r="C35" s="6">
        <v>0.53</v>
      </c>
      <c r="D35" s="6" t="s">
        <v>1059</v>
      </c>
      <c r="E35" s="495">
        <v>1.2</v>
      </c>
      <c r="F35" s="135" t="s">
        <v>1060</v>
      </c>
      <c r="G35" s="731">
        <v>0.83</v>
      </c>
      <c r="H35" s="731"/>
      <c r="K35" s="719"/>
      <c r="L35" s="719"/>
      <c r="M35" s="6" t="s">
        <v>1061</v>
      </c>
    </row>
    <row r="36" spans="2:13">
      <c r="B36" s="6" t="s">
        <v>2</v>
      </c>
      <c r="C36" s="6">
        <v>1.07</v>
      </c>
      <c r="D36" s="6" t="s">
        <v>597</v>
      </c>
    </row>
    <row r="37" spans="2:13">
      <c r="B37" s="6" t="s">
        <v>1062</v>
      </c>
      <c r="H37" s="806"/>
      <c r="I37" s="806"/>
    </row>
    <row r="39" spans="2:13">
      <c r="B39" s="6" t="s">
        <v>2</v>
      </c>
      <c r="C39" s="6">
        <v>0.224</v>
      </c>
      <c r="D39" s="6" t="s">
        <v>3</v>
      </c>
      <c r="E39" s="495">
        <v>1.8</v>
      </c>
      <c r="F39" s="6" t="s">
        <v>3</v>
      </c>
      <c r="G39" s="6">
        <v>1.2</v>
      </c>
    </row>
    <row r="41" spans="2:13" ht="14.25">
      <c r="B41" s="83" t="s">
        <v>2</v>
      </c>
      <c r="C41" s="6">
        <v>0.48299999999999998</v>
      </c>
      <c r="D41" s="6" t="s">
        <v>1063</v>
      </c>
    </row>
    <row r="43" spans="2:13">
      <c r="B43" s="6" t="s">
        <v>1064</v>
      </c>
      <c r="G43" s="6" t="s">
        <v>2</v>
      </c>
      <c r="H43" s="731"/>
      <c r="I43" s="731"/>
    </row>
    <row r="45" spans="2:13">
      <c r="B45" s="6" t="s">
        <v>2</v>
      </c>
      <c r="C45" s="6">
        <v>0.224</v>
      </c>
      <c r="D45" s="105" t="s">
        <v>3</v>
      </c>
      <c r="E45" s="495">
        <v>1.8</v>
      </c>
      <c r="F45" s="6" t="s">
        <v>1065</v>
      </c>
      <c r="G45" s="6">
        <v>1.2</v>
      </c>
      <c r="H45" s="6" t="s">
        <v>7</v>
      </c>
      <c r="I45" s="731">
        <v>0.82499999999999996</v>
      </c>
      <c r="J45" s="731"/>
      <c r="K45" s="6" t="s">
        <v>15</v>
      </c>
    </row>
    <row r="47" spans="2:13" ht="14.25">
      <c r="B47" s="83" t="s">
        <v>2</v>
      </c>
      <c r="C47" s="6">
        <v>0.81599999999999995</v>
      </c>
      <c r="D47" s="6" t="s">
        <v>1063</v>
      </c>
    </row>
    <row r="48" spans="2:13">
      <c r="B48" s="6" t="s">
        <v>1066</v>
      </c>
    </row>
    <row r="49" spans="2:16">
      <c r="B49" s="6" t="s">
        <v>1067</v>
      </c>
    </row>
    <row r="50" spans="2:16">
      <c r="C50" s="398">
        <v>1</v>
      </c>
      <c r="D50" s="807" t="s">
        <v>1068</v>
      </c>
      <c r="E50" s="732">
        <v>0.81599999999999995</v>
      </c>
      <c r="F50" s="732"/>
      <c r="G50" s="732" t="s">
        <v>16</v>
      </c>
      <c r="H50" s="732">
        <v>0.48299999999999998</v>
      </c>
      <c r="I50" s="732"/>
      <c r="J50" s="732" t="s">
        <v>1069</v>
      </c>
      <c r="K50" s="732">
        <v>0.82499999999999996</v>
      </c>
      <c r="L50" s="732" t="s">
        <v>244</v>
      </c>
      <c r="M50" s="732">
        <v>0.42</v>
      </c>
      <c r="N50" s="732"/>
      <c r="O50" s="732" t="s">
        <v>244</v>
      </c>
      <c r="P50" s="801">
        <v>0.875</v>
      </c>
    </row>
    <row r="51" spans="2:16">
      <c r="B51" s="6" t="s">
        <v>2</v>
      </c>
      <c r="C51" s="105">
        <v>2</v>
      </c>
      <c r="D51" s="732"/>
      <c r="E51" s="732"/>
      <c r="F51" s="732"/>
      <c r="G51" s="732"/>
      <c r="H51" s="732"/>
      <c r="I51" s="732"/>
      <c r="J51" s="732"/>
      <c r="K51" s="732"/>
      <c r="L51" s="732"/>
      <c r="M51" s="732"/>
      <c r="N51" s="732"/>
      <c r="O51" s="732"/>
      <c r="P51" s="801"/>
    </row>
    <row r="53" spans="2:16">
      <c r="D53" s="6" t="s">
        <v>7</v>
      </c>
      <c r="E53" s="732">
        <v>0.48299999999999998</v>
      </c>
      <c r="F53" s="732"/>
      <c r="G53" s="732" t="s">
        <v>244</v>
      </c>
      <c r="H53" s="732">
        <v>0.82499999999999996</v>
      </c>
      <c r="I53" s="732"/>
      <c r="J53" s="732" t="s">
        <v>1070</v>
      </c>
      <c r="K53" s="398">
        <v>0.52800000000000002</v>
      </c>
    </row>
    <row r="54" spans="2:16">
      <c r="E54" s="732"/>
      <c r="F54" s="732"/>
      <c r="G54" s="732"/>
      <c r="H54" s="732"/>
      <c r="I54" s="732"/>
      <c r="J54" s="732"/>
      <c r="K54" s="105">
        <v>2</v>
      </c>
    </row>
    <row r="55" spans="2:16">
      <c r="B55" s="6" t="s">
        <v>2</v>
      </c>
      <c r="C55" s="6">
        <v>4.8000000000000001E-2</v>
      </c>
      <c r="D55" s="6" t="s">
        <v>7</v>
      </c>
      <c r="E55" s="731">
        <v>0.16400000000000001</v>
      </c>
      <c r="F55" s="731"/>
    </row>
    <row r="57" spans="2:16">
      <c r="B57" s="6" t="s">
        <v>2</v>
      </c>
      <c r="C57" s="6">
        <v>0.21</v>
      </c>
      <c r="D57" s="6" t="s">
        <v>597</v>
      </c>
      <c r="E57" s="135"/>
    </row>
    <row r="58" spans="2:16">
      <c r="C58" s="6" t="s">
        <v>1071</v>
      </c>
      <c r="F58" s="163"/>
      <c r="G58" s="163"/>
    </row>
    <row r="60" spans="2:16">
      <c r="B60" s="6" t="s">
        <v>2</v>
      </c>
      <c r="D60" s="6">
        <v>1.07</v>
      </c>
      <c r="E60" s="6" t="s">
        <v>7</v>
      </c>
      <c r="F60" s="483">
        <v>0.21</v>
      </c>
      <c r="G60" s="483"/>
    </row>
    <row r="61" spans="2:16">
      <c r="F61" s="483"/>
      <c r="G61" s="483"/>
    </row>
    <row r="62" spans="2:16">
      <c r="B62" s="6" t="s">
        <v>2</v>
      </c>
      <c r="D62" s="6">
        <v>1.28</v>
      </c>
      <c r="E62" s="6" t="s">
        <v>597</v>
      </c>
      <c r="F62" s="135" t="s">
        <v>2</v>
      </c>
      <c r="G62" s="83">
        <f>D62*10</f>
        <v>12.8</v>
      </c>
      <c r="H62" s="83" t="s">
        <v>5</v>
      </c>
    </row>
    <row r="63" spans="2:16" ht="21" customHeight="1">
      <c r="B63" s="6" t="s">
        <v>1072</v>
      </c>
      <c r="D63" s="6" t="s">
        <v>2</v>
      </c>
      <c r="E63" s="808">
        <v>3.16</v>
      </c>
      <c r="F63" s="808"/>
      <c r="G63" s="398" t="s">
        <v>244</v>
      </c>
      <c r="H63" s="490" t="s">
        <v>1073</v>
      </c>
    </row>
    <row r="64" spans="2:16">
      <c r="F64" s="7">
        <v>30</v>
      </c>
      <c r="G64" s="105" t="s">
        <v>244</v>
      </c>
      <c r="H64" s="6">
        <v>100</v>
      </c>
    </row>
    <row r="65" spans="2:10" ht="14.25">
      <c r="D65" s="6" t="s">
        <v>2</v>
      </c>
      <c r="E65" s="731">
        <f>1.26*25/30</f>
        <v>1.05</v>
      </c>
      <c r="F65" s="731"/>
      <c r="G65" s="6" t="s">
        <v>1074</v>
      </c>
    </row>
    <row r="68" spans="2:10" ht="14.25">
      <c r="B68" s="6" t="s">
        <v>1075</v>
      </c>
      <c r="D68" s="6" t="s">
        <v>2</v>
      </c>
      <c r="E68" s="808">
        <v>1.28</v>
      </c>
      <c r="F68" s="808"/>
      <c r="G68" s="398" t="s">
        <v>244</v>
      </c>
      <c r="H68" s="490" t="s">
        <v>1073</v>
      </c>
      <c r="I68" s="490"/>
      <c r="J68" s="490"/>
    </row>
    <row r="69" spans="2:10" ht="14.25" customHeight="1">
      <c r="E69" s="496">
        <v>1</v>
      </c>
      <c r="F69" s="105" t="s">
        <v>244</v>
      </c>
      <c r="G69" s="105">
        <v>100</v>
      </c>
      <c r="H69" s="105" t="s">
        <v>244</v>
      </c>
      <c r="I69" s="809" t="s">
        <v>1076</v>
      </c>
      <c r="J69" s="809"/>
    </row>
    <row r="70" spans="2:10">
      <c r="E70" s="105">
        <v>6</v>
      </c>
    </row>
    <row r="72" spans="2:10" ht="14.25">
      <c r="D72" s="6" t="s">
        <v>2</v>
      </c>
      <c r="E72" s="719">
        <f>1280/(100*900/6)</f>
        <v>8.533333333333333E-2</v>
      </c>
      <c r="F72" s="719"/>
      <c r="G72" s="6" t="s">
        <v>1074</v>
      </c>
    </row>
    <row r="74" spans="2:10">
      <c r="B74" s="6" t="s">
        <v>1077</v>
      </c>
      <c r="F74" s="483"/>
      <c r="G74" s="483"/>
    </row>
    <row r="75" spans="2:10">
      <c r="F75" s="483"/>
      <c r="G75" s="483"/>
    </row>
    <row r="76" spans="2:10" ht="14.25">
      <c r="B76" s="6" t="s">
        <v>1078</v>
      </c>
      <c r="G76" s="6">
        <v>67</v>
      </c>
      <c r="H76" s="6" t="s">
        <v>1074</v>
      </c>
    </row>
    <row r="79" spans="2:10">
      <c r="B79" s="6" t="s">
        <v>1079</v>
      </c>
    </row>
    <row r="80" spans="2:10" ht="14.25">
      <c r="C80" s="6" t="s">
        <v>605</v>
      </c>
      <c r="D80" s="6" t="s">
        <v>2</v>
      </c>
      <c r="E80" s="6">
        <v>50</v>
      </c>
      <c r="F80" s="6" t="s">
        <v>1074</v>
      </c>
    </row>
    <row r="83" spans="2:11">
      <c r="B83" s="6" t="s">
        <v>2</v>
      </c>
      <c r="D83" s="398">
        <v>1.05</v>
      </c>
      <c r="E83" s="732" t="s">
        <v>7</v>
      </c>
      <c r="F83" s="731">
        <v>0.09</v>
      </c>
      <c r="G83" s="731"/>
      <c r="H83" s="811" t="s">
        <v>883</v>
      </c>
      <c r="I83" s="732">
        <v>1</v>
      </c>
      <c r="J83" s="732"/>
    </row>
    <row r="84" spans="2:11">
      <c r="D84" s="105">
        <v>50</v>
      </c>
      <c r="E84" s="732"/>
      <c r="F84" s="731">
        <v>67</v>
      </c>
      <c r="G84" s="731"/>
      <c r="H84" s="812"/>
      <c r="I84" s="732"/>
      <c r="J84" s="732"/>
    </row>
    <row r="86" spans="2:11">
      <c r="B86" s="6" t="s">
        <v>2</v>
      </c>
      <c r="D86" s="6">
        <f>1.05/50</f>
        <v>2.1000000000000001E-2</v>
      </c>
      <c r="E86" s="6" t="s">
        <v>7</v>
      </c>
      <c r="F86" s="810">
        <f>0.09/67</f>
        <v>1.3432835820895521E-3</v>
      </c>
      <c r="G86" s="810"/>
      <c r="H86" s="497" t="s">
        <v>883</v>
      </c>
      <c r="I86" s="498">
        <v>1</v>
      </c>
    </row>
    <row r="87" spans="2:11">
      <c r="H87" s="498"/>
      <c r="I87" s="498"/>
    </row>
    <row r="88" spans="2:11">
      <c r="B88" s="6" t="s">
        <v>2</v>
      </c>
      <c r="D88" s="6">
        <v>2.1999999999999999E-2</v>
      </c>
      <c r="H88" s="497" t="s">
        <v>883</v>
      </c>
      <c r="I88" s="498">
        <v>1</v>
      </c>
      <c r="K88" s="83" t="s">
        <v>1080</v>
      </c>
    </row>
    <row r="94" spans="2:11">
      <c r="E94" s="483"/>
      <c r="F94" s="483"/>
      <c r="G94" s="483"/>
    </row>
    <row r="95" spans="2:11">
      <c r="E95" s="483"/>
      <c r="F95" s="483"/>
      <c r="G95" s="483"/>
    </row>
    <row r="97" spans="2:2">
      <c r="B97" s="479"/>
    </row>
  </sheetData>
  <mergeCells count="43">
    <mergeCell ref="F86:G86"/>
    <mergeCell ref="E83:E84"/>
    <mergeCell ref="F83:G83"/>
    <mergeCell ref="H83:H84"/>
    <mergeCell ref="I83:I84"/>
    <mergeCell ref="J83:J84"/>
    <mergeCell ref="F84:G84"/>
    <mergeCell ref="E55:F55"/>
    <mergeCell ref="E63:F63"/>
    <mergeCell ref="E65:F65"/>
    <mergeCell ref="E68:F68"/>
    <mergeCell ref="I69:J69"/>
    <mergeCell ref="E72:F72"/>
    <mergeCell ref="K50:K51"/>
    <mergeCell ref="L50:L51"/>
    <mergeCell ref="M50:N51"/>
    <mergeCell ref="O50:O51"/>
    <mergeCell ref="P50:P51"/>
    <mergeCell ref="E53:F54"/>
    <mergeCell ref="G53:G54"/>
    <mergeCell ref="H53:I54"/>
    <mergeCell ref="J53:J54"/>
    <mergeCell ref="H37:I37"/>
    <mergeCell ref="H43:I43"/>
    <mergeCell ref="I45:J45"/>
    <mergeCell ref="D50:D51"/>
    <mergeCell ref="E50:F51"/>
    <mergeCell ref="G50:G51"/>
    <mergeCell ref="H50:I51"/>
    <mergeCell ref="J50:J51"/>
    <mergeCell ref="E25:F25"/>
    <mergeCell ref="J25:K25"/>
    <mergeCell ref="I31:J31"/>
    <mergeCell ref="H32:J32"/>
    <mergeCell ref="G35:H35"/>
    <mergeCell ref="K35:L35"/>
    <mergeCell ref="E13:F13"/>
    <mergeCell ref="D16:D17"/>
    <mergeCell ref="E16:F16"/>
    <mergeCell ref="G16:G17"/>
    <mergeCell ref="H16:H17"/>
    <mergeCell ref="I16:J17"/>
    <mergeCell ref="E17:F17"/>
  </mergeCells>
  <pageMargins left="0.75" right="0.75" top="1" bottom="1" header="0.5" footer="0.5"/>
  <pageSetup paperSize="9" fitToHeight="28" orientation="landscape" verticalDpi="300" r:id="rId1"/>
  <headerFooter>
    <oddFooter>&amp;L&amp;P/{&amp;N}&amp;C&amp;F&amp;R&amp;A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7"/>
    <pageSetUpPr fitToPage="1"/>
  </sheetPr>
  <dimension ref="A1:J144"/>
  <sheetViews>
    <sheetView topLeftCell="B1" workbookViewId="0"/>
  </sheetViews>
  <sheetFormatPr defaultRowHeight="12.75"/>
  <cols>
    <col min="1" max="1" width="49" customWidth="1"/>
  </cols>
  <sheetData>
    <row r="1" spans="1:9">
      <c r="A1" t="s">
        <v>1081</v>
      </c>
    </row>
    <row r="2" spans="1:9">
      <c r="A2" t="s">
        <v>1082</v>
      </c>
      <c r="B2">
        <v>925</v>
      </c>
      <c r="C2" t="s">
        <v>1</v>
      </c>
    </row>
    <row r="3" spans="1:9">
      <c r="A3" t="s">
        <v>1083</v>
      </c>
      <c r="B3">
        <v>75</v>
      </c>
      <c r="C3" t="s">
        <v>1</v>
      </c>
    </row>
    <row r="4" spans="1:9">
      <c r="A4" t="s">
        <v>1084</v>
      </c>
      <c r="B4">
        <v>25</v>
      </c>
      <c r="C4" t="s">
        <v>1</v>
      </c>
    </row>
    <row r="5" spans="1:9">
      <c r="A5" t="s">
        <v>1085</v>
      </c>
      <c r="B5">
        <v>25</v>
      </c>
      <c r="C5" t="s">
        <v>1</v>
      </c>
    </row>
    <row r="6" spans="1:9">
      <c r="A6" s="163" t="s">
        <v>1086</v>
      </c>
      <c r="B6">
        <f>B2</f>
        <v>925</v>
      </c>
      <c r="C6" s="19" t="s">
        <v>16</v>
      </c>
      <c r="D6">
        <f>B5</f>
        <v>25</v>
      </c>
      <c r="E6" s="19" t="s">
        <v>16</v>
      </c>
      <c r="F6">
        <f>B5</f>
        <v>25</v>
      </c>
      <c r="G6" s="19" t="s">
        <v>825</v>
      </c>
      <c r="H6">
        <f>B2-B5-B4/2</f>
        <v>887.5</v>
      </c>
      <c r="I6" t="s">
        <v>1</v>
      </c>
    </row>
    <row r="7" spans="1:9">
      <c r="A7" s="163" t="s">
        <v>1087</v>
      </c>
      <c r="B7" s="163">
        <v>10</v>
      </c>
      <c r="C7" t="s">
        <v>0</v>
      </c>
    </row>
    <row r="8" spans="1:9">
      <c r="A8" t="s">
        <v>1088</v>
      </c>
    </row>
    <row r="9" spans="1:9">
      <c r="A9" t="s">
        <v>1089</v>
      </c>
      <c r="B9">
        <f>B2/1000</f>
        <v>0.92500000000000004</v>
      </c>
      <c r="C9" s="19" t="s">
        <v>3</v>
      </c>
      <c r="D9">
        <v>2.4</v>
      </c>
      <c r="E9" s="19" t="s">
        <v>2</v>
      </c>
      <c r="F9">
        <f>B9*D9</f>
        <v>2.2200000000000002</v>
      </c>
      <c r="G9" t="s">
        <v>1090</v>
      </c>
    </row>
    <row r="10" spans="1:9">
      <c r="A10" t="s">
        <v>1091</v>
      </c>
      <c r="B10">
        <v>7.4999999999999997E-2</v>
      </c>
      <c r="C10" s="19" t="s">
        <v>3</v>
      </c>
      <c r="D10">
        <v>2.4</v>
      </c>
      <c r="E10" s="19" t="s">
        <v>2</v>
      </c>
      <c r="F10">
        <f>B10*D10</f>
        <v>0.18</v>
      </c>
      <c r="G10" t="s">
        <v>1090</v>
      </c>
    </row>
    <row r="11" spans="1:9">
      <c r="A11" s="7" t="s">
        <v>1092</v>
      </c>
      <c r="D11" s="731"/>
      <c r="E11" s="731"/>
      <c r="F11" s="1">
        <f>SUM(F9:F10)</f>
        <v>2.4000000000000004</v>
      </c>
      <c r="G11" t="s">
        <v>1090</v>
      </c>
    </row>
    <row r="12" spans="1:9">
      <c r="A12" t="s">
        <v>1093</v>
      </c>
      <c r="B12" s="731" t="str">
        <f>CONCATENATE(F11,"x",B7,"x",B7,"/8 =")</f>
        <v>2.4x10x10/8 =</v>
      </c>
      <c r="C12" s="731"/>
      <c r="D12" s="731"/>
      <c r="E12" s="731"/>
      <c r="F12" s="2">
        <f>F11*B7^2/8</f>
        <v>30.000000000000004</v>
      </c>
      <c r="G12" t="s">
        <v>597</v>
      </c>
    </row>
    <row r="13" spans="1:9">
      <c r="B13" s="105"/>
      <c r="C13" s="105"/>
      <c r="D13" s="105"/>
      <c r="E13" s="105"/>
    </row>
    <row r="14" spans="1:9">
      <c r="A14" s="1" t="s">
        <v>611</v>
      </c>
    </row>
    <row r="15" spans="1:9">
      <c r="A15" t="s">
        <v>612</v>
      </c>
    </row>
    <row r="16" spans="1:9">
      <c r="A16" s="1" t="s">
        <v>613</v>
      </c>
    </row>
    <row r="17" spans="1:4">
      <c r="A17" t="s">
        <v>615</v>
      </c>
      <c r="B17" s="19"/>
    </row>
    <row r="18" spans="1:4">
      <c r="A18" t="str">
        <f>CONCATENATE("= ",3.6,"+2(",B3/1000,"+",B2/1000,")=")</f>
        <v>= 3.6+2(0.075+0.925)=</v>
      </c>
      <c r="B18" s="177" t="s">
        <v>2</v>
      </c>
      <c r="C18" s="38">
        <f>3.6+(B2+B3)/500</f>
        <v>5.6</v>
      </c>
      <c r="D18" t="s">
        <v>0</v>
      </c>
    </row>
    <row r="19" spans="1:4">
      <c r="B19" s="177"/>
    </row>
    <row r="20" spans="1:4">
      <c r="A20" s="1" t="s">
        <v>618</v>
      </c>
    </row>
    <row r="21" spans="1:4">
      <c r="A21" t="s">
        <v>1094</v>
      </c>
    </row>
    <row r="22" spans="1:4">
      <c r="A22" t="s">
        <v>1095</v>
      </c>
    </row>
    <row r="23" spans="1:4">
      <c r="B23" t="s">
        <v>622</v>
      </c>
    </row>
    <row r="24" spans="1:4">
      <c r="B24" t="s">
        <v>623</v>
      </c>
    </row>
    <row r="25" spans="1:4">
      <c r="B25" t="s">
        <v>624</v>
      </c>
    </row>
    <row r="26" spans="1:4">
      <c r="B26" t="s">
        <v>625</v>
      </c>
    </row>
    <row r="27" spans="1:4">
      <c r="B27" t="s">
        <v>626</v>
      </c>
    </row>
    <row r="28" spans="1:4">
      <c r="A28" s="7" t="s">
        <v>1096</v>
      </c>
    </row>
    <row r="29" spans="1:4">
      <c r="A29" s="7" t="s">
        <v>1097</v>
      </c>
      <c r="B29" s="19" t="s">
        <v>2</v>
      </c>
      <c r="C29" s="2">
        <v>7.5</v>
      </c>
      <c r="D29" t="s">
        <v>0</v>
      </c>
    </row>
    <row r="30" spans="1:4">
      <c r="A30" s="7" t="s">
        <v>1098</v>
      </c>
      <c r="B30" s="19" t="s">
        <v>2</v>
      </c>
      <c r="C30" s="180">
        <v>10</v>
      </c>
      <c r="D30" t="s">
        <v>0</v>
      </c>
    </row>
    <row r="31" spans="1:4">
      <c r="A31" s="7" t="s">
        <v>1099</v>
      </c>
      <c r="B31" s="19" t="s">
        <v>2</v>
      </c>
      <c r="C31">
        <f>ROUND(C29/C30,2)</f>
        <v>0.75</v>
      </c>
    </row>
    <row r="32" spans="1:4">
      <c r="A32" s="7" t="s">
        <v>1100</v>
      </c>
      <c r="B32" t="s">
        <v>616</v>
      </c>
      <c r="C32">
        <v>2.4</v>
      </c>
    </row>
    <row r="33" spans="1:8">
      <c r="A33" s="7" t="s">
        <v>1101</v>
      </c>
      <c r="B33" t="s">
        <v>1102</v>
      </c>
      <c r="D33" s="2">
        <v>1</v>
      </c>
      <c r="E33" t="s">
        <v>0</v>
      </c>
    </row>
    <row r="34" spans="1:8">
      <c r="A34" s="7" t="s">
        <v>3</v>
      </c>
      <c r="B34" s="19" t="s">
        <v>2</v>
      </c>
      <c r="C34" t="s">
        <v>1103</v>
      </c>
      <c r="D34" s="19" t="s">
        <v>2</v>
      </c>
      <c r="E34" s="180">
        <f>C30</f>
        <v>10</v>
      </c>
      <c r="F34" s="19" t="s">
        <v>825</v>
      </c>
      <c r="G34" s="2">
        <f>E34/2</f>
        <v>5</v>
      </c>
      <c r="H34" t="s">
        <v>0</v>
      </c>
    </row>
    <row r="35" spans="1:8">
      <c r="A35" s="99" t="s">
        <v>1104</v>
      </c>
      <c r="B35" s="206" t="s">
        <v>2</v>
      </c>
      <c r="C35" s="38">
        <f>C32*(1-G34/C30)+D33</f>
        <v>2.2000000000000002</v>
      </c>
      <c r="D35" s="1" t="s">
        <v>0</v>
      </c>
    </row>
    <row r="36" spans="1:8">
      <c r="A36" t="s">
        <v>640</v>
      </c>
    </row>
    <row r="37" spans="1:8">
      <c r="A37" t="s">
        <v>641</v>
      </c>
    </row>
    <row r="38" spans="1:8">
      <c r="A38" t="s">
        <v>1105</v>
      </c>
    </row>
    <row r="39" spans="1:8">
      <c r="A39" t="s">
        <v>1106</v>
      </c>
    </row>
    <row r="40" spans="1:8">
      <c r="B40" t="s">
        <v>1107</v>
      </c>
    </row>
    <row r="41" spans="1:8">
      <c r="A41" s="7" t="s">
        <v>1108</v>
      </c>
      <c r="H41">
        <f>1.925+3.825</f>
        <v>5.75</v>
      </c>
    </row>
    <row r="43" spans="1:8">
      <c r="A43" s="7" t="s">
        <v>1109</v>
      </c>
      <c r="B43" s="19" t="s">
        <v>2</v>
      </c>
      <c r="C43">
        <f>2.05+1.93+2.8</f>
        <v>6.7799999999999994</v>
      </c>
      <c r="D43" t="s">
        <v>29</v>
      </c>
    </row>
    <row r="44" spans="1:8">
      <c r="A44" s="7" t="s">
        <v>650</v>
      </c>
    </row>
    <row r="45" spans="1:8">
      <c r="A45" s="83" t="s">
        <v>1110</v>
      </c>
      <c r="B45" s="19" t="s">
        <v>1111</v>
      </c>
    </row>
    <row r="46" spans="1:8">
      <c r="B46" s="19" t="s">
        <v>2</v>
      </c>
      <c r="C46">
        <f>ROUNDUP(70*1.1375,2)</f>
        <v>79.63000000000001</v>
      </c>
      <c r="D46" t="s">
        <v>660</v>
      </c>
    </row>
    <row r="47" spans="1:8">
      <c r="A47" s="1" t="s">
        <v>1112</v>
      </c>
      <c r="B47" s="19" t="s">
        <v>2</v>
      </c>
      <c r="C47">
        <f>C46</f>
        <v>79.63000000000001</v>
      </c>
      <c r="D47" s="19" t="s">
        <v>1113</v>
      </c>
      <c r="E47" s="2">
        <f>C35</f>
        <v>2.2000000000000002</v>
      </c>
      <c r="F47" s="19" t="s">
        <v>3</v>
      </c>
      <c r="G47" s="2">
        <f>C43</f>
        <v>6.7799999999999994</v>
      </c>
      <c r="H47" s="19" t="s">
        <v>1114</v>
      </c>
    </row>
    <row r="48" spans="1:8">
      <c r="A48" s="19"/>
      <c r="B48" s="19" t="s">
        <v>2</v>
      </c>
      <c r="C48">
        <f>ROUND(C46/(E47*G47),2)</f>
        <v>5.34</v>
      </c>
      <c r="D48" t="s">
        <v>660</v>
      </c>
    </row>
    <row r="49" spans="1:5">
      <c r="A49" s="1" t="s">
        <v>662</v>
      </c>
    </row>
    <row r="51" spans="1:5">
      <c r="A51" t="s">
        <v>1115</v>
      </c>
    </row>
    <row r="53" spans="1:5">
      <c r="A53" s="7" t="s">
        <v>1116</v>
      </c>
      <c r="B53" s="398">
        <v>5.6</v>
      </c>
      <c r="C53" s="812" t="s">
        <v>1117</v>
      </c>
      <c r="D53" s="398">
        <v>5.6</v>
      </c>
      <c r="E53" s="801" t="s">
        <v>15</v>
      </c>
    </row>
    <row r="54" spans="1:5">
      <c r="A54" s="7"/>
      <c r="B54" s="105">
        <v>2</v>
      </c>
      <c r="C54" s="812"/>
      <c r="D54" s="105">
        <v>5</v>
      </c>
      <c r="E54" s="801"/>
    </row>
    <row r="55" spans="1:5">
      <c r="A55" s="7"/>
    </row>
    <row r="56" spans="1:5">
      <c r="A56" s="7" t="s">
        <v>1118</v>
      </c>
      <c r="B56" s="499">
        <f>ROUND(C48*C18/2*(C30-C18/5),2)</f>
        <v>132.77000000000001</v>
      </c>
      <c r="C56" t="s">
        <v>1119</v>
      </c>
    </row>
    <row r="57" spans="1:5">
      <c r="A57" t="s">
        <v>1120</v>
      </c>
    </row>
    <row r="59" spans="1:5">
      <c r="A59" t="s">
        <v>1121</v>
      </c>
    </row>
    <row r="60" spans="1:5">
      <c r="A60" t="s">
        <v>1122</v>
      </c>
    </row>
    <row r="62" spans="1:5">
      <c r="A62" s="1" t="s">
        <v>663</v>
      </c>
    </row>
    <row r="63" spans="1:5">
      <c r="A63" s="7" t="s">
        <v>664</v>
      </c>
      <c r="B63" t="s">
        <v>665</v>
      </c>
    </row>
    <row r="64" spans="1:5">
      <c r="A64" s="7"/>
    </row>
    <row r="65" spans="1:4">
      <c r="A65" s="7" t="s">
        <v>1123</v>
      </c>
      <c r="B65" t="s">
        <v>667</v>
      </c>
    </row>
    <row r="66" spans="1:4">
      <c r="A66" s="7"/>
    </row>
    <row r="67" spans="1:4">
      <c r="A67" s="7" t="s">
        <v>1124</v>
      </c>
      <c r="B67" t="s">
        <v>669</v>
      </c>
    </row>
    <row r="68" spans="1:4">
      <c r="A68" s="7"/>
    </row>
    <row r="69" spans="1:4">
      <c r="A69" s="7" t="s">
        <v>670</v>
      </c>
      <c r="B69" t="s">
        <v>671</v>
      </c>
    </row>
    <row r="70" spans="1:4">
      <c r="A70" s="7"/>
    </row>
    <row r="71" spans="1:4">
      <c r="A71" s="7" t="s">
        <v>672</v>
      </c>
      <c r="B71" t="s">
        <v>673</v>
      </c>
      <c r="C71" t="s">
        <v>674</v>
      </c>
    </row>
    <row r="72" spans="1:4">
      <c r="A72" t="s">
        <v>675</v>
      </c>
    </row>
    <row r="73" spans="1:4">
      <c r="A73" s="7" t="s">
        <v>1125</v>
      </c>
      <c r="B73" s="19" t="s">
        <v>2</v>
      </c>
      <c r="C73">
        <v>1.8</v>
      </c>
      <c r="D73" t="s">
        <v>0</v>
      </c>
    </row>
    <row r="75" spans="1:4">
      <c r="A75" t="s">
        <v>1126</v>
      </c>
    </row>
    <row r="76" spans="1:4">
      <c r="A76" t="s">
        <v>678</v>
      </c>
    </row>
    <row r="78" spans="1:4">
      <c r="A78" s="7" t="s">
        <v>679</v>
      </c>
      <c r="D78" s="163" t="s">
        <v>680</v>
      </c>
    </row>
    <row r="79" spans="1:4">
      <c r="A79" s="7" t="s">
        <v>681</v>
      </c>
      <c r="D79" t="s">
        <v>682</v>
      </c>
    </row>
    <row r="80" spans="1:4">
      <c r="A80" s="7"/>
    </row>
    <row r="81" spans="1:10">
      <c r="A81" s="7" t="s">
        <v>1127</v>
      </c>
      <c r="C81" t="s">
        <v>7</v>
      </c>
      <c r="D81">
        <v>1.8</v>
      </c>
    </row>
    <row r="82" spans="1:10">
      <c r="A82" s="7"/>
    </row>
    <row r="83" spans="1:10">
      <c r="A83" s="7" t="s">
        <v>1128</v>
      </c>
      <c r="B83" t="s">
        <v>685</v>
      </c>
    </row>
    <row r="84" spans="1:10">
      <c r="A84" t="s">
        <v>1129</v>
      </c>
    </row>
    <row r="86" spans="1:10">
      <c r="A86" t="s">
        <v>1130</v>
      </c>
    </row>
    <row r="88" spans="1:10">
      <c r="A88" s="7" t="s">
        <v>1131</v>
      </c>
    </row>
    <row r="89" spans="1:10">
      <c r="A89" s="7"/>
    </row>
    <row r="90" spans="1:10">
      <c r="A90" s="7" t="s">
        <v>1132</v>
      </c>
    </row>
    <row r="91" spans="1:10">
      <c r="A91" s="7"/>
    </row>
    <row r="92" spans="1:10">
      <c r="A92" s="7" t="s">
        <v>1133</v>
      </c>
      <c r="B92" t="s">
        <v>1134</v>
      </c>
      <c r="C92" t="s">
        <v>1135</v>
      </c>
    </row>
    <row r="93" spans="1:10">
      <c r="A93" s="7"/>
      <c r="J93">
        <f>(2.4*4)*(1-4/8)</f>
        <v>4.8</v>
      </c>
    </row>
    <row r="94" spans="1:10">
      <c r="A94" s="7" t="s">
        <v>1136</v>
      </c>
      <c r="B94" t="s">
        <v>1137</v>
      </c>
      <c r="D94" t="s">
        <v>1138</v>
      </c>
    </row>
    <row r="95" spans="1:10">
      <c r="A95" s="7"/>
    </row>
    <row r="96" spans="1:10">
      <c r="A96" s="7" t="s">
        <v>1139</v>
      </c>
      <c r="B96" t="s">
        <v>1140</v>
      </c>
      <c r="E96">
        <v>0.45</v>
      </c>
      <c r="F96" t="s">
        <v>29</v>
      </c>
    </row>
    <row r="98" spans="1:6">
      <c r="A98" s="7" t="s">
        <v>1141</v>
      </c>
      <c r="B98" t="s">
        <v>288</v>
      </c>
      <c r="C98">
        <f>2.4*G34*(1-G34/C30)+E96</f>
        <v>6.45</v>
      </c>
      <c r="D98" t="s">
        <v>29</v>
      </c>
      <c r="F98" t="s">
        <v>1142</v>
      </c>
    </row>
    <row r="100" spans="1:6">
      <c r="A100" t="s">
        <v>1143</v>
      </c>
    </row>
    <row r="102" spans="1:6">
      <c r="A102" t="s">
        <v>1144</v>
      </c>
    </row>
    <row r="104" spans="1:6">
      <c r="A104" t="s">
        <v>1145</v>
      </c>
    </row>
    <row r="106" spans="1:6">
      <c r="A106" t="s">
        <v>1146</v>
      </c>
    </row>
    <row r="107" spans="1:6">
      <c r="A107" t="s">
        <v>1147</v>
      </c>
    </row>
    <row r="108" spans="1:6">
      <c r="A108" t="s">
        <v>1148</v>
      </c>
    </row>
    <row r="109" spans="1:6">
      <c r="A109" t="s">
        <v>1149</v>
      </c>
    </row>
    <row r="111" spans="1:6">
      <c r="A111" s="7" t="s">
        <v>1150</v>
      </c>
      <c r="B111" s="19" t="s">
        <v>1151</v>
      </c>
      <c r="C111" t="s">
        <v>1152</v>
      </c>
      <c r="E111" s="500">
        <v>6.45</v>
      </c>
    </row>
    <row r="112" spans="1:6">
      <c r="B112" s="105">
        <v>2</v>
      </c>
      <c r="E112" s="105">
        <v>2</v>
      </c>
    </row>
    <row r="114" spans="1:5">
      <c r="A114" s="7" t="s">
        <v>1150</v>
      </c>
      <c r="B114" t="s">
        <v>1153</v>
      </c>
    </row>
    <row r="116" spans="1:5">
      <c r="A116" s="501" t="s">
        <v>2</v>
      </c>
      <c r="B116" s="203">
        <f>2.2+3.225+1.655</f>
        <v>7.080000000000001</v>
      </c>
      <c r="C116" t="s">
        <v>0</v>
      </c>
    </row>
    <row r="117" spans="1:5">
      <c r="A117" t="s">
        <v>1154</v>
      </c>
    </row>
    <row r="118" spans="1:5">
      <c r="A118" s="6" t="s">
        <v>1155</v>
      </c>
      <c r="B118" t="s">
        <v>639</v>
      </c>
      <c r="C118" s="6">
        <v>1.25</v>
      </c>
    </row>
    <row r="119" spans="1:5">
      <c r="A119" s="6" t="s">
        <v>1156</v>
      </c>
    </row>
    <row r="120" spans="1:5">
      <c r="A120" s="6" t="s">
        <v>1157</v>
      </c>
    </row>
    <row r="121" spans="1:5">
      <c r="A121" s="6" t="s">
        <v>1158</v>
      </c>
    </row>
    <row r="122" spans="1:5">
      <c r="A122" s="6"/>
    </row>
    <row r="123" spans="1:5">
      <c r="A123" s="7" t="s">
        <v>1159</v>
      </c>
      <c r="C123" s="398" t="s">
        <v>1160</v>
      </c>
      <c r="D123" s="489"/>
      <c r="E123" s="489"/>
    </row>
    <row r="124" spans="1:5">
      <c r="A124" s="7"/>
      <c r="C124" t="s">
        <v>1161</v>
      </c>
    </row>
    <row r="125" spans="1:5">
      <c r="A125" s="7" t="s">
        <v>1118</v>
      </c>
      <c r="B125" s="733" t="s">
        <v>1162</v>
      </c>
      <c r="C125" s="733"/>
    </row>
    <row r="126" spans="1:5">
      <c r="A126" s="7"/>
      <c r="B126" s="731" t="s">
        <v>1163</v>
      </c>
      <c r="C126" s="731"/>
    </row>
    <row r="127" spans="1:5">
      <c r="A127" s="7"/>
    </row>
    <row r="128" spans="1:5">
      <c r="A128" s="7" t="s">
        <v>1118</v>
      </c>
      <c r="B128">
        <f>ROUND(50/(3*B116),2)</f>
        <v>2.35</v>
      </c>
      <c r="C128" t="s">
        <v>655</v>
      </c>
    </row>
    <row r="129" spans="1:5">
      <c r="A129" t="s">
        <v>1143</v>
      </c>
    </row>
    <row r="130" spans="1:5">
      <c r="A130" t="s">
        <v>1164</v>
      </c>
    </row>
    <row r="131" spans="1:5">
      <c r="A131" s="7" t="s">
        <v>1165</v>
      </c>
      <c r="B131" s="398">
        <v>7.08</v>
      </c>
      <c r="C131" s="812" t="s">
        <v>1117</v>
      </c>
      <c r="D131" s="398">
        <v>7.08</v>
      </c>
      <c r="E131" s="801" t="s">
        <v>15</v>
      </c>
    </row>
    <row r="132" spans="1:5">
      <c r="A132" s="7"/>
      <c r="B132" s="105">
        <v>2</v>
      </c>
      <c r="C132" s="812"/>
      <c r="D132" s="105">
        <v>5</v>
      </c>
      <c r="E132" s="801"/>
    </row>
    <row r="133" spans="1:5">
      <c r="A133" s="7"/>
    </row>
    <row r="134" spans="1:5">
      <c r="A134" s="7" t="s">
        <v>1118</v>
      </c>
      <c r="B134" s="499">
        <f>B128*B116/2*(C30-B116/G34)</f>
        <v>71.410296000000002</v>
      </c>
      <c r="C134" t="s">
        <v>1119</v>
      </c>
    </row>
    <row r="136" spans="1:5">
      <c r="A136" s="7" t="s">
        <v>1166</v>
      </c>
      <c r="B136" t="s">
        <v>1167</v>
      </c>
    </row>
    <row r="137" spans="1:5">
      <c r="A137">
        <v>2</v>
      </c>
      <c r="B137" s="105">
        <v>2</v>
      </c>
    </row>
    <row r="139" spans="1:5">
      <c r="A139" s="501" t="s">
        <v>2</v>
      </c>
    </row>
    <row r="140" spans="1:5">
      <c r="A140" t="s">
        <v>1168</v>
      </c>
    </row>
    <row r="141" spans="1:5">
      <c r="A141" t="s">
        <v>1169</v>
      </c>
      <c r="C141" s="499">
        <f>B56</f>
        <v>132.77000000000001</v>
      </c>
      <c r="D141" t="s">
        <v>1119</v>
      </c>
    </row>
    <row r="142" spans="1:5">
      <c r="A142" s="7" t="s">
        <v>1170</v>
      </c>
      <c r="C142" t="s">
        <v>1171</v>
      </c>
    </row>
    <row r="143" spans="1:5">
      <c r="B143" t="s">
        <v>1133</v>
      </c>
      <c r="C143" s="38">
        <f>F12</f>
        <v>30.000000000000004</v>
      </c>
      <c r="D143" s="19" t="s">
        <v>7</v>
      </c>
      <c r="E143" s="2">
        <f>C141</f>
        <v>132.77000000000001</v>
      </c>
    </row>
    <row r="144" spans="1:5">
      <c r="B144" t="s">
        <v>1133</v>
      </c>
      <c r="C144">
        <f>C143+E143</f>
        <v>162.77000000000001</v>
      </c>
      <c r="D144" t="s">
        <v>597</v>
      </c>
    </row>
  </sheetData>
  <mergeCells count="8">
    <mergeCell ref="C131:C132"/>
    <mergeCell ref="E131:E132"/>
    <mergeCell ref="D11:E11"/>
    <mergeCell ref="B12:E12"/>
    <mergeCell ref="C53:C54"/>
    <mergeCell ref="E53:E54"/>
    <mergeCell ref="B125:C125"/>
    <mergeCell ref="B126:C126"/>
  </mergeCells>
  <pageMargins left="0.75" right="0.75" top="1" bottom="1" header="0.5" footer="0.5"/>
  <pageSetup paperSize="9" fitToHeight="28" orientation="landscape" r:id="rId1"/>
  <headerFooter>
    <oddFooter>&amp;L&amp;P/{&amp;N}&amp;C&amp;F&amp;R&amp;A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S56"/>
  <sheetViews>
    <sheetView workbookViewId="0">
      <selection activeCell="A8" sqref="A8:I8"/>
    </sheetView>
  </sheetViews>
  <sheetFormatPr defaultRowHeight="15"/>
  <cols>
    <col min="1" max="1" width="9.42578125" style="524" bestFit="1" customWidth="1"/>
    <col min="2" max="2" width="9.140625" style="524"/>
    <col min="3" max="9" width="9.140625" style="522"/>
    <col min="10" max="12" width="9.140625" style="522" hidden="1" customWidth="1"/>
    <col min="13" max="13" width="9.42578125" style="522" hidden="1" customWidth="1"/>
    <col min="14" max="16" width="9.140625" style="522" hidden="1" customWidth="1"/>
    <col min="17" max="17" width="9.140625" style="522" customWidth="1"/>
    <col min="18" max="16384" width="9.140625" style="522"/>
  </cols>
  <sheetData>
    <row r="3" spans="1:17">
      <c r="A3" s="816" t="s">
        <v>1187</v>
      </c>
      <c r="B3" s="816"/>
      <c r="C3" s="816"/>
      <c r="D3" s="816"/>
      <c r="E3" s="816"/>
      <c r="F3" s="816"/>
      <c r="G3" s="816"/>
      <c r="H3" s="816"/>
      <c r="I3" s="816"/>
    </row>
    <row r="5" spans="1:17">
      <c r="A5" s="816" t="s">
        <v>1211</v>
      </c>
      <c r="B5" s="816"/>
      <c r="C5" s="816"/>
      <c r="D5" s="816"/>
      <c r="E5" s="816"/>
      <c r="F5" s="816"/>
      <c r="G5" s="816"/>
      <c r="H5" s="816"/>
      <c r="I5" s="816"/>
    </row>
    <row r="7" spans="1:17">
      <c r="A7" s="523" t="s">
        <v>1212</v>
      </c>
      <c r="K7" s="525" t="s">
        <v>1213</v>
      </c>
      <c r="L7" s="525" t="s">
        <v>1214</v>
      </c>
      <c r="M7" s="525" t="s">
        <v>1215</v>
      </c>
    </row>
    <row r="8" spans="1:17" ht="44.25" customHeight="1">
      <c r="A8" s="813" t="s">
        <v>1216</v>
      </c>
      <c r="B8" s="813"/>
      <c r="C8" s="813"/>
      <c r="D8" s="813"/>
      <c r="E8" s="813"/>
      <c r="F8" s="813"/>
      <c r="G8" s="813"/>
      <c r="H8" s="813"/>
      <c r="I8" s="813"/>
      <c r="K8" s="525" t="s">
        <v>1217</v>
      </c>
      <c r="L8" s="526">
        <v>442.5</v>
      </c>
      <c r="M8" s="525">
        <v>442.63</v>
      </c>
    </row>
    <row r="9" spans="1:17" ht="44.25" customHeight="1">
      <c r="A9" s="813" t="s">
        <v>1218</v>
      </c>
      <c r="B9" s="813"/>
      <c r="C9" s="813"/>
      <c r="D9" s="813"/>
      <c r="E9" s="813"/>
      <c r="F9" s="813"/>
      <c r="G9" s="813"/>
      <c r="H9" s="813"/>
      <c r="I9" s="813"/>
      <c r="K9" s="527"/>
      <c r="L9" s="528"/>
      <c r="M9" s="527"/>
    </row>
    <row r="10" spans="1:17">
      <c r="A10" s="529" t="s">
        <v>1219</v>
      </c>
    </row>
    <row r="12" spans="1:17" ht="79.5" customHeight="1">
      <c r="A12" s="813" t="s">
        <v>1220</v>
      </c>
      <c r="B12" s="813"/>
      <c r="C12" s="813"/>
      <c r="D12" s="813"/>
      <c r="E12" s="813"/>
      <c r="F12" s="813"/>
      <c r="G12" s="813"/>
      <c r="H12" s="813"/>
      <c r="I12" s="813"/>
      <c r="K12" s="525" t="s">
        <v>1221</v>
      </c>
      <c r="L12" s="525" t="s">
        <v>0</v>
      </c>
    </row>
    <row r="13" spans="1:17" ht="39.75" customHeight="1">
      <c r="A13" s="813" t="s">
        <v>1222</v>
      </c>
      <c r="B13" s="813"/>
      <c r="C13" s="813"/>
      <c r="D13" s="813"/>
      <c r="E13" s="813"/>
      <c r="F13" s="813"/>
      <c r="G13" s="813"/>
      <c r="H13" s="813"/>
      <c r="I13" s="813"/>
      <c r="J13" s="524"/>
      <c r="K13" s="530">
        <v>12</v>
      </c>
      <c r="L13" s="530">
        <v>10.8</v>
      </c>
      <c r="M13" s="524"/>
      <c r="O13" s="524"/>
      <c r="P13" s="524"/>
      <c r="Q13" s="524"/>
    </row>
    <row r="14" spans="1:17" ht="71.25" customHeight="1">
      <c r="A14" s="813" t="s">
        <v>1223</v>
      </c>
      <c r="B14" s="813"/>
      <c r="C14" s="813"/>
      <c r="D14" s="813"/>
      <c r="E14" s="813"/>
      <c r="F14" s="813"/>
      <c r="G14" s="813"/>
      <c r="H14" s="813"/>
      <c r="I14" s="813"/>
      <c r="K14" s="531" t="s">
        <v>1032</v>
      </c>
      <c r="L14" s="525">
        <v>10</v>
      </c>
      <c r="M14" s="525" t="s">
        <v>1224</v>
      </c>
      <c r="N14" s="522" t="s">
        <v>1225</v>
      </c>
    </row>
    <row r="15" spans="1:17" ht="66.75" customHeight="1">
      <c r="A15" s="813" t="s">
        <v>1226</v>
      </c>
      <c r="B15" s="813"/>
      <c r="C15" s="813"/>
      <c r="D15" s="813"/>
      <c r="E15" s="813"/>
      <c r="F15" s="813"/>
      <c r="G15" s="813"/>
      <c r="H15" s="813"/>
      <c r="I15" s="813"/>
    </row>
    <row r="16" spans="1:17" ht="21.75" customHeight="1">
      <c r="A16" s="813" t="s">
        <v>1227</v>
      </c>
      <c r="B16" s="813"/>
      <c r="C16" s="813"/>
      <c r="D16" s="813"/>
      <c r="E16" s="813"/>
      <c r="F16" s="813"/>
      <c r="G16" s="813"/>
      <c r="H16" s="813"/>
      <c r="I16" s="813"/>
    </row>
    <row r="17" spans="1:19" ht="25.5" customHeight="1">
      <c r="A17" s="813" t="s">
        <v>1228</v>
      </c>
      <c r="B17" s="813"/>
      <c r="C17" s="813"/>
      <c r="D17" s="813"/>
      <c r="E17" s="813"/>
      <c r="F17" s="813"/>
      <c r="G17" s="813"/>
      <c r="H17" s="813"/>
      <c r="I17" s="813"/>
      <c r="K17" s="532" t="s">
        <v>1229</v>
      </c>
      <c r="L17" s="532" t="s">
        <v>1230</v>
      </c>
      <c r="N17" s="522" t="s">
        <v>1230</v>
      </c>
    </row>
    <row r="18" spans="1:19" ht="39" customHeight="1">
      <c r="A18" s="813" t="s">
        <v>1231</v>
      </c>
      <c r="B18" s="813"/>
      <c r="C18" s="813"/>
      <c r="D18" s="813"/>
      <c r="E18" s="813"/>
      <c r="F18" s="813"/>
      <c r="G18" s="813"/>
      <c r="H18" s="813"/>
      <c r="I18" s="813"/>
    </row>
    <row r="19" spans="1:19" ht="66" customHeight="1">
      <c r="A19" s="813" t="s">
        <v>1232</v>
      </c>
      <c r="B19" s="813"/>
      <c r="C19" s="813"/>
      <c r="D19" s="813"/>
      <c r="E19" s="813"/>
      <c r="F19" s="813"/>
      <c r="G19" s="813"/>
      <c r="H19" s="813"/>
      <c r="I19" s="813"/>
      <c r="J19" s="524"/>
      <c r="K19" s="525" t="s">
        <v>1233</v>
      </c>
      <c r="L19" s="525">
        <v>1200</v>
      </c>
      <c r="M19" s="525">
        <v>9600</v>
      </c>
      <c r="N19" s="525">
        <v>10800</v>
      </c>
      <c r="O19" s="524"/>
      <c r="P19" s="524"/>
      <c r="Q19" s="524"/>
    </row>
    <row r="20" spans="1:19" ht="39" customHeight="1">
      <c r="A20" s="813" t="s">
        <v>1234</v>
      </c>
      <c r="B20" s="813"/>
      <c r="C20" s="813"/>
      <c r="D20" s="813"/>
      <c r="E20" s="813"/>
      <c r="F20" s="813"/>
      <c r="G20" s="813"/>
      <c r="H20" s="813"/>
      <c r="I20" s="813"/>
      <c r="J20" s="813"/>
      <c r="K20" s="813"/>
      <c r="L20" s="813"/>
      <c r="M20" s="813"/>
      <c r="N20" s="813"/>
      <c r="O20" s="813"/>
      <c r="P20" s="813"/>
      <c r="Q20" s="813"/>
      <c r="S20" s="533"/>
    </row>
    <row r="21" spans="1:19">
      <c r="J21" s="813"/>
      <c r="K21" s="813"/>
      <c r="L21" s="813"/>
      <c r="M21" s="813"/>
      <c r="N21" s="813"/>
      <c r="O21" s="813"/>
      <c r="P21" s="813"/>
      <c r="Q21" s="813"/>
    </row>
    <row r="22" spans="1:19" ht="36" customHeight="1">
      <c r="A22" s="813" t="s">
        <v>1235</v>
      </c>
      <c r="B22" s="813"/>
      <c r="C22" s="813"/>
      <c r="D22" s="813"/>
      <c r="E22" s="813"/>
      <c r="F22" s="813"/>
      <c r="G22" s="813"/>
      <c r="H22" s="813"/>
      <c r="I22" s="813"/>
      <c r="J22" s="813"/>
      <c r="K22" s="813"/>
      <c r="L22" s="813"/>
      <c r="M22" s="813"/>
      <c r="N22" s="813"/>
      <c r="O22" s="813"/>
      <c r="P22" s="813"/>
      <c r="Q22" s="813"/>
    </row>
    <row r="23" spans="1:19">
      <c r="A23" s="529" t="s">
        <v>1236</v>
      </c>
      <c r="J23" s="813"/>
      <c r="K23" s="813"/>
      <c r="L23" s="813"/>
      <c r="M23" s="813"/>
      <c r="N23" s="813"/>
      <c r="O23" s="813"/>
      <c r="P23" s="813"/>
      <c r="Q23" s="813"/>
    </row>
    <row r="24" spans="1:19">
      <c r="A24" s="813" t="s">
        <v>1237</v>
      </c>
      <c r="B24" s="813"/>
      <c r="C24" s="813"/>
      <c r="D24" s="813"/>
      <c r="E24" s="813"/>
      <c r="F24" s="813"/>
      <c r="G24" s="813"/>
      <c r="H24" s="813"/>
      <c r="I24" s="813"/>
    </row>
    <row r="25" spans="1:19">
      <c r="B25" s="523" t="s">
        <v>1238</v>
      </c>
    </row>
    <row r="26" spans="1:19">
      <c r="B26" s="815" t="s">
        <v>1239</v>
      </c>
      <c r="C26" s="815"/>
      <c r="D26" s="815"/>
      <c r="E26" s="815"/>
      <c r="F26" s="815"/>
      <c r="G26" s="815"/>
      <c r="H26" s="815"/>
      <c r="I26" s="815"/>
    </row>
    <row r="27" spans="1:19">
      <c r="B27" s="813" t="s">
        <v>1240</v>
      </c>
      <c r="C27" s="813"/>
      <c r="D27" s="813"/>
      <c r="E27" s="813"/>
      <c r="F27" s="813"/>
      <c r="G27" s="813"/>
      <c r="H27" s="813"/>
      <c r="I27" s="813"/>
    </row>
    <row r="28" spans="1:19">
      <c r="B28" s="813" t="s">
        <v>1241</v>
      </c>
      <c r="C28" s="813"/>
      <c r="D28" s="813"/>
      <c r="E28" s="813"/>
      <c r="F28" s="813"/>
      <c r="G28" s="813"/>
      <c r="H28" s="813"/>
      <c r="I28" s="813"/>
      <c r="L28" s="525"/>
    </row>
    <row r="29" spans="1:19">
      <c r="B29" s="813" t="s">
        <v>1242</v>
      </c>
      <c r="C29" s="813"/>
      <c r="D29" s="813"/>
      <c r="E29" s="813"/>
      <c r="F29" s="813"/>
      <c r="G29" s="813"/>
      <c r="H29" s="813"/>
      <c r="I29" s="813"/>
      <c r="L29" s="525"/>
    </row>
    <row r="30" spans="1:19">
      <c r="B30" s="813" t="s">
        <v>1243</v>
      </c>
      <c r="C30" s="813"/>
      <c r="D30" s="813"/>
      <c r="E30" s="813"/>
      <c r="F30" s="813"/>
      <c r="G30" s="813"/>
      <c r="H30" s="813"/>
      <c r="I30" s="813"/>
      <c r="L30" s="525"/>
    </row>
    <row r="31" spans="1:19">
      <c r="B31" s="815" t="s">
        <v>1244</v>
      </c>
      <c r="C31" s="815"/>
      <c r="D31" s="815"/>
      <c r="E31" s="815"/>
      <c r="F31" s="815"/>
      <c r="G31" s="815"/>
      <c r="H31" s="815"/>
      <c r="I31" s="815"/>
      <c r="L31" s="525"/>
    </row>
    <row r="32" spans="1:19">
      <c r="L32" s="525"/>
    </row>
    <row r="33" spans="1:13">
      <c r="B33" s="813" t="s">
        <v>1245</v>
      </c>
      <c r="C33" s="813"/>
      <c r="D33" s="813"/>
      <c r="E33" s="813"/>
      <c r="F33" s="813"/>
      <c r="G33" s="813"/>
      <c r="H33" s="813"/>
      <c r="I33" s="813"/>
      <c r="L33" s="525"/>
    </row>
    <row r="34" spans="1:13">
      <c r="A34" s="529" t="s">
        <v>1246</v>
      </c>
      <c r="L34" s="525"/>
    </row>
    <row r="35" spans="1:13">
      <c r="B35" s="533" t="s">
        <v>1247</v>
      </c>
      <c r="C35" s="524"/>
      <c r="D35" s="524"/>
      <c r="E35" s="524"/>
      <c r="F35" s="524"/>
      <c r="G35" s="524"/>
      <c r="H35" s="524"/>
      <c r="I35" s="524"/>
      <c r="L35" s="525"/>
    </row>
    <row r="36" spans="1:13">
      <c r="B36" s="533" t="s">
        <v>1248</v>
      </c>
      <c r="C36" s="524"/>
      <c r="D36" s="524"/>
      <c r="E36" s="524"/>
      <c r="F36" s="524"/>
      <c r="G36" s="524"/>
      <c r="H36" s="524"/>
      <c r="I36" s="524"/>
      <c r="L36" s="525"/>
    </row>
    <row r="37" spans="1:13">
      <c r="L37" s="525"/>
    </row>
    <row r="38" spans="1:13">
      <c r="A38" s="529" t="s">
        <v>1249</v>
      </c>
      <c r="L38" s="525"/>
    </row>
    <row r="39" spans="1:13" ht="35.25" customHeight="1">
      <c r="B39" s="813" t="s">
        <v>1250</v>
      </c>
      <c r="C39" s="813"/>
      <c r="D39" s="813"/>
      <c r="E39" s="813"/>
      <c r="F39" s="813"/>
      <c r="G39" s="813"/>
      <c r="H39" s="813"/>
      <c r="I39" s="813"/>
      <c r="L39" s="525"/>
    </row>
    <row r="40" spans="1:13" ht="36.75" customHeight="1">
      <c r="B40" s="813" t="s">
        <v>1251</v>
      </c>
      <c r="C40" s="813"/>
      <c r="D40" s="813"/>
      <c r="E40" s="813"/>
      <c r="F40" s="813"/>
      <c r="G40" s="813"/>
      <c r="H40" s="813"/>
      <c r="I40" s="813"/>
      <c r="L40" s="525"/>
    </row>
    <row r="41" spans="1:13" ht="54.75" customHeight="1">
      <c r="B41" s="813" t="s">
        <v>1252</v>
      </c>
      <c r="C41" s="813"/>
      <c r="D41" s="813"/>
      <c r="E41" s="813"/>
      <c r="F41" s="813"/>
      <c r="G41" s="813"/>
      <c r="H41" s="813"/>
      <c r="I41" s="813"/>
      <c r="L41" s="534">
        <v>3</v>
      </c>
      <c r="M41" s="535">
        <v>200</v>
      </c>
    </row>
    <row r="42" spans="1:13">
      <c r="A42" s="529" t="s">
        <v>1253</v>
      </c>
      <c r="L42" s="525"/>
    </row>
    <row r="43" spans="1:13" ht="55.5" customHeight="1">
      <c r="B43" s="813" t="s">
        <v>1254</v>
      </c>
      <c r="C43" s="813"/>
      <c r="D43" s="813"/>
      <c r="E43" s="813"/>
      <c r="F43" s="813"/>
      <c r="G43" s="813"/>
      <c r="H43" s="813"/>
      <c r="I43" s="813"/>
      <c r="L43" s="536">
        <v>6.31</v>
      </c>
    </row>
    <row r="44" spans="1:13">
      <c r="A44" s="529" t="s">
        <v>1255</v>
      </c>
      <c r="L44" s="525"/>
    </row>
    <row r="45" spans="1:13" ht="80.25" customHeight="1">
      <c r="B45" s="813" t="s">
        <v>1256</v>
      </c>
      <c r="C45" s="813"/>
      <c r="D45" s="813"/>
      <c r="E45" s="813"/>
      <c r="F45" s="813"/>
      <c r="G45" s="813"/>
      <c r="H45" s="813"/>
      <c r="I45" s="813"/>
      <c r="K45" s="537" t="s">
        <v>1257</v>
      </c>
      <c r="L45" s="538" t="s">
        <v>1258</v>
      </c>
    </row>
    <row r="46" spans="1:13">
      <c r="A46" s="814" t="s">
        <v>1259</v>
      </c>
      <c r="B46" s="814"/>
      <c r="C46" s="814"/>
      <c r="D46" s="814"/>
      <c r="E46" s="814"/>
      <c r="F46" s="814"/>
      <c r="G46" s="814"/>
      <c r="H46" s="814"/>
      <c r="I46" s="814"/>
      <c r="L46" s="525"/>
    </row>
    <row r="47" spans="1:13" ht="24.75" customHeight="1">
      <c r="B47" s="813" t="s">
        <v>1260</v>
      </c>
      <c r="C47" s="813"/>
      <c r="D47" s="813"/>
      <c r="E47" s="813"/>
      <c r="F47" s="813"/>
      <c r="G47" s="813"/>
      <c r="H47" s="813"/>
      <c r="I47" s="813"/>
      <c r="L47" s="525"/>
    </row>
    <row r="48" spans="1:13" ht="47.25" customHeight="1">
      <c r="B48" s="813" t="s">
        <v>1261</v>
      </c>
      <c r="C48" s="813"/>
      <c r="D48" s="813"/>
      <c r="E48" s="813"/>
      <c r="F48" s="813"/>
      <c r="G48" s="813"/>
      <c r="H48" s="813"/>
      <c r="I48" s="813"/>
      <c r="L48" s="525"/>
    </row>
    <row r="49" spans="1:12" ht="74.25" customHeight="1">
      <c r="B49" s="813" t="s">
        <v>1262</v>
      </c>
      <c r="C49" s="813"/>
      <c r="D49" s="813"/>
      <c r="E49" s="813"/>
      <c r="F49" s="813"/>
      <c r="G49" s="813"/>
      <c r="H49" s="813"/>
      <c r="I49" s="813"/>
      <c r="L49" s="525"/>
    </row>
    <row r="50" spans="1:12" ht="52.5" customHeight="1">
      <c r="B50" s="813" t="s">
        <v>1263</v>
      </c>
      <c r="C50" s="813"/>
      <c r="D50" s="813"/>
      <c r="E50" s="813"/>
      <c r="F50" s="813"/>
      <c r="G50" s="813"/>
      <c r="H50" s="813"/>
      <c r="I50" s="813"/>
      <c r="L50" s="525"/>
    </row>
    <row r="51" spans="1:12">
      <c r="A51" s="529" t="s">
        <v>1264</v>
      </c>
      <c r="L51" s="525"/>
    </row>
    <row r="52" spans="1:12" ht="37.5" customHeight="1">
      <c r="B52" s="813" t="s">
        <v>1265</v>
      </c>
      <c r="C52" s="813"/>
      <c r="D52" s="813"/>
      <c r="E52" s="813"/>
      <c r="F52" s="813"/>
      <c r="G52" s="813"/>
      <c r="H52" s="813"/>
      <c r="I52" s="813"/>
    </row>
    <row r="53" spans="1:12">
      <c r="A53" s="529" t="s">
        <v>796</v>
      </c>
    </row>
    <row r="54" spans="1:12" ht="53.25" customHeight="1">
      <c r="B54" s="813" t="s">
        <v>1266</v>
      </c>
      <c r="C54" s="813"/>
      <c r="D54" s="813"/>
      <c r="E54" s="813"/>
      <c r="F54" s="813"/>
      <c r="G54" s="813"/>
      <c r="H54" s="813"/>
      <c r="I54" s="813"/>
    </row>
    <row r="55" spans="1:12">
      <c r="A55" s="529" t="s">
        <v>1267</v>
      </c>
    </row>
    <row r="56" spans="1:12" ht="32.25" customHeight="1">
      <c r="B56" s="813" t="s">
        <v>1268</v>
      </c>
      <c r="C56" s="813"/>
      <c r="D56" s="813"/>
      <c r="E56" s="813"/>
      <c r="F56" s="813"/>
      <c r="G56" s="813"/>
      <c r="H56" s="813"/>
      <c r="I56" s="813"/>
    </row>
  </sheetData>
  <mergeCells count="39">
    <mergeCell ref="A3:I3"/>
    <mergeCell ref="A5:I5"/>
    <mergeCell ref="A8:I8"/>
    <mergeCell ref="A9:I9"/>
    <mergeCell ref="A12:I12"/>
    <mergeCell ref="A13:I13"/>
    <mergeCell ref="A14:I14"/>
    <mergeCell ref="A15:I15"/>
    <mergeCell ref="A16:I16"/>
    <mergeCell ref="A17:I17"/>
    <mergeCell ref="A18:I18"/>
    <mergeCell ref="A19:I19"/>
    <mergeCell ref="A20:I20"/>
    <mergeCell ref="J20:Q20"/>
    <mergeCell ref="J21:Q21"/>
    <mergeCell ref="A22:I22"/>
    <mergeCell ref="J22:Q22"/>
    <mergeCell ref="J23:Q23"/>
    <mergeCell ref="A24:I24"/>
    <mergeCell ref="B26:I26"/>
    <mergeCell ref="B27:I27"/>
    <mergeCell ref="B28:I28"/>
    <mergeCell ref="B29:I29"/>
    <mergeCell ref="B30:I30"/>
    <mergeCell ref="B31:I31"/>
    <mergeCell ref="B33:I33"/>
    <mergeCell ref="B39:I39"/>
    <mergeCell ref="B40:I40"/>
    <mergeCell ref="B41:I41"/>
    <mergeCell ref="B43:I43"/>
    <mergeCell ref="B52:I52"/>
    <mergeCell ref="B54:I54"/>
    <mergeCell ref="B56:I56"/>
    <mergeCell ref="B45:I45"/>
    <mergeCell ref="A46:I46"/>
    <mergeCell ref="B47:I47"/>
    <mergeCell ref="B48:I48"/>
    <mergeCell ref="B49:I49"/>
    <mergeCell ref="B50:I50"/>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3"/>
  <sheetViews>
    <sheetView workbookViewId="0"/>
  </sheetViews>
  <sheetFormatPr defaultRowHeight="12.75"/>
  <sheetData>
    <row r="1" spans="1:1" ht="30">
      <c r="A1" s="539" t="s">
        <v>1269</v>
      </c>
    </row>
    <row r="2" spans="1:1" ht="30">
      <c r="A2" s="539"/>
    </row>
    <row r="3" spans="1:1" ht="30">
      <c r="A3" s="539" t="s">
        <v>1275</v>
      </c>
    </row>
  </sheetData>
  <printOptions horizontalCentered="1" verticalCentered="1"/>
  <pageMargins left="0.70866141732283472" right="0.70866141732283472" top="0.74803149606299213" bottom="0.74803149606299213" header="0.31496062992125984" footer="0.31496062992125984"/>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AH35"/>
  <sheetViews>
    <sheetView topLeftCell="A19" workbookViewId="0">
      <selection sqref="A1:IV65536"/>
    </sheetView>
  </sheetViews>
  <sheetFormatPr defaultRowHeight="36.950000000000003" customHeight="1"/>
  <cols>
    <col min="1" max="1" width="13.140625" style="417" customWidth="1"/>
    <col min="2" max="6" width="9.140625" style="417"/>
    <col min="7" max="7" width="12.7109375" style="417" bestFit="1" customWidth="1"/>
    <col min="8" max="10" width="9.140625" style="417"/>
    <col min="11" max="11" width="9.28515625" style="417" bestFit="1" customWidth="1"/>
    <col min="12" max="12" width="9.140625" style="417"/>
    <col min="13" max="13" width="9.28515625" style="417" bestFit="1" customWidth="1"/>
    <col min="14" max="14" width="9.140625" style="417"/>
    <col min="15" max="15" width="12.7109375" style="417" bestFit="1" customWidth="1"/>
    <col min="16" max="18" width="9.140625" style="417"/>
    <col min="19" max="19" width="12.7109375" style="417" bestFit="1" customWidth="1"/>
    <col min="20" max="24" width="9.140625" style="417"/>
    <col min="25" max="25" width="16" style="417" customWidth="1"/>
    <col min="26" max="32" width="9.140625" style="417"/>
    <col min="33" max="33" width="10.7109375" style="417" bestFit="1" customWidth="1"/>
    <col min="34" max="16384" width="9.140625" style="417"/>
  </cols>
  <sheetData>
    <row r="1" spans="1:26" ht="36.950000000000003" customHeight="1">
      <c r="A1" s="776" t="s">
        <v>1187</v>
      </c>
      <c r="B1" s="776"/>
      <c r="C1" s="776"/>
      <c r="D1" s="776"/>
      <c r="E1" s="776"/>
      <c r="F1" s="776"/>
      <c r="G1" s="776"/>
      <c r="H1" s="776"/>
      <c r="I1" s="776"/>
      <c r="J1" s="776"/>
      <c r="K1" s="776"/>
      <c r="L1" s="776"/>
      <c r="M1" s="776"/>
      <c r="N1" s="776"/>
      <c r="O1" s="776"/>
      <c r="P1" s="776"/>
      <c r="Q1" s="776"/>
      <c r="R1" s="776"/>
      <c r="S1" s="776"/>
      <c r="T1" s="776"/>
      <c r="U1" s="776"/>
      <c r="V1" s="776"/>
      <c r="W1" s="776"/>
      <c r="X1" s="776"/>
      <c r="Y1" s="776"/>
      <c r="Z1" s="776"/>
    </row>
    <row r="2" spans="1:26" ht="36.950000000000003" customHeight="1">
      <c r="A2" s="417" t="s">
        <v>758</v>
      </c>
      <c r="G2" s="418">
        <v>442.63</v>
      </c>
      <c r="H2" s="419" t="s">
        <v>29</v>
      </c>
    </row>
    <row r="3" spans="1:26" ht="36.950000000000003" customHeight="1">
      <c r="A3" s="417" t="s">
        <v>759</v>
      </c>
      <c r="G3" s="418">
        <v>438.12599999999998</v>
      </c>
      <c r="H3" s="419" t="s">
        <v>29</v>
      </c>
      <c r="L3" s="417" t="s">
        <v>1276</v>
      </c>
    </row>
    <row r="4" spans="1:26" ht="36.950000000000003" customHeight="1">
      <c r="A4" s="417" t="s">
        <v>760</v>
      </c>
      <c r="G4" s="420">
        <v>750</v>
      </c>
      <c r="H4" s="417" t="s">
        <v>1</v>
      </c>
    </row>
    <row r="5" spans="1:26" ht="36.950000000000003" customHeight="1">
      <c r="A5" s="417" t="s">
        <v>761</v>
      </c>
      <c r="G5" s="417">
        <v>300</v>
      </c>
      <c r="H5" s="417" t="s">
        <v>1</v>
      </c>
    </row>
    <row r="6" spans="1:26" ht="36.950000000000003" customHeight="1">
      <c r="A6" s="417" t="s">
        <v>762</v>
      </c>
      <c r="G6" s="417">
        <v>4204.0000000000191</v>
      </c>
      <c r="H6" s="417" t="s">
        <v>1</v>
      </c>
      <c r="U6" s="417" t="s">
        <v>1277</v>
      </c>
    </row>
    <row r="7" spans="1:26" ht="36.950000000000003" customHeight="1">
      <c r="A7" s="417" t="s">
        <v>763</v>
      </c>
      <c r="G7" s="421">
        <v>2700</v>
      </c>
      <c r="H7" s="417" t="s">
        <v>1</v>
      </c>
      <c r="J7" s="417" t="s">
        <v>764</v>
      </c>
      <c r="K7" s="417">
        <v>1000</v>
      </c>
      <c r="L7" s="417" t="s">
        <v>1</v>
      </c>
      <c r="S7" s="543">
        <v>163.56</v>
      </c>
      <c r="T7" s="543" t="s">
        <v>893</v>
      </c>
      <c r="V7" s="544">
        <v>0</v>
      </c>
    </row>
    <row r="8" spans="1:26" ht="36.950000000000003" customHeight="1">
      <c r="A8" s="417" t="s">
        <v>765</v>
      </c>
      <c r="G8" s="421">
        <v>1350</v>
      </c>
      <c r="H8" s="417" t="s">
        <v>1</v>
      </c>
      <c r="J8" s="417" t="s">
        <v>764</v>
      </c>
      <c r="K8" s="417">
        <v>1000</v>
      </c>
      <c r="L8" s="417" t="s">
        <v>1</v>
      </c>
      <c r="S8" s="543">
        <v>28.200000000000003</v>
      </c>
      <c r="T8" s="543" t="s">
        <v>893</v>
      </c>
      <c r="V8" s="544">
        <v>0</v>
      </c>
    </row>
    <row r="9" spans="1:26" ht="36.950000000000003" customHeight="1">
      <c r="A9" s="417" t="s">
        <v>766</v>
      </c>
      <c r="G9" s="417">
        <v>1050</v>
      </c>
      <c r="H9" s="417" t="s">
        <v>1</v>
      </c>
    </row>
    <row r="10" spans="1:26" ht="36.950000000000003" customHeight="1">
      <c r="A10" s="417" t="s">
        <v>767</v>
      </c>
      <c r="G10" s="417">
        <v>1200</v>
      </c>
      <c r="H10" s="417" t="s">
        <v>1</v>
      </c>
    </row>
    <row r="11" spans="1:26" ht="36.950000000000003" customHeight="1">
      <c r="A11" s="417" t="s">
        <v>768</v>
      </c>
      <c r="G11" s="417">
        <v>300</v>
      </c>
      <c r="H11" s="417" t="s">
        <v>1</v>
      </c>
    </row>
    <row r="12" spans="1:26" ht="36.950000000000003" customHeight="1">
      <c r="A12" s="417" t="s">
        <v>769</v>
      </c>
      <c r="G12" s="417">
        <v>1000</v>
      </c>
      <c r="H12" s="417" t="s">
        <v>1</v>
      </c>
    </row>
    <row r="13" spans="1:26" ht="36.950000000000003" customHeight="1">
      <c r="M13" s="422">
        <v>300</v>
      </c>
    </row>
    <row r="14" spans="1:26" ht="36.950000000000003" customHeight="1">
      <c r="X14" s="423" t="s">
        <v>770</v>
      </c>
      <c r="Y14" s="244">
        <v>442.63</v>
      </c>
      <c r="Z14" s="424" t="s">
        <v>29</v>
      </c>
    </row>
    <row r="15" spans="1:26" ht="36.950000000000003" customHeight="1">
      <c r="A15" s="425">
        <v>300</v>
      </c>
      <c r="B15" s="426"/>
      <c r="F15" s="427" t="s">
        <v>771</v>
      </c>
    </row>
    <row r="17" spans="2:34" ht="36.950000000000003" customHeight="1">
      <c r="K17" s="777">
        <v>450</v>
      </c>
      <c r="M17" s="777" t="s">
        <v>772</v>
      </c>
      <c r="Q17" s="427" t="s">
        <v>773</v>
      </c>
      <c r="W17" s="425">
        <v>750</v>
      </c>
    </row>
    <row r="18" spans="2:34" ht="36.950000000000003" customHeight="1">
      <c r="K18" s="777"/>
      <c r="L18" s="426"/>
      <c r="M18" s="777"/>
      <c r="X18" s="426"/>
    </row>
    <row r="19" spans="2:34" ht="36.950000000000003" customHeight="1">
      <c r="Y19" s="244">
        <v>441.88</v>
      </c>
    </row>
    <row r="20" spans="2:34" ht="36.75" customHeight="1">
      <c r="J20" s="779">
        <v>1200</v>
      </c>
      <c r="K20" s="779"/>
      <c r="L20" s="426"/>
      <c r="N20" s="427" t="s">
        <v>774</v>
      </c>
    </row>
    <row r="21" spans="2:34" ht="36.950000000000003" customHeight="1">
      <c r="B21" s="777">
        <v>4204.0000000000191</v>
      </c>
    </row>
    <row r="22" spans="2:34" ht="36.950000000000003" customHeight="1">
      <c r="B22" s="777"/>
    </row>
    <row r="23" spans="2:34" ht="36.950000000000003" customHeight="1">
      <c r="B23" s="777"/>
      <c r="K23" s="777">
        <v>1554.0000000000191</v>
      </c>
      <c r="U23" s="543">
        <v>4.4040000000000195</v>
      </c>
    </row>
    <row r="24" spans="2:34" ht="36.950000000000003" customHeight="1">
      <c r="K24" s="777"/>
    </row>
    <row r="25" spans="2:34" ht="36.950000000000003" customHeight="1">
      <c r="K25" s="777"/>
    </row>
    <row r="28" spans="2:34" ht="36.950000000000003" customHeight="1">
      <c r="C28" s="417">
        <v>1000</v>
      </c>
      <c r="F28" s="427" t="s">
        <v>775</v>
      </c>
      <c r="S28" s="427" t="s">
        <v>776</v>
      </c>
      <c r="U28" s="424">
        <v>1000</v>
      </c>
    </row>
    <row r="29" spans="2:34" ht="36.950000000000003" customHeight="1">
      <c r="W29" s="777">
        <v>1000</v>
      </c>
    </row>
    <row r="30" spans="2:34" ht="36.950000000000003" customHeight="1">
      <c r="W30" s="777"/>
      <c r="AG30" s="545"/>
      <c r="AH30" s="545"/>
    </row>
    <row r="31" spans="2:34" ht="36.950000000000003" customHeight="1">
      <c r="W31" s="777"/>
      <c r="X31" s="423" t="s">
        <v>770</v>
      </c>
      <c r="Y31" s="244">
        <v>438.12599999999998</v>
      </c>
      <c r="Z31" s="424" t="s">
        <v>29</v>
      </c>
    </row>
    <row r="32" spans="2:34" ht="36.950000000000003" customHeight="1">
      <c r="G32" s="422">
        <v>2700</v>
      </c>
      <c r="O32" s="422">
        <v>1050</v>
      </c>
      <c r="S32" s="422">
        <v>1350</v>
      </c>
    </row>
    <row r="33" spans="3:21" ht="36.950000000000003" customHeight="1">
      <c r="M33" s="424">
        <v>5100</v>
      </c>
    </row>
    <row r="35" spans="3:21" ht="36.950000000000003" customHeight="1">
      <c r="C35" s="778" t="s">
        <v>777</v>
      </c>
      <c r="D35" s="778"/>
      <c r="E35" s="778"/>
      <c r="F35" s="778"/>
      <c r="G35" s="778"/>
      <c r="H35" s="778"/>
      <c r="I35" s="778"/>
      <c r="J35" s="778"/>
      <c r="K35" s="778"/>
      <c r="L35" s="778"/>
      <c r="M35" s="778"/>
      <c r="N35" s="778"/>
      <c r="O35" s="778"/>
      <c r="P35" s="778"/>
      <c r="Q35" s="778"/>
      <c r="R35" s="778"/>
      <c r="S35" s="778"/>
      <c r="T35" s="778"/>
      <c r="U35" s="778"/>
    </row>
  </sheetData>
  <mergeCells count="8">
    <mergeCell ref="W29:W31"/>
    <mergeCell ref="C35:U35"/>
    <mergeCell ref="A1:Z1"/>
    <mergeCell ref="K17:K18"/>
    <mergeCell ref="M17:M18"/>
    <mergeCell ref="J20:K20"/>
    <mergeCell ref="B21:B23"/>
    <mergeCell ref="K23:K25"/>
  </mergeCells>
  <printOptions horizontalCentered="1"/>
  <pageMargins left="0" right="0.25" top="0" bottom="0.25" header="0" footer="0"/>
  <pageSetup paperSize="9" scale="46" orientation="landscape" verticalDpi="300" r:id="rId1"/>
  <headerFooter>
    <oddFooter>&amp;L&amp;P/{&amp;N}&amp;C&amp;F&amp;R&amp;A</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H155"/>
  <sheetViews>
    <sheetView topLeftCell="A16" workbookViewId="0">
      <selection sqref="A1:IV65536"/>
    </sheetView>
  </sheetViews>
  <sheetFormatPr defaultRowHeight="12.75"/>
  <cols>
    <col min="1" max="1" width="13.7109375" style="1" customWidth="1"/>
    <col min="2" max="2" width="48.7109375" customWidth="1"/>
    <col min="3" max="3" width="19.5703125" customWidth="1"/>
    <col min="4" max="4" width="14.7109375" bestFit="1" customWidth="1"/>
    <col min="5" max="5" width="11.140625" bestFit="1" customWidth="1"/>
    <col min="6" max="6" width="9.5703125" bestFit="1" customWidth="1"/>
    <col min="7" max="7" width="16.42578125" bestFit="1" customWidth="1"/>
    <col min="8" max="8" width="7.140625" customWidth="1"/>
  </cols>
  <sheetData>
    <row r="1" spans="1:8" ht="15.75">
      <c r="A1" s="714" t="s">
        <v>778</v>
      </c>
      <c r="B1" s="714"/>
      <c r="C1" s="714"/>
      <c r="D1" s="714"/>
      <c r="E1" s="714"/>
      <c r="F1" s="714"/>
      <c r="G1" s="714"/>
      <c r="H1" s="714"/>
    </row>
    <row r="2" spans="1:8" ht="15.75">
      <c r="A2" s="428" t="s">
        <v>1187</v>
      </c>
      <c r="B2" s="393"/>
      <c r="C2" s="393"/>
      <c r="D2" s="393"/>
      <c r="E2" s="393"/>
      <c r="F2" s="393"/>
      <c r="G2" s="393"/>
      <c r="H2" s="393"/>
    </row>
    <row r="3" spans="1:8" ht="15.75">
      <c r="A3" s="245" t="s">
        <v>779</v>
      </c>
      <c r="B3" s="172" t="s">
        <v>780</v>
      </c>
      <c r="C3" s="172" t="s">
        <v>781</v>
      </c>
      <c r="D3" s="429"/>
      <c r="E3" s="429"/>
      <c r="F3" s="429"/>
      <c r="G3" s="429"/>
      <c r="H3" s="429"/>
    </row>
    <row r="4" spans="1:8" ht="15">
      <c r="B4" s="172" t="s">
        <v>782</v>
      </c>
      <c r="C4" s="172" t="s">
        <v>783</v>
      </c>
      <c r="D4" s="429" t="s">
        <v>784</v>
      </c>
      <c r="E4" s="429"/>
      <c r="F4" s="430">
        <v>12</v>
      </c>
      <c r="G4" s="430" t="s">
        <v>29</v>
      </c>
      <c r="H4" s="429"/>
    </row>
    <row r="5" spans="1:8" ht="15">
      <c r="B5" s="429"/>
      <c r="C5" s="172" t="s">
        <v>1278</v>
      </c>
      <c r="D5" s="429"/>
      <c r="E5" s="429"/>
      <c r="F5" s="429"/>
      <c r="G5" s="429"/>
      <c r="H5" s="429"/>
    </row>
    <row r="6" spans="1:8" ht="15">
      <c r="B6" s="172" t="s">
        <v>786</v>
      </c>
      <c r="C6" s="172" t="s">
        <v>787</v>
      </c>
      <c r="D6" s="429"/>
      <c r="E6" s="429"/>
      <c r="F6" s="429"/>
      <c r="G6" s="429"/>
      <c r="H6" s="429"/>
    </row>
    <row r="7" spans="1:8" ht="15">
      <c r="B7" s="172" t="s">
        <v>788</v>
      </c>
      <c r="C7" s="172" t="s">
        <v>789</v>
      </c>
      <c r="D7" s="429"/>
      <c r="E7" s="429"/>
      <c r="F7" s="429"/>
      <c r="G7" s="429"/>
      <c r="H7" s="429"/>
    </row>
    <row r="8" spans="1:8" ht="15">
      <c r="B8" s="172" t="s">
        <v>790</v>
      </c>
      <c r="C8" s="172" t="s">
        <v>791</v>
      </c>
      <c r="D8" s="429"/>
      <c r="E8" s="429"/>
      <c r="F8" s="431">
        <v>35</v>
      </c>
      <c r="G8" s="432" t="s">
        <v>792</v>
      </c>
      <c r="H8" s="429"/>
    </row>
    <row r="9" spans="1:8" ht="15">
      <c r="B9" s="429"/>
      <c r="C9" s="780" t="s">
        <v>793</v>
      </c>
      <c r="D9" s="780"/>
      <c r="E9" s="429">
        <v>18</v>
      </c>
      <c r="F9" s="429" t="s">
        <v>794</v>
      </c>
      <c r="G9" s="429"/>
      <c r="H9" s="429"/>
    </row>
    <row r="10" spans="1:8" ht="15">
      <c r="B10" s="429"/>
      <c r="C10" s="172" t="s">
        <v>795</v>
      </c>
      <c r="D10" s="429"/>
      <c r="E10" s="429"/>
      <c r="F10" s="429">
        <v>17.5</v>
      </c>
      <c r="G10" s="432" t="s">
        <v>792</v>
      </c>
      <c r="H10" s="429"/>
    </row>
    <row r="11" spans="1:8" ht="15">
      <c r="B11" s="172" t="s">
        <v>796</v>
      </c>
      <c r="C11" s="172" t="s">
        <v>797</v>
      </c>
      <c r="D11" s="429"/>
      <c r="E11" s="429"/>
      <c r="F11" s="429"/>
      <c r="G11" s="429"/>
      <c r="H11" s="429"/>
    </row>
    <row r="12" spans="1:8" ht="15">
      <c r="B12" s="172" t="s">
        <v>798</v>
      </c>
      <c r="C12" s="429"/>
      <c r="D12" s="429"/>
      <c r="E12" s="429"/>
      <c r="F12" s="429"/>
      <c r="G12" s="429"/>
      <c r="H12" s="429"/>
    </row>
    <row r="13" spans="1:8" ht="15">
      <c r="B13" s="172" t="s">
        <v>799</v>
      </c>
      <c r="C13" s="433" t="s">
        <v>2</v>
      </c>
      <c r="D13" s="165">
        <v>90.170683200000155</v>
      </c>
      <c r="E13" s="429" t="s">
        <v>800</v>
      </c>
      <c r="F13" s="429"/>
      <c r="G13" s="429"/>
      <c r="H13" s="429"/>
    </row>
    <row r="14" spans="1:8" ht="15">
      <c r="B14" s="172" t="s">
        <v>801</v>
      </c>
      <c r="C14" s="433" t="s">
        <v>2</v>
      </c>
      <c r="D14" s="165">
        <v>65.688862275449097</v>
      </c>
      <c r="E14" s="429" t="s">
        <v>800</v>
      </c>
      <c r="F14" s="429"/>
      <c r="G14" s="429"/>
      <c r="H14" s="429"/>
    </row>
    <row r="15" spans="1:8" ht="30.75" customHeight="1">
      <c r="B15" s="702" t="s">
        <v>802</v>
      </c>
      <c r="C15" s="702"/>
      <c r="D15" s="702"/>
      <c r="E15" s="702"/>
      <c r="F15" s="702"/>
      <c r="G15" s="702"/>
      <c r="H15" s="702"/>
    </row>
    <row r="16" spans="1:8" ht="14.25" customHeight="1">
      <c r="B16" s="702" t="s">
        <v>803</v>
      </c>
      <c r="C16" s="702"/>
      <c r="D16" s="702"/>
      <c r="E16" s="702"/>
      <c r="F16" s="702"/>
      <c r="G16" s="702"/>
      <c r="H16" s="702"/>
    </row>
    <row r="17" spans="1:8" ht="15.75">
      <c r="A17" s="245" t="s">
        <v>804</v>
      </c>
      <c r="B17" s="429"/>
      <c r="C17" s="429"/>
      <c r="D17" s="429"/>
      <c r="E17" s="429"/>
      <c r="F17" s="429"/>
      <c r="G17" s="429"/>
      <c r="H17" s="429"/>
    </row>
    <row r="18" spans="1:8" ht="33.75" customHeight="1">
      <c r="B18" s="702" t="s">
        <v>805</v>
      </c>
      <c r="C18" s="702"/>
      <c r="D18" s="702"/>
      <c r="E18" s="702"/>
      <c r="F18" s="702"/>
      <c r="G18" s="702"/>
      <c r="H18" s="702"/>
    </row>
    <row r="19" spans="1:8" ht="15.75">
      <c r="A19" s="245" t="s">
        <v>806</v>
      </c>
      <c r="B19" s="429"/>
      <c r="C19" s="429"/>
      <c r="D19" s="429"/>
      <c r="E19" s="429"/>
      <c r="F19" s="429"/>
      <c r="G19" s="429"/>
      <c r="H19" s="429"/>
    </row>
    <row r="20" spans="1:8" ht="15.75">
      <c r="A20" s="434" t="s">
        <v>807</v>
      </c>
      <c r="B20" s="245" t="s">
        <v>808</v>
      </c>
      <c r="C20" s="429"/>
      <c r="D20" s="429"/>
      <c r="E20" s="429"/>
      <c r="F20" s="429"/>
      <c r="G20" s="429"/>
      <c r="H20" s="429"/>
    </row>
    <row r="21" spans="1:8" ht="15">
      <c r="B21" s="173" t="s">
        <v>809</v>
      </c>
      <c r="C21" s="429">
        <v>0.2</v>
      </c>
      <c r="D21" s="435" t="s">
        <v>154</v>
      </c>
      <c r="E21" s="429">
        <v>1000</v>
      </c>
      <c r="F21" s="435" t="s">
        <v>335</v>
      </c>
      <c r="G21" s="429">
        <v>200</v>
      </c>
      <c r="H21" s="429" t="s">
        <v>10</v>
      </c>
    </row>
    <row r="22" spans="1:8" ht="15">
      <c r="B22" s="162" t="s">
        <v>810</v>
      </c>
      <c r="C22" s="429"/>
      <c r="D22" s="429"/>
      <c r="E22" s="429"/>
      <c r="F22" s="429"/>
      <c r="G22" s="429"/>
      <c r="H22" s="429"/>
    </row>
    <row r="23" spans="1:8" ht="15">
      <c r="B23" s="173" t="s">
        <v>811</v>
      </c>
      <c r="C23" s="429">
        <v>200</v>
      </c>
      <c r="D23" s="435" t="s">
        <v>8</v>
      </c>
      <c r="E23" s="429">
        <v>2</v>
      </c>
      <c r="F23" s="435" t="s">
        <v>335</v>
      </c>
      <c r="G23" s="429">
        <v>100</v>
      </c>
      <c r="H23" s="429" t="s">
        <v>10</v>
      </c>
    </row>
    <row r="24" spans="1:8" ht="15">
      <c r="B24" s="173" t="s">
        <v>812</v>
      </c>
      <c r="C24" s="172">
        <v>100</v>
      </c>
      <c r="D24" s="435" t="s">
        <v>8</v>
      </c>
      <c r="E24" s="180">
        <v>12</v>
      </c>
      <c r="F24" s="435" t="s">
        <v>335</v>
      </c>
      <c r="G24" s="429">
        <v>8.34</v>
      </c>
      <c r="H24" s="429" t="s">
        <v>813</v>
      </c>
    </row>
    <row r="25" spans="1:8" ht="15.75">
      <c r="A25" s="434" t="s">
        <v>814</v>
      </c>
      <c r="B25" s="245" t="s">
        <v>815</v>
      </c>
      <c r="C25" s="429"/>
      <c r="D25" s="429"/>
      <c r="E25" s="429"/>
      <c r="F25" s="429"/>
      <c r="G25" s="429"/>
      <c r="H25" s="429"/>
    </row>
    <row r="26" spans="1:8" ht="15">
      <c r="B26" s="172" t="s">
        <v>816</v>
      </c>
      <c r="C26" s="429"/>
      <c r="D26" s="429">
        <v>17</v>
      </c>
      <c r="E26" s="429" t="s">
        <v>817</v>
      </c>
      <c r="F26" s="429"/>
      <c r="G26" s="429"/>
      <c r="H26" s="429"/>
    </row>
    <row r="27" spans="1:8" ht="15">
      <c r="B27" s="172" t="s">
        <v>818</v>
      </c>
      <c r="C27" s="429"/>
      <c r="D27" s="429"/>
      <c r="E27" s="429"/>
      <c r="F27" s="429"/>
      <c r="G27" s="429"/>
      <c r="H27" s="429"/>
    </row>
    <row r="28" spans="1:8" ht="18">
      <c r="B28" s="173" t="s">
        <v>819</v>
      </c>
      <c r="C28" s="436">
        <v>1.1699999999999998E-5</v>
      </c>
      <c r="D28" s="172" t="s">
        <v>820</v>
      </c>
      <c r="E28" s="429"/>
      <c r="F28" s="429"/>
      <c r="G28" s="429"/>
      <c r="H28" s="429"/>
    </row>
    <row r="29" spans="1:8" ht="15">
      <c r="B29" s="173" t="s">
        <v>821</v>
      </c>
      <c r="C29" s="172">
        <v>17</v>
      </c>
      <c r="D29" s="164" t="s">
        <v>3</v>
      </c>
      <c r="E29" s="172">
        <v>1.1699999999999998E-5</v>
      </c>
      <c r="F29" s="164" t="s">
        <v>2</v>
      </c>
      <c r="G29" s="436">
        <v>1.9889999999999996E-4</v>
      </c>
      <c r="H29" s="172"/>
    </row>
    <row r="30" spans="1:8" ht="25.5" customHeight="1">
      <c r="B30" s="437" t="s">
        <v>822</v>
      </c>
      <c r="C30" s="436">
        <v>2.0000000000000001E-4</v>
      </c>
      <c r="D30" s="429"/>
      <c r="E30" s="429"/>
      <c r="F30" s="429"/>
      <c r="G30" s="429"/>
      <c r="H30" s="429"/>
    </row>
    <row r="31" spans="1:8" ht="15">
      <c r="B31" s="172" t="s">
        <v>823</v>
      </c>
      <c r="C31" s="438">
        <v>1.9889999999999996E-4</v>
      </c>
      <c r="D31" s="435" t="s">
        <v>7</v>
      </c>
      <c r="E31" s="438">
        <v>2.0000000000000001E-4</v>
      </c>
      <c r="F31" s="435" t="s">
        <v>2</v>
      </c>
      <c r="G31" s="438">
        <v>3.9889999999999999E-4</v>
      </c>
      <c r="H31" s="429"/>
    </row>
    <row r="32" spans="1:8" ht="51.75" customHeight="1">
      <c r="B32" s="166" t="s">
        <v>824</v>
      </c>
      <c r="C32" s="438">
        <v>3.9889999999999999E-4</v>
      </c>
      <c r="D32" s="435" t="s">
        <v>3</v>
      </c>
      <c r="E32" s="163">
        <v>11200</v>
      </c>
      <c r="F32" s="435" t="s">
        <v>825</v>
      </c>
      <c r="G32" s="438">
        <v>2.2338399999999998</v>
      </c>
      <c r="H32" s="429" t="s">
        <v>1</v>
      </c>
    </row>
    <row r="33" spans="1:8" ht="15">
      <c r="B33" s="173" t="s">
        <v>826</v>
      </c>
      <c r="C33" s="439" t="s">
        <v>827</v>
      </c>
      <c r="D33" s="435" t="s">
        <v>2</v>
      </c>
      <c r="E33" s="439">
        <v>31220.19</v>
      </c>
      <c r="F33" s="439" t="s">
        <v>252</v>
      </c>
      <c r="G33" s="429"/>
      <c r="H33" s="429"/>
    </row>
    <row r="34" spans="1:8" ht="30">
      <c r="B34" s="440" t="s">
        <v>828</v>
      </c>
      <c r="C34" s="441">
        <v>3.9889999999999999E-4</v>
      </c>
      <c r="D34" s="435" t="s">
        <v>3</v>
      </c>
      <c r="E34" s="435">
        <v>31220.19</v>
      </c>
      <c r="F34" s="435" t="s">
        <v>2</v>
      </c>
      <c r="G34" s="382">
        <v>12.453733790999999</v>
      </c>
      <c r="H34" s="439" t="s">
        <v>252</v>
      </c>
    </row>
    <row r="35" spans="1:8" ht="45">
      <c r="B35" s="440" t="s">
        <v>829</v>
      </c>
      <c r="C35" s="441">
        <v>12.453733790999999</v>
      </c>
      <c r="D35" s="435" t="s">
        <v>3</v>
      </c>
      <c r="E35" s="442">
        <v>850.00000000000011</v>
      </c>
      <c r="F35" s="435" t="s">
        <v>2</v>
      </c>
      <c r="G35" s="382">
        <v>10585.67372235</v>
      </c>
      <c r="H35" s="439" t="s">
        <v>830</v>
      </c>
    </row>
    <row r="36" spans="1:8" ht="15">
      <c r="B36" s="172"/>
      <c r="C36" s="429"/>
      <c r="D36" s="435"/>
      <c r="E36" s="429"/>
      <c r="F36" s="435" t="s">
        <v>2</v>
      </c>
      <c r="G36" s="443">
        <v>10.58567372235</v>
      </c>
      <c r="H36" s="429" t="s">
        <v>800</v>
      </c>
    </row>
    <row r="37" spans="1:8" ht="15.75">
      <c r="A37" s="245" t="s">
        <v>831</v>
      </c>
      <c r="B37" s="172" t="s">
        <v>832</v>
      </c>
      <c r="C37" s="429"/>
      <c r="D37" s="429"/>
      <c r="E37" s="429"/>
      <c r="F37" s="429"/>
      <c r="G37" s="429"/>
      <c r="H37" s="429"/>
    </row>
    <row r="38" spans="1:8" ht="15.75">
      <c r="A38" s="245" t="s">
        <v>265</v>
      </c>
      <c r="B38" s="172" t="s">
        <v>833</v>
      </c>
      <c r="C38" s="429"/>
      <c r="D38" s="429"/>
      <c r="E38" s="429"/>
      <c r="F38" s="429"/>
      <c r="G38" s="429"/>
      <c r="H38" s="429"/>
    </row>
    <row r="39" spans="1:8" ht="15">
      <c r="B39" s="172" t="s">
        <v>834</v>
      </c>
      <c r="C39" s="429"/>
      <c r="D39" s="435" t="s">
        <v>2</v>
      </c>
      <c r="E39" s="443">
        <v>2.6126126126126121</v>
      </c>
      <c r="F39" s="429" t="s">
        <v>800</v>
      </c>
      <c r="G39" s="429"/>
      <c r="H39" s="429"/>
    </row>
    <row r="40" spans="1:8" ht="15">
      <c r="B40" s="172" t="s">
        <v>835</v>
      </c>
      <c r="C40" s="429"/>
      <c r="D40" s="429"/>
      <c r="E40" s="429"/>
      <c r="F40" s="429"/>
      <c r="G40" s="429"/>
      <c r="H40" s="429"/>
    </row>
    <row r="41" spans="1:8" ht="15.75">
      <c r="A41" s="245" t="s">
        <v>836</v>
      </c>
      <c r="B41" s="429"/>
      <c r="C41" s="429"/>
      <c r="D41" s="429"/>
      <c r="E41" s="429"/>
      <c r="F41" s="429"/>
      <c r="G41" s="429"/>
      <c r="H41" s="429"/>
    </row>
    <row r="42" spans="1:8" ht="20.25">
      <c r="B42" s="172" t="s">
        <v>837</v>
      </c>
      <c r="C42" s="429"/>
      <c r="D42" s="429"/>
      <c r="E42" s="429"/>
      <c r="F42" s="429"/>
      <c r="G42" s="429"/>
      <c r="H42" s="429"/>
    </row>
    <row r="43" spans="1:8" ht="19.5">
      <c r="B43" s="172" t="s">
        <v>838</v>
      </c>
      <c r="C43" s="429"/>
      <c r="D43" s="429"/>
      <c r="E43" s="429"/>
      <c r="F43" s="429"/>
      <c r="G43" s="429"/>
      <c r="H43" s="429"/>
    </row>
    <row r="44" spans="1:8" ht="20.25">
      <c r="B44" s="172" t="s">
        <v>839</v>
      </c>
      <c r="C44" s="429"/>
      <c r="D44" s="429"/>
      <c r="E44" s="429"/>
      <c r="F44" s="429"/>
      <c r="G44" s="429"/>
      <c r="H44" s="429"/>
    </row>
    <row r="45" spans="1:8" ht="15">
      <c r="B45" s="172" t="s">
        <v>840</v>
      </c>
      <c r="C45" s="429"/>
      <c r="D45" s="429"/>
      <c r="E45" s="429"/>
      <c r="F45" s="429"/>
      <c r="G45" s="429"/>
      <c r="H45" s="429"/>
    </row>
    <row r="46" spans="1:8" ht="15">
      <c r="B46" s="172" t="s">
        <v>841</v>
      </c>
      <c r="C46" s="429"/>
      <c r="D46" s="429"/>
      <c r="E46" s="429"/>
      <c r="F46" s="429"/>
      <c r="G46" s="429"/>
      <c r="H46" s="429"/>
    </row>
    <row r="47" spans="1:8" ht="15">
      <c r="B47" s="172" t="s">
        <v>842</v>
      </c>
      <c r="C47" s="429"/>
      <c r="D47" s="429"/>
      <c r="E47" s="429"/>
      <c r="F47" s="429"/>
      <c r="G47" s="429"/>
      <c r="H47" s="429"/>
    </row>
    <row r="48" spans="1:8" ht="15">
      <c r="B48" s="172" t="s">
        <v>843</v>
      </c>
      <c r="C48" s="429"/>
      <c r="D48" s="429"/>
      <c r="E48" s="429"/>
      <c r="F48" s="429"/>
      <c r="G48" s="429"/>
      <c r="H48" s="429"/>
    </row>
    <row r="49" spans="1:8" ht="15">
      <c r="B49" s="172" t="s">
        <v>844</v>
      </c>
      <c r="C49" s="429"/>
      <c r="D49" s="429"/>
      <c r="E49" s="429"/>
      <c r="F49" s="429"/>
      <c r="G49" s="429"/>
      <c r="H49" s="429"/>
    </row>
    <row r="50" spans="1:8" ht="15">
      <c r="B50" s="172" t="s">
        <v>845</v>
      </c>
      <c r="C50" s="429"/>
      <c r="D50" s="429"/>
      <c r="E50" s="429"/>
      <c r="F50" s="429"/>
      <c r="G50" s="429"/>
      <c r="H50" s="429"/>
    </row>
    <row r="51" spans="1:8" ht="15">
      <c r="B51" s="172" t="s">
        <v>846</v>
      </c>
      <c r="C51" s="429"/>
      <c r="D51" s="429"/>
      <c r="E51" s="429"/>
      <c r="F51" s="429"/>
      <c r="G51" s="429"/>
      <c r="H51" s="429"/>
    </row>
    <row r="52" spans="1:8" ht="15">
      <c r="B52" s="173" t="s">
        <v>847</v>
      </c>
      <c r="C52" s="431">
        <v>90</v>
      </c>
      <c r="D52" s="432">
        <v>0</v>
      </c>
      <c r="E52" s="162"/>
      <c r="F52" s="173" t="s">
        <v>848</v>
      </c>
      <c r="G52" s="431">
        <v>35</v>
      </c>
      <c r="H52" s="432">
        <v>0</v>
      </c>
    </row>
    <row r="53" spans="1:8" ht="15">
      <c r="B53" s="173" t="s">
        <v>849</v>
      </c>
      <c r="C53" s="431">
        <v>17.5</v>
      </c>
      <c r="D53" s="432">
        <v>0</v>
      </c>
      <c r="E53" s="162"/>
      <c r="F53" s="173" t="s">
        <v>850</v>
      </c>
      <c r="G53" s="431">
        <v>0</v>
      </c>
      <c r="H53" s="432">
        <v>0</v>
      </c>
    </row>
    <row r="54" spans="1:8" s="7" customFormat="1" ht="19.5">
      <c r="A54" s="99"/>
      <c r="B54" s="173" t="s">
        <v>851</v>
      </c>
      <c r="C54" s="444">
        <v>0.496</v>
      </c>
      <c r="D54" s="444" t="s">
        <v>852</v>
      </c>
      <c r="E54" s="431"/>
      <c r="F54" s="431"/>
      <c r="G54" s="431"/>
      <c r="H54" s="431"/>
    </row>
    <row r="55" spans="1:8" ht="15">
      <c r="B55" s="173" t="s">
        <v>853</v>
      </c>
      <c r="C55" s="382">
        <v>4.2040000000000193</v>
      </c>
      <c r="D55" s="429" t="s">
        <v>0</v>
      </c>
      <c r="E55" s="429"/>
      <c r="F55" s="429"/>
      <c r="G55" s="429"/>
      <c r="H55" s="429"/>
    </row>
    <row r="56" spans="1:8" ht="15">
      <c r="B56" s="173" t="s">
        <v>854</v>
      </c>
      <c r="C56" s="429"/>
      <c r="D56" s="429"/>
      <c r="E56" s="429"/>
      <c r="F56" s="429"/>
      <c r="G56" s="429"/>
      <c r="H56" s="429"/>
    </row>
    <row r="57" spans="1:8" ht="14.25">
      <c r="B57" s="429">
        <v>0.5</v>
      </c>
      <c r="C57" s="435" t="s">
        <v>3</v>
      </c>
      <c r="D57" s="429">
        <v>18</v>
      </c>
      <c r="E57" s="435" t="s">
        <v>3</v>
      </c>
      <c r="F57" s="382">
        <v>4.2040000000000193</v>
      </c>
      <c r="G57" s="88" t="s">
        <v>855</v>
      </c>
      <c r="H57" s="439">
        <v>0.496</v>
      </c>
    </row>
    <row r="58" spans="1:8" ht="15">
      <c r="B58" s="445" t="s">
        <v>2</v>
      </c>
      <c r="C58" s="382">
        <v>78.900000000000006</v>
      </c>
      <c r="D58" s="429" t="s">
        <v>800</v>
      </c>
      <c r="E58" s="429"/>
      <c r="F58" s="429"/>
      <c r="G58" s="429"/>
      <c r="H58" s="429"/>
    </row>
    <row r="59" spans="1:8" ht="15">
      <c r="B59" s="173" t="s">
        <v>856</v>
      </c>
      <c r="C59" s="429">
        <v>0.42</v>
      </c>
      <c r="D59" s="435" t="s">
        <v>3</v>
      </c>
      <c r="E59" s="382">
        <v>4.2040000000000193</v>
      </c>
      <c r="F59" s="435" t="s">
        <v>2</v>
      </c>
      <c r="G59" s="429">
        <v>1.77</v>
      </c>
      <c r="H59" s="429" t="s">
        <v>0</v>
      </c>
    </row>
    <row r="60" spans="1:8" ht="15">
      <c r="B60" s="172" t="s">
        <v>857</v>
      </c>
      <c r="C60" s="429"/>
      <c r="D60" s="429"/>
      <c r="E60" s="429"/>
      <c r="F60" s="429"/>
      <c r="G60" s="429"/>
      <c r="H60" s="429"/>
    </row>
    <row r="61" spans="1:8" ht="15.75">
      <c r="A61" s="245" t="s">
        <v>858</v>
      </c>
      <c r="B61" s="429"/>
      <c r="C61" s="429"/>
      <c r="D61" s="429"/>
      <c r="E61" s="429"/>
      <c r="F61" s="429"/>
      <c r="G61" s="429"/>
      <c r="H61" s="429"/>
    </row>
    <row r="62" spans="1:8" ht="15">
      <c r="B62" s="172" t="s">
        <v>859</v>
      </c>
      <c r="C62" s="429"/>
      <c r="D62" s="429"/>
      <c r="E62" s="429"/>
      <c r="F62" s="429"/>
      <c r="G62" s="429"/>
      <c r="H62" s="429"/>
    </row>
    <row r="63" spans="1:8" ht="15">
      <c r="B63" s="172" t="s">
        <v>860</v>
      </c>
      <c r="C63" s="429"/>
      <c r="D63" s="429"/>
      <c r="E63" s="429">
        <v>45.04</v>
      </c>
      <c r="F63" s="429" t="s">
        <v>800</v>
      </c>
      <c r="G63" s="429"/>
      <c r="H63" s="429"/>
    </row>
    <row r="64" spans="1:8" ht="15">
      <c r="B64" s="172" t="s">
        <v>861</v>
      </c>
      <c r="C64" s="429"/>
      <c r="D64" s="429"/>
      <c r="E64" s="429">
        <v>15.02</v>
      </c>
      <c r="F64" s="429" t="s">
        <v>800</v>
      </c>
      <c r="G64" s="429"/>
      <c r="H64" s="429"/>
    </row>
    <row r="65" spans="1:8">
      <c r="B65" s="429"/>
      <c r="C65" s="429"/>
      <c r="D65" s="1" t="s">
        <v>4</v>
      </c>
      <c r="E65" s="1">
        <v>60.06</v>
      </c>
      <c r="F65" s="1" t="s">
        <v>800</v>
      </c>
      <c r="G65" s="429"/>
      <c r="H65" s="429"/>
    </row>
    <row r="66" spans="1:8" ht="15">
      <c r="B66" s="173" t="s">
        <v>862</v>
      </c>
      <c r="C66" s="1">
        <v>2.1020000000000096</v>
      </c>
      <c r="D66" s="1" t="s">
        <v>863</v>
      </c>
      <c r="E66" s="429"/>
      <c r="F66" s="429"/>
      <c r="G66" s="429"/>
      <c r="H66" s="429"/>
    </row>
    <row r="67" spans="1:8" ht="15">
      <c r="B67" s="172" t="s">
        <v>864</v>
      </c>
      <c r="C67" s="429"/>
      <c r="D67" s="429"/>
      <c r="E67" s="429"/>
      <c r="F67" s="429"/>
      <c r="G67" s="429"/>
      <c r="H67" s="429"/>
    </row>
    <row r="68" spans="1:8" ht="15">
      <c r="B68" s="164" t="s">
        <v>1279</v>
      </c>
      <c r="C68" s="163">
        <v>77.759999999999991</v>
      </c>
      <c r="D68" s="429" t="s">
        <v>800</v>
      </c>
      <c r="E68" s="429"/>
      <c r="F68" s="429"/>
      <c r="G68" s="429"/>
      <c r="H68" s="429"/>
    </row>
    <row r="69" spans="1:8" ht="15.75">
      <c r="A69" s="245" t="s">
        <v>865</v>
      </c>
      <c r="B69" s="429"/>
      <c r="C69" s="429"/>
      <c r="D69" s="429"/>
      <c r="E69" s="429"/>
      <c r="F69" s="429"/>
      <c r="G69" s="429"/>
      <c r="H69" s="429"/>
    </row>
    <row r="70" spans="1:8" ht="15">
      <c r="B70" s="173" t="s">
        <v>866</v>
      </c>
      <c r="C70" s="429" t="s">
        <v>1280</v>
      </c>
      <c r="D70" s="429" t="s">
        <v>288</v>
      </c>
      <c r="E70" s="429">
        <v>57.68</v>
      </c>
      <c r="F70" s="429" t="s">
        <v>800</v>
      </c>
      <c r="G70" s="429"/>
      <c r="H70" s="429"/>
    </row>
    <row r="71" spans="1:8" ht="15.75">
      <c r="A71" s="245" t="s">
        <v>867</v>
      </c>
      <c r="B71" s="429"/>
      <c r="C71" s="429"/>
      <c r="D71" s="429"/>
      <c r="E71" s="429"/>
      <c r="F71" s="429"/>
      <c r="G71" s="429"/>
      <c r="H71" s="429"/>
    </row>
    <row r="72" spans="1:8" ht="15">
      <c r="B72" s="172" t="s">
        <v>868</v>
      </c>
      <c r="C72" s="429"/>
      <c r="D72" s="429"/>
      <c r="E72" s="429"/>
      <c r="F72" s="429"/>
      <c r="G72" s="429"/>
      <c r="H72" s="429"/>
    </row>
    <row r="73" spans="1:8" ht="15">
      <c r="B73" s="172" t="s">
        <v>869</v>
      </c>
      <c r="C73" s="429"/>
      <c r="D73" s="429"/>
      <c r="E73" s="429"/>
      <c r="F73" s="429"/>
      <c r="G73" s="429"/>
      <c r="H73" s="429"/>
    </row>
    <row r="74" spans="1:8" ht="15">
      <c r="B74" s="172" t="s">
        <v>870</v>
      </c>
      <c r="C74" s="429"/>
      <c r="D74" s="429"/>
      <c r="E74" s="429"/>
      <c r="F74" s="429"/>
      <c r="G74" s="429"/>
      <c r="H74" s="429"/>
    </row>
    <row r="75" spans="1:8" ht="15.75">
      <c r="B75" s="245" t="s">
        <v>871</v>
      </c>
      <c r="C75" s="429"/>
      <c r="D75" s="429"/>
      <c r="E75" s="429"/>
      <c r="F75" s="429"/>
      <c r="G75" s="429"/>
      <c r="H75" s="429"/>
    </row>
    <row r="76" spans="1:8" ht="15">
      <c r="B76" s="172" t="s">
        <v>872</v>
      </c>
      <c r="C76" s="429"/>
      <c r="D76" s="429"/>
      <c r="E76" s="429"/>
      <c r="F76" s="429"/>
      <c r="G76" s="429"/>
      <c r="H76" s="429"/>
    </row>
    <row r="77" spans="1:8" ht="15">
      <c r="B77" s="172" t="s">
        <v>873</v>
      </c>
      <c r="C77" s="382">
        <v>337.06099999999998</v>
      </c>
      <c r="D77" s="429" t="s">
        <v>5</v>
      </c>
      <c r="E77" s="429"/>
      <c r="F77" s="429"/>
      <c r="G77" s="429"/>
      <c r="H77" s="429"/>
    </row>
    <row r="78" spans="1:8" ht="15">
      <c r="B78" s="172" t="s">
        <v>874</v>
      </c>
      <c r="C78" s="382">
        <v>1288.3869999999999</v>
      </c>
      <c r="D78" s="429" t="s">
        <v>5</v>
      </c>
      <c r="E78" s="429"/>
      <c r="F78" s="429"/>
      <c r="G78" s="429"/>
      <c r="H78" s="429"/>
    </row>
    <row r="79" spans="1:8" ht="15">
      <c r="B79" s="172" t="s">
        <v>875</v>
      </c>
      <c r="C79" s="382">
        <v>1288.3869999999999</v>
      </c>
      <c r="D79" s="435" t="s">
        <v>8</v>
      </c>
      <c r="E79" s="382">
        <v>337.06099999999998</v>
      </c>
      <c r="F79" s="435" t="s">
        <v>2</v>
      </c>
      <c r="G79" s="1">
        <v>3.82</v>
      </c>
      <c r="H79" s="429"/>
    </row>
    <row r="80" spans="1:8" ht="15">
      <c r="B80" s="172" t="s">
        <v>876</v>
      </c>
      <c r="C80" s="429"/>
      <c r="D80" s="429"/>
      <c r="E80" s="429"/>
      <c r="F80" s="429"/>
      <c r="G80" s="1" t="s">
        <v>877</v>
      </c>
      <c r="H80" s="429"/>
    </row>
    <row r="81" spans="1:8" ht="19.5">
      <c r="B81" s="172" t="s">
        <v>878</v>
      </c>
      <c r="C81" s="429"/>
      <c r="D81" s="429"/>
      <c r="E81" s="429"/>
      <c r="F81" s="429"/>
      <c r="G81" s="429"/>
      <c r="H81" s="429"/>
    </row>
    <row r="82" spans="1:8" ht="15">
      <c r="B82" s="172"/>
      <c r="C82" s="429" t="s">
        <v>1281</v>
      </c>
      <c r="D82" s="429"/>
      <c r="E82" s="429">
        <v>1.95</v>
      </c>
      <c r="F82" s="429" t="s">
        <v>0</v>
      </c>
      <c r="G82" s="429"/>
      <c r="H82" s="429"/>
    </row>
    <row r="83" spans="1:8" ht="15.75">
      <c r="A83" s="245" t="s">
        <v>879</v>
      </c>
      <c r="B83" s="429"/>
      <c r="C83" s="429"/>
      <c r="D83" s="429"/>
      <c r="E83" s="429"/>
      <c r="F83" s="429"/>
      <c r="G83" s="429"/>
      <c r="H83" s="429"/>
    </row>
    <row r="84" spans="1:8" ht="19.5">
      <c r="B84" s="173" t="s">
        <v>880</v>
      </c>
      <c r="C84" s="429">
        <v>5.0999999999999996</v>
      </c>
      <c r="D84" s="435" t="s">
        <v>881</v>
      </c>
      <c r="E84" s="382">
        <v>0.85</v>
      </c>
      <c r="F84" s="429" t="s">
        <v>0</v>
      </c>
      <c r="G84" s="429"/>
      <c r="H84" s="429"/>
    </row>
    <row r="85" spans="1:8" ht="19.5">
      <c r="B85" s="173" t="s">
        <v>882</v>
      </c>
      <c r="C85" s="382">
        <v>2.5499999999999998</v>
      </c>
      <c r="D85" s="435" t="s">
        <v>16</v>
      </c>
      <c r="E85" s="429">
        <v>1.95</v>
      </c>
      <c r="F85" s="435" t="s">
        <v>2</v>
      </c>
      <c r="G85" s="382">
        <v>0.6</v>
      </c>
      <c r="H85" s="429" t="s">
        <v>0</v>
      </c>
    </row>
    <row r="86" spans="1:8">
      <c r="B86" s="429"/>
      <c r="C86" s="429"/>
      <c r="D86" s="429"/>
      <c r="E86" s="429"/>
      <c r="F86" s="435" t="s">
        <v>883</v>
      </c>
      <c r="G86" s="382">
        <v>0.85</v>
      </c>
      <c r="H86" s="429" t="s">
        <v>0</v>
      </c>
    </row>
    <row r="87" spans="1:8" ht="15.75">
      <c r="B87" s="245" t="s">
        <v>884</v>
      </c>
      <c r="C87" s="429"/>
      <c r="D87" s="429"/>
      <c r="E87" s="429"/>
      <c r="F87" s="435"/>
      <c r="G87" s="382"/>
      <c r="H87" s="429"/>
    </row>
    <row r="88" spans="1:8" ht="15">
      <c r="B88" s="172" t="s">
        <v>885</v>
      </c>
      <c r="C88" s="429"/>
      <c r="D88" s="429"/>
      <c r="E88" s="429"/>
      <c r="F88" s="429"/>
      <c r="G88" s="429"/>
      <c r="H88" s="429"/>
    </row>
    <row r="89" spans="1:8" ht="15">
      <c r="B89" s="172" t="s">
        <v>873</v>
      </c>
      <c r="C89" s="382">
        <v>305.702</v>
      </c>
      <c r="D89" s="429" t="s">
        <v>5</v>
      </c>
      <c r="E89" s="429"/>
      <c r="F89" s="429"/>
      <c r="G89" s="429"/>
      <c r="H89" s="429"/>
    </row>
    <row r="90" spans="1:8" ht="15">
      <c r="B90" s="172" t="s">
        <v>874</v>
      </c>
      <c r="C90" s="382">
        <v>1170.5529999999999</v>
      </c>
      <c r="D90" s="429" t="s">
        <v>5</v>
      </c>
      <c r="E90" s="429"/>
      <c r="F90" s="429"/>
      <c r="G90" s="429"/>
      <c r="H90" s="429"/>
    </row>
    <row r="91" spans="1:8" ht="15">
      <c r="B91" s="172" t="s">
        <v>875</v>
      </c>
      <c r="C91" s="382">
        <v>1170.5529999999999</v>
      </c>
      <c r="D91" s="435" t="s">
        <v>8</v>
      </c>
      <c r="E91" s="382">
        <v>305.702</v>
      </c>
      <c r="F91" s="435" t="s">
        <v>2</v>
      </c>
      <c r="G91" s="1">
        <v>3.83</v>
      </c>
      <c r="H91" s="429"/>
    </row>
    <row r="92" spans="1:8" ht="15">
      <c r="B92" s="172" t="s">
        <v>876</v>
      </c>
      <c r="C92" s="429"/>
      <c r="D92" s="429"/>
      <c r="E92" s="429"/>
      <c r="F92" s="429"/>
      <c r="G92" s="1" t="s">
        <v>877</v>
      </c>
      <c r="H92" s="429"/>
    </row>
    <row r="93" spans="1:8" ht="19.5">
      <c r="B93" s="172" t="s">
        <v>886</v>
      </c>
      <c r="C93" s="429"/>
      <c r="D93" s="429"/>
      <c r="E93" s="429"/>
      <c r="F93" s="429"/>
      <c r="G93" s="429"/>
      <c r="H93" s="429"/>
    </row>
    <row r="94" spans="1:8" ht="15">
      <c r="B94" s="172"/>
      <c r="C94" s="429" t="s">
        <v>1282</v>
      </c>
      <c r="D94" s="429"/>
      <c r="E94" s="429">
        <v>2.06</v>
      </c>
      <c r="F94" s="429" t="s">
        <v>0</v>
      </c>
      <c r="G94" s="429"/>
      <c r="H94" s="429"/>
    </row>
    <row r="95" spans="1:8" ht="15.75">
      <c r="A95" s="245" t="s">
        <v>887</v>
      </c>
      <c r="B95" s="429"/>
      <c r="C95" s="429"/>
      <c r="D95" s="429"/>
      <c r="E95" s="429"/>
      <c r="F95" s="429"/>
      <c r="G95" s="429"/>
      <c r="H95" s="429"/>
    </row>
    <row r="96" spans="1:8" ht="15">
      <c r="B96" s="172" t="s">
        <v>888</v>
      </c>
      <c r="C96" s="429"/>
      <c r="D96" s="429"/>
      <c r="E96" s="429"/>
      <c r="F96" s="429"/>
      <c r="G96" s="429"/>
      <c r="H96" s="429"/>
    </row>
    <row r="97" spans="1:8" ht="15">
      <c r="B97" s="172" t="s">
        <v>889</v>
      </c>
      <c r="C97" s="382">
        <v>488.96299999999997</v>
      </c>
      <c r="D97" s="429" t="s">
        <v>10</v>
      </c>
      <c r="E97" s="429"/>
      <c r="F97" s="429"/>
      <c r="G97" s="429"/>
      <c r="H97" s="429"/>
    </row>
    <row r="98" spans="1:8" ht="15">
      <c r="B98" s="429"/>
      <c r="C98" s="429"/>
      <c r="D98" s="174">
        <v>488.96299999999997</v>
      </c>
      <c r="E98" s="172" t="s">
        <v>890</v>
      </c>
      <c r="F98" s="429"/>
      <c r="G98" s="429"/>
      <c r="H98" s="429"/>
    </row>
    <row r="99" spans="1:8" ht="15.75">
      <c r="A99" s="245" t="s">
        <v>891</v>
      </c>
      <c r="B99" s="429"/>
      <c r="C99" s="429"/>
      <c r="D99" s="429"/>
      <c r="E99" s="435"/>
      <c r="F99" s="429"/>
      <c r="G99" s="429"/>
      <c r="H99" s="429"/>
    </row>
    <row r="100" spans="1:8" ht="15.75">
      <c r="A100" s="245"/>
      <c r="B100" s="431" t="s">
        <v>892</v>
      </c>
      <c r="C100" s="429" t="s">
        <v>1283</v>
      </c>
      <c r="D100" s="429"/>
      <c r="E100" s="435" t="s">
        <v>2</v>
      </c>
      <c r="F100" s="429">
        <v>163.56</v>
      </c>
      <c r="G100" s="429" t="s">
        <v>893</v>
      </c>
      <c r="H100" s="429"/>
    </row>
    <row r="101" spans="1:8">
      <c r="B101" s="431" t="s">
        <v>894</v>
      </c>
      <c r="C101" s="429" t="s">
        <v>1284</v>
      </c>
      <c r="D101" s="429"/>
      <c r="E101" s="435" t="s">
        <v>2</v>
      </c>
      <c r="F101" s="429">
        <v>28.200000000000003</v>
      </c>
      <c r="G101" s="429" t="s">
        <v>893</v>
      </c>
      <c r="H101" s="429"/>
    </row>
    <row r="102" spans="1:8" ht="16.5" thickBot="1">
      <c r="A102" s="781" t="s">
        <v>895</v>
      </c>
      <c r="B102" s="781"/>
      <c r="C102" s="781"/>
      <c r="D102" s="781"/>
      <c r="E102" s="781"/>
      <c r="F102" s="781"/>
      <c r="G102" s="781"/>
      <c r="H102" s="429"/>
    </row>
    <row r="103" spans="1:8" ht="16.5" thickBot="1">
      <c r="A103" s="446" t="s">
        <v>896</v>
      </c>
      <c r="B103" s="782" t="s">
        <v>897</v>
      </c>
      <c r="C103" s="785" t="s">
        <v>898</v>
      </c>
      <c r="D103" s="786"/>
      <c r="E103" s="785" t="s">
        <v>899</v>
      </c>
      <c r="F103" s="787"/>
      <c r="G103" s="786"/>
      <c r="H103" s="429"/>
    </row>
    <row r="104" spans="1:8" ht="15.75">
      <c r="A104" s="447" t="s">
        <v>900</v>
      </c>
      <c r="B104" s="783"/>
      <c r="C104" s="788" t="s">
        <v>47</v>
      </c>
      <c r="D104" s="788" t="s">
        <v>901</v>
      </c>
      <c r="E104" s="448" t="s">
        <v>902</v>
      </c>
      <c r="F104" s="448"/>
      <c r="G104" s="448"/>
      <c r="H104" s="429"/>
    </row>
    <row r="105" spans="1:8" ht="20.25" thickBot="1">
      <c r="A105" s="449"/>
      <c r="B105" s="784"/>
      <c r="C105" s="789"/>
      <c r="D105" s="789"/>
      <c r="E105" s="450" t="s">
        <v>0</v>
      </c>
      <c r="F105" s="450" t="s">
        <v>903</v>
      </c>
      <c r="G105" s="450" t="s">
        <v>904</v>
      </c>
      <c r="H105" s="429"/>
    </row>
    <row r="106" spans="1:8" ht="16.5" thickBot="1">
      <c r="A106" s="451" t="s">
        <v>494</v>
      </c>
      <c r="B106" s="452" t="s">
        <v>905</v>
      </c>
      <c r="C106" s="453">
        <v>90.170683200000155</v>
      </c>
      <c r="D106" s="450" t="s">
        <v>16</v>
      </c>
      <c r="E106" s="450">
        <v>1.73</v>
      </c>
      <c r="F106" s="454">
        <v>156</v>
      </c>
      <c r="G106" s="450" t="s">
        <v>16</v>
      </c>
      <c r="H106" s="429"/>
    </row>
    <row r="107" spans="1:8" ht="30.75" thickBot="1">
      <c r="A107" s="451" t="s">
        <v>496</v>
      </c>
      <c r="B107" s="452" t="s">
        <v>906</v>
      </c>
      <c r="C107" s="450">
        <v>0</v>
      </c>
      <c r="D107" s="453">
        <v>10.58567372235</v>
      </c>
      <c r="E107" s="453">
        <v>3.76</v>
      </c>
      <c r="F107" s="450" t="s">
        <v>16</v>
      </c>
      <c r="G107" s="454">
        <v>39.802133196035996</v>
      </c>
      <c r="H107" s="429"/>
    </row>
    <row r="108" spans="1:8" ht="16.5" thickBot="1">
      <c r="A108" s="451" t="s">
        <v>498</v>
      </c>
      <c r="B108" s="452" t="s">
        <v>907</v>
      </c>
      <c r="C108" s="450">
        <v>0</v>
      </c>
      <c r="D108" s="453">
        <v>78.900000000000006</v>
      </c>
      <c r="E108" s="450">
        <v>1.77</v>
      </c>
      <c r="F108" s="450" t="s">
        <v>16</v>
      </c>
      <c r="G108" s="454">
        <v>139.65300000000002</v>
      </c>
      <c r="H108" s="429"/>
    </row>
    <row r="109" spans="1:8" ht="30.75" thickBot="1">
      <c r="A109" s="451" t="s">
        <v>500</v>
      </c>
      <c r="B109" s="452" t="s">
        <v>908</v>
      </c>
      <c r="C109" s="450">
        <v>0</v>
      </c>
      <c r="D109" s="453">
        <v>60.06</v>
      </c>
      <c r="E109" s="450">
        <v>2.1020000000000096</v>
      </c>
      <c r="F109" s="450" t="s">
        <v>16</v>
      </c>
      <c r="G109" s="454">
        <v>126.24612000000059</v>
      </c>
      <c r="H109" s="429"/>
    </row>
    <row r="110" spans="1:8" ht="15">
      <c r="A110" s="790" t="s">
        <v>502</v>
      </c>
      <c r="B110" s="455" t="s">
        <v>909</v>
      </c>
      <c r="C110" s="792">
        <v>77.759999999999991</v>
      </c>
      <c r="D110" s="788" t="s">
        <v>16</v>
      </c>
      <c r="E110" s="788">
        <v>3.75</v>
      </c>
      <c r="F110" s="788">
        <v>291.59999999999997</v>
      </c>
      <c r="G110" s="788" t="s">
        <v>16</v>
      </c>
      <c r="H110" s="429"/>
    </row>
    <row r="111" spans="1:8" ht="15.75" thickBot="1">
      <c r="A111" s="791"/>
      <c r="B111" s="452" t="s">
        <v>910</v>
      </c>
      <c r="C111" s="793"/>
      <c r="D111" s="789"/>
      <c r="E111" s="789"/>
      <c r="F111" s="789"/>
      <c r="G111" s="789"/>
      <c r="H111" s="429"/>
    </row>
    <row r="112" spans="1:8" ht="15">
      <c r="A112" s="790" t="s">
        <v>911</v>
      </c>
      <c r="B112" s="455" t="s">
        <v>912</v>
      </c>
      <c r="C112" s="792">
        <v>122.4</v>
      </c>
      <c r="D112" s="788" t="s">
        <v>16</v>
      </c>
      <c r="E112" s="788">
        <v>2.5499999999999998</v>
      </c>
      <c r="F112" s="788">
        <v>312.12</v>
      </c>
      <c r="G112" s="788" t="s">
        <v>16</v>
      </c>
      <c r="H112" s="429"/>
    </row>
    <row r="113" spans="1:8" ht="15.75" thickBot="1">
      <c r="A113" s="791"/>
      <c r="B113" s="456" t="s">
        <v>1285</v>
      </c>
      <c r="C113" s="793"/>
      <c r="D113" s="789"/>
      <c r="E113" s="789"/>
      <c r="F113" s="789"/>
      <c r="G113" s="789"/>
      <c r="H113" s="429"/>
    </row>
    <row r="114" spans="1:8" ht="15">
      <c r="A114" s="790" t="s">
        <v>913</v>
      </c>
      <c r="B114" s="455" t="s">
        <v>914</v>
      </c>
      <c r="C114" s="792">
        <v>39.169999999999995</v>
      </c>
      <c r="D114" s="788" t="s">
        <v>16</v>
      </c>
      <c r="E114" s="788">
        <v>1.8800000000000001</v>
      </c>
      <c r="F114" s="788">
        <v>73.639599999999987</v>
      </c>
      <c r="G114" s="788" t="s">
        <v>16</v>
      </c>
      <c r="H114" s="429"/>
    </row>
    <row r="115" spans="1:8" ht="15.75" thickBot="1">
      <c r="A115" s="791"/>
      <c r="B115" s="456" t="s">
        <v>1286</v>
      </c>
      <c r="C115" s="793"/>
      <c r="D115" s="789"/>
      <c r="E115" s="789"/>
      <c r="F115" s="789"/>
      <c r="G115" s="789"/>
      <c r="H115" s="429"/>
    </row>
    <row r="116" spans="1:8" ht="15">
      <c r="A116" s="790" t="s">
        <v>915</v>
      </c>
      <c r="B116" s="455" t="s">
        <v>916</v>
      </c>
      <c r="C116" s="792">
        <v>30.24</v>
      </c>
      <c r="D116" s="788" t="s">
        <v>16</v>
      </c>
      <c r="E116" s="788" t="s">
        <v>917</v>
      </c>
      <c r="F116" s="788">
        <v>50.803199999999997</v>
      </c>
      <c r="G116" s="788" t="s">
        <v>16</v>
      </c>
      <c r="H116" s="429"/>
    </row>
    <row r="117" spans="1:8" ht="15.75" thickBot="1">
      <c r="A117" s="791"/>
      <c r="B117" s="456" t="s">
        <v>1287</v>
      </c>
      <c r="C117" s="793"/>
      <c r="D117" s="789"/>
      <c r="E117" s="789"/>
      <c r="F117" s="789"/>
      <c r="G117" s="789"/>
      <c r="H117" s="429"/>
    </row>
    <row r="118" spans="1:8" ht="15">
      <c r="A118" s="790" t="s">
        <v>918</v>
      </c>
      <c r="B118" s="455" t="s">
        <v>919</v>
      </c>
      <c r="C118" s="792">
        <v>3.24</v>
      </c>
      <c r="D118" s="788" t="s">
        <v>16</v>
      </c>
      <c r="E118" s="788" t="s">
        <v>920</v>
      </c>
      <c r="F118" s="788">
        <v>6.6419999999999995</v>
      </c>
      <c r="G118" s="788" t="s">
        <v>16</v>
      </c>
      <c r="H118" s="429"/>
    </row>
    <row r="119" spans="1:8" ht="15.75" thickBot="1">
      <c r="A119" s="791"/>
      <c r="B119" s="456" t="s">
        <v>1288</v>
      </c>
      <c r="C119" s="793"/>
      <c r="D119" s="789"/>
      <c r="E119" s="789"/>
      <c r="F119" s="789"/>
      <c r="G119" s="789"/>
      <c r="H119" s="429"/>
    </row>
    <row r="120" spans="1:8" ht="30">
      <c r="A120" s="790" t="s">
        <v>923</v>
      </c>
      <c r="B120" s="455" t="s">
        <v>924</v>
      </c>
      <c r="C120" s="788">
        <v>57.68</v>
      </c>
      <c r="D120" s="788" t="s">
        <v>16</v>
      </c>
      <c r="E120" s="788">
        <v>4.8499999999999996</v>
      </c>
      <c r="F120" s="788">
        <v>279.74799999999999</v>
      </c>
      <c r="G120" s="788" t="s">
        <v>16</v>
      </c>
      <c r="H120" s="429"/>
    </row>
    <row r="121" spans="1:8" ht="15.75" thickBot="1">
      <c r="A121" s="791"/>
      <c r="B121" s="456" t="s">
        <v>1289</v>
      </c>
      <c r="C121" s="789"/>
      <c r="D121" s="789"/>
      <c r="E121" s="789"/>
      <c r="F121" s="789"/>
      <c r="G121" s="789"/>
      <c r="H121" s="429"/>
    </row>
    <row r="122" spans="1:8" ht="15.75">
      <c r="A122" s="790" t="s">
        <v>926</v>
      </c>
      <c r="B122" s="457" t="s">
        <v>927</v>
      </c>
      <c r="C122" s="794">
        <v>420.661</v>
      </c>
      <c r="D122" s="794"/>
      <c r="E122" s="794"/>
      <c r="F122" s="794">
        <v>1170.5529999999999</v>
      </c>
      <c r="G122" s="794">
        <v>305.702</v>
      </c>
      <c r="H122" s="429"/>
    </row>
    <row r="123" spans="1:8" ht="16.5" thickBot="1">
      <c r="A123" s="791"/>
      <c r="B123" s="458" t="s">
        <v>928</v>
      </c>
      <c r="C123" s="795"/>
      <c r="D123" s="795"/>
      <c r="E123" s="795"/>
      <c r="F123" s="795"/>
      <c r="G123" s="795"/>
      <c r="H123" s="429"/>
    </row>
    <row r="124" spans="1:8" ht="15">
      <c r="A124" s="790" t="s">
        <v>929</v>
      </c>
      <c r="B124" s="455" t="s">
        <v>930</v>
      </c>
      <c r="C124" s="792">
        <v>65.688862275449097</v>
      </c>
      <c r="D124" s="788" t="s">
        <v>16</v>
      </c>
      <c r="E124" s="788">
        <v>1.7250000000000001</v>
      </c>
      <c r="F124" s="788">
        <v>113.3132874251497</v>
      </c>
      <c r="G124" s="788" t="s">
        <v>16</v>
      </c>
      <c r="H124" s="429"/>
    </row>
    <row r="125" spans="1:8" ht="15.75" thickBot="1">
      <c r="A125" s="791"/>
      <c r="B125" s="452" t="s">
        <v>931</v>
      </c>
      <c r="C125" s="793"/>
      <c r="D125" s="789"/>
      <c r="E125" s="789"/>
      <c r="F125" s="789"/>
      <c r="G125" s="789"/>
      <c r="H125" s="429"/>
    </row>
    <row r="126" spans="1:8" ht="16.5" thickBot="1">
      <c r="A126" s="451" t="s">
        <v>932</v>
      </c>
      <c r="B126" s="452" t="s">
        <v>933</v>
      </c>
      <c r="C126" s="453">
        <v>2.6126126126126121</v>
      </c>
      <c r="D126" s="450" t="s">
        <v>16</v>
      </c>
      <c r="E126" s="450">
        <v>1.73</v>
      </c>
      <c r="F126" s="797">
        <v>4.5198198198198192</v>
      </c>
      <c r="G126" s="450" t="s">
        <v>16</v>
      </c>
      <c r="H126" s="429"/>
    </row>
    <row r="127" spans="1:8" ht="16.5" thickBot="1">
      <c r="A127" s="451" t="s">
        <v>934</v>
      </c>
      <c r="B127" s="452" t="s">
        <v>935</v>
      </c>
      <c r="C127" s="453">
        <v>0</v>
      </c>
      <c r="D127" s="453">
        <v>8.34</v>
      </c>
      <c r="E127" s="453">
        <v>3.76</v>
      </c>
      <c r="F127" s="798"/>
      <c r="G127" s="450">
        <v>31.358399999999996</v>
      </c>
      <c r="H127" s="429"/>
    </row>
    <row r="128" spans="1:8" ht="15.75">
      <c r="A128" s="790" t="s">
        <v>936</v>
      </c>
      <c r="B128" s="457" t="s">
        <v>937</v>
      </c>
      <c r="C128" s="794">
        <v>488.96299999999997</v>
      </c>
      <c r="D128" s="794">
        <v>157.88567372234999</v>
      </c>
      <c r="E128" s="799" t="s">
        <v>16</v>
      </c>
      <c r="F128" s="794">
        <v>1288.3869999999999</v>
      </c>
      <c r="G128" s="794">
        <v>337.06099999999998</v>
      </c>
      <c r="H128" s="429"/>
    </row>
    <row r="129" spans="1:8" ht="16.5" thickBot="1">
      <c r="A129" s="791"/>
      <c r="B129" s="458" t="s">
        <v>938</v>
      </c>
      <c r="C129" s="796"/>
      <c r="D129" s="796"/>
      <c r="E129" s="796"/>
      <c r="F129" s="796"/>
      <c r="G129" s="796"/>
      <c r="H129" s="429"/>
    </row>
    <row r="130" spans="1:8" ht="15.75">
      <c r="A130" s="245"/>
      <c r="B130" s="429" t="s">
        <v>939</v>
      </c>
      <c r="C130" s="382">
        <v>1288.3869999999999</v>
      </c>
      <c r="D130" s="435" t="s">
        <v>16</v>
      </c>
      <c r="E130" s="382">
        <v>337.06099999999998</v>
      </c>
      <c r="F130" s="435" t="s">
        <v>2</v>
      </c>
      <c r="G130" s="382">
        <v>951.32600000000002</v>
      </c>
      <c r="H130" s="429"/>
    </row>
    <row r="131" spans="1:8" ht="15.75">
      <c r="A131" s="245"/>
      <c r="B131" s="429"/>
      <c r="C131" s="429"/>
      <c r="D131" s="429"/>
      <c r="E131" s="429"/>
      <c r="F131" s="429"/>
      <c r="G131" s="429"/>
      <c r="H131" s="429"/>
    </row>
    <row r="132" spans="1:8" ht="15">
      <c r="B132" s="173" t="s">
        <v>940</v>
      </c>
      <c r="C132" s="429">
        <v>163.56</v>
      </c>
      <c r="D132" s="429" t="s">
        <v>941</v>
      </c>
      <c r="E132" s="459">
        <v>200</v>
      </c>
      <c r="F132" s="429" t="s">
        <v>942</v>
      </c>
      <c r="G132" s="429"/>
      <c r="H132" s="429"/>
    </row>
    <row r="133" spans="1:8" ht="15">
      <c r="B133" s="173" t="s">
        <v>943</v>
      </c>
      <c r="C133" s="429">
        <v>28.200000000000003</v>
      </c>
      <c r="D133" s="429" t="s">
        <v>944</v>
      </c>
      <c r="E133" s="429"/>
      <c r="F133" s="429"/>
      <c r="G133" s="429"/>
      <c r="H133" s="429"/>
    </row>
    <row r="134" spans="1:8" ht="15.75">
      <c r="A134" s="245" t="s">
        <v>945</v>
      </c>
      <c r="B134" s="431"/>
      <c r="C134" s="429"/>
      <c r="D134" s="429"/>
      <c r="E134" s="429"/>
      <c r="F134" s="429"/>
      <c r="G134" s="429"/>
      <c r="H134" s="429"/>
    </row>
    <row r="135" spans="1:8" ht="15">
      <c r="B135" s="173" t="s">
        <v>946</v>
      </c>
      <c r="C135" s="429"/>
      <c r="D135" s="429"/>
      <c r="E135" s="429"/>
      <c r="F135" s="429"/>
      <c r="G135" s="429"/>
      <c r="H135" s="429"/>
    </row>
    <row r="136" spans="1:8" ht="15">
      <c r="B136" s="173" t="s">
        <v>947</v>
      </c>
      <c r="C136" s="382">
        <v>157.88567372234999</v>
      </c>
      <c r="D136" s="429" t="s">
        <v>948</v>
      </c>
      <c r="E136" s="429"/>
      <c r="F136" s="429"/>
      <c r="G136" s="429"/>
      <c r="H136" s="429"/>
    </row>
    <row r="137" spans="1:8" ht="15">
      <c r="B137" s="173" t="s">
        <v>949</v>
      </c>
      <c r="C137" s="429">
        <v>0.6</v>
      </c>
      <c r="D137" s="435" t="s">
        <v>154</v>
      </c>
      <c r="E137" s="382">
        <v>488.96299999999997</v>
      </c>
      <c r="F137" s="435" t="s">
        <v>335</v>
      </c>
      <c r="G137" s="429">
        <v>293.38</v>
      </c>
      <c r="H137" s="429" t="s">
        <v>10</v>
      </c>
    </row>
    <row r="138" spans="1:8" ht="15">
      <c r="B138" s="173" t="s">
        <v>950</v>
      </c>
      <c r="C138" s="429">
        <v>293.38</v>
      </c>
      <c r="D138" s="435" t="s">
        <v>951</v>
      </c>
      <c r="E138" s="382">
        <v>157.88567372234999</v>
      </c>
      <c r="F138" s="435" t="s">
        <v>335</v>
      </c>
      <c r="G138" s="83">
        <v>1.86</v>
      </c>
      <c r="H138" s="429"/>
    </row>
    <row r="139" spans="1:8" ht="15.75">
      <c r="A139" s="245" t="s">
        <v>952</v>
      </c>
      <c r="B139" s="429"/>
      <c r="C139" s="429"/>
      <c r="D139" s="429"/>
      <c r="E139" s="429"/>
      <c r="F139" s="429"/>
      <c r="G139" s="460" t="s">
        <v>877</v>
      </c>
      <c r="H139" s="429"/>
    </row>
    <row r="140" spans="1:8" ht="15">
      <c r="B140" s="172" t="s">
        <v>953</v>
      </c>
      <c r="C140" s="429"/>
      <c r="D140" s="429"/>
      <c r="E140" s="429"/>
      <c r="F140" s="429"/>
      <c r="G140" s="429"/>
      <c r="H140" s="429"/>
    </row>
    <row r="141" spans="1:8" ht="15.75">
      <c r="A141" s="245"/>
      <c r="B141" s="429"/>
      <c r="C141" s="429"/>
      <c r="D141" s="429"/>
      <c r="E141" s="429"/>
      <c r="F141" s="429"/>
      <c r="G141" s="429"/>
      <c r="H141" s="429"/>
    </row>
    <row r="142" spans="1:8" ht="15.75">
      <c r="A142" s="245"/>
      <c r="B142" s="429"/>
      <c r="C142" s="429"/>
      <c r="D142" s="429"/>
      <c r="E142" s="429"/>
      <c r="F142" s="429"/>
      <c r="G142" s="429"/>
      <c r="H142" s="429"/>
    </row>
    <row r="143" spans="1:8" ht="15.75">
      <c r="A143" s="245"/>
      <c r="B143" s="429"/>
      <c r="C143" s="429"/>
      <c r="D143" s="429"/>
      <c r="E143" s="429"/>
      <c r="F143" s="429"/>
      <c r="G143" s="429"/>
      <c r="H143" s="429"/>
    </row>
    <row r="144" spans="1:8" ht="15.75">
      <c r="A144" s="245"/>
      <c r="B144" s="429"/>
      <c r="C144" s="429"/>
      <c r="D144" s="429"/>
      <c r="E144" s="429"/>
      <c r="F144" s="429"/>
      <c r="G144" s="429"/>
      <c r="H144" s="429"/>
    </row>
    <row r="145" spans="2:8">
      <c r="B145" s="429"/>
      <c r="C145" s="429"/>
      <c r="D145" s="429"/>
      <c r="E145" s="429"/>
      <c r="F145" s="429"/>
      <c r="G145" s="429"/>
      <c r="H145" s="429"/>
    </row>
    <row r="146" spans="2:8">
      <c r="B146" s="429"/>
      <c r="C146" s="429"/>
      <c r="D146" s="429"/>
      <c r="E146" s="429"/>
      <c r="F146" s="429"/>
      <c r="G146" s="429"/>
      <c r="H146" s="429"/>
    </row>
    <row r="147" spans="2:8">
      <c r="B147" s="429"/>
      <c r="C147" s="429"/>
      <c r="D147" s="429"/>
      <c r="E147" s="429"/>
      <c r="F147" s="429"/>
      <c r="G147" s="429"/>
      <c r="H147" s="429"/>
    </row>
    <row r="148" spans="2:8">
      <c r="B148" s="429"/>
      <c r="C148" s="429"/>
      <c r="D148" s="429"/>
      <c r="E148" s="429"/>
      <c r="F148" s="429"/>
      <c r="G148" s="429"/>
      <c r="H148" s="429"/>
    </row>
    <row r="149" spans="2:8">
      <c r="B149" s="429"/>
      <c r="C149" s="429"/>
      <c r="D149" s="429"/>
      <c r="E149" s="429"/>
      <c r="F149" s="429"/>
      <c r="G149" s="429"/>
      <c r="H149" s="429"/>
    </row>
    <row r="150" spans="2:8">
      <c r="B150" s="429"/>
      <c r="C150" s="429"/>
      <c r="D150" s="429"/>
      <c r="E150" s="429"/>
      <c r="F150" s="429"/>
      <c r="G150" s="429"/>
      <c r="H150" s="429"/>
    </row>
    <row r="151" spans="2:8">
      <c r="B151" s="429"/>
      <c r="C151" s="429"/>
      <c r="D151" s="429"/>
      <c r="E151" s="429"/>
      <c r="F151" s="429"/>
      <c r="G151" s="429"/>
      <c r="H151" s="429"/>
    </row>
    <row r="152" spans="2:8">
      <c r="B152" s="429"/>
      <c r="C152" s="429"/>
      <c r="D152" s="429"/>
      <c r="E152" s="429"/>
      <c r="F152" s="429"/>
      <c r="G152" s="429"/>
      <c r="H152" s="429"/>
    </row>
    <row r="153" spans="2:8">
      <c r="B153" s="429"/>
      <c r="C153" s="429"/>
      <c r="D153" s="429"/>
      <c r="E153" s="429"/>
      <c r="F153" s="429"/>
      <c r="G153" s="429"/>
      <c r="H153" s="429"/>
    </row>
    <row r="154" spans="2:8">
      <c r="B154" s="429"/>
      <c r="C154" s="429"/>
      <c r="D154" s="429"/>
      <c r="E154" s="429"/>
      <c r="F154" s="429"/>
      <c r="G154" s="429"/>
      <c r="H154" s="429"/>
    </row>
    <row r="155" spans="2:8">
      <c r="B155" s="429"/>
      <c r="C155" s="429"/>
      <c r="D155" s="429"/>
      <c r="E155" s="429"/>
      <c r="F155" s="429"/>
      <c r="G155" s="429"/>
      <c r="H155" s="429"/>
    </row>
  </sheetData>
  <mergeCells count="66">
    <mergeCell ref="A1:H1"/>
    <mergeCell ref="C9:D9"/>
    <mergeCell ref="B15:H15"/>
    <mergeCell ref="B16:H16"/>
    <mergeCell ref="B18:H18"/>
    <mergeCell ref="A102:G102"/>
    <mergeCell ref="B103:B105"/>
    <mergeCell ref="C103:D103"/>
    <mergeCell ref="E103:G103"/>
    <mergeCell ref="C104:C105"/>
    <mergeCell ref="D104:D105"/>
    <mergeCell ref="A110:A111"/>
    <mergeCell ref="C110:C111"/>
    <mergeCell ref="D110:D111"/>
    <mergeCell ref="E110:E111"/>
    <mergeCell ref="F110:F111"/>
    <mergeCell ref="G110:G111"/>
    <mergeCell ref="A112:A113"/>
    <mergeCell ref="C112:C113"/>
    <mergeCell ref="D112:D113"/>
    <mergeCell ref="E112:E113"/>
    <mergeCell ref="F112:F113"/>
    <mergeCell ref="G112:G113"/>
    <mergeCell ref="A114:A115"/>
    <mergeCell ref="C114:C115"/>
    <mergeCell ref="D114:D115"/>
    <mergeCell ref="E114:E115"/>
    <mergeCell ref="F114:F115"/>
    <mergeCell ref="G114:G115"/>
    <mergeCell ref="A116:A117"/>
    <mergeCell ref="C116:C117"/>
    <mergeCell ref="D116:D117"/>
    <mergeCell ref="E116:E117"/>
    <mergeCell ref="F116:F117"/>
    <mergeCell ref="G116:G117"/>
    <mergeCell ref="A118:A119"/>
    <mergeCell ref="C118:C119"/>
    <mergeCell ref="D118:D119"/>
    <mergeCell ref="E118:E119"/>
    <mergeCell ref="F118:F119"/>
    <mergeCell ref="G118:G119"/>
    <mergeCell ref="A120:A121"/>
    <mergeCell ref="C120:C121"/>
    <mergeCell ref="D120:D121"/>
    <mergeCell ref="E120:E121"/>
    <mergeCell ref="F120:F121"/>
    <mergeCell ref="G120:G121"/>
    <mergeCell ref="A122:A123"/>
    <mergeCell ref="C122:C123"/>
    <mergeCell ref="D122:D123"/>
    <mergeCell ref="E122:E123"/>
    <mergeCell ref="F122:F123"/>
    <mergeCell ref="G122:G123"/>
    <mergeCell ref="A124:A125"/>
    <mergeCell ref="C124:C125"/>
    <mergeCell ref="D124:D125"/>
    <mergeCell ref="E124:E125"/>
    <mergeCell ref="F124:F125"/>
    <mergeCell ref="G124:G125"/>
    <mergeCell ref="G128:G129"/>
    <mergeCell ref="F126:F127"/>
    <mergeCell ref="A128:A129"/>
    <mergeCell ref="C128:C129"/>
    <mergeCell ref="D128:D129"/>
    <mergeCell ref="E128:E129"/>
    <mergeCell ref="F128:F129"/>
  </mergeCells>
  <pageMargins left="0.75" right="0.75" top="1" bottom="1" header="0.5" footer="0.5"/>
  <pageSetup paperSize="9" scale="77" fitToHeight="5" orientation="landscape" verticalDpi="1200" r:id="rId1"/>
  <headerFooter>
    <oddFooter>&amp;L&amp;P/{&amp;N}&amp;C&amp;F&amp;R&amp;A</oddFooter>
  </headerFooter>
  <rowBreaks count="3" manualBreakCount="3">
    <brk id="82" max="16383" man="1"/>
    <brk id="101" max="16383" man="1"/>
    <brk id="129"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N69"/>
  <sheetViews>
    <sheetView workbookViewId="0">
      <selection sqref="A1:IV65536"/>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ht="15.75">
      <c r="A1" s="714" t="s">
        <v>954</v>
      </c>
      <c r="B1" s="714"/>
      <c r="C1" s="714"/>
      <c r="D1" s="714"/>
      <c r="E1" s="714"/>
      <c r="F1" s="714"/>
      <c r="G1" s="714"/>
      <c r="H1" s="714"/>
      <c r="I1" s="714"/>
      <c r="J1" s="714"/>
      <c r="K1" s="714"/>
      <c r="L1" s="714"/>
      <c r="M1" s="714"/>
      <c r="N1" s="714"/>
    </row>
    <row r="2" spans="1:14" ht="15.75">
      <c r="A2" s="391" t="s">
        <v>1187</v>
      </c>
      <c r="B2" s="393"/>
      <c r="C2" s="393"/>
      <c r="D2" s="393"/>
      <c r="E2" s="393"/>
      <c r="F2" s="393"/>
      <c r="G2" s="393"/>
      <c r="H2" s="393"/>
      <c r="I2" s="393"/>
      <c r="J2" s="393"/>
      <c r="K2" s="393"/>
      <c r="L2" s="393"/>
      <c r="M2" s="393"/>
      <c r="N2" s="393"/>
    </row>
    <row r="3" spans="1:14" ht="15.75">
      <c r="A3" s="245" t="s">
        <v>955</v>
      </c>
      <c r="B3" s="172"/>
      <c r="C3" s="172"/>
      <c r="D3" s="172"/>
      <c r="E3" s="173"/>
      <c r="F3" s="172"/>
      <c r="G3" s="172"/>
      <c r="H3" s="172"/>
      <c r="I3" s="172"/>
      <c r="J3" s="172"/>
      <c r="K3" s="172"/>
      <c r="L3" s="172"/>
      <c r="M3" s="172"/>
      <c r="N3" s="172"/>
    </row>
    <row r="4" spans="1:14" ht="15.75">
      <c r="A4" s="245" t="s">
        <v>356</v>
      </c>
      <c r="B4" s="174"/>
      <c r="C4" s="164"/>
      <c r="D4" s="172"/>
      <c r="E4" s="172"/>
      <c r="F4" s="172"/>
      <c r="G4" s="172"/>
      <c r="H4" s="172"/>
      <c r="I4" s="172"/>
      <c r="J4" s="172"/>
      <c r="K4" s="172"/>
      <c r="L4" s="172"/>
      <c r="M4" s="172"/>
      <c r="N4" s="172"/>
    </row>
    <row r="5" spans="1:14" ht="19.5">
      <c r="A5" s="245"/>
      <c r="B5" s="162" t="s">
        <v>357</v>
      </c>
      <c r="C5" s="172" t="s">
        <v>1290</v>
      </c>
      <c r="D5" s="174">
        <v>14</v>
      </c>
      <c r="E5" s="173" t="s">
        <v>0</v>
      </c>
      <c r="F5" s="172"/>
      <c r="G5" s="172"/>
      <c r="H5" s="172"/>
      <c r="I5" s="172"/>
      <c r="J5" s="172"/>
      <c r="K5" s="172"/>
      <c r="L5" s="172"/>
      <c r="M5" s="172"/>
      <c r="N5" s="172"/>
    </row>
    <row r="6" spans="1:14" ht="19.5">
      <c r="A6" s="245"/>
      <c r="B6" s="162" t="s">
        <v>358</v>
      </c>
      <c r="C6" s="172" t="s">
        <v>1291</v>
      </c>
      <c r="D6" s="174">
        <v>5.0999999999999996</v>
      </c>
      <c r="E6" s="173" t="s">
        <v>0</v>
      </c>
      <c r="F6" s="172"/>
      <c r="G6" s="172"/>
      <c r="H6" s="172"/>
      <c r="I6" s="172"/>
      <c r="J6" s="172"/>
      <c r="K6" s="172"/>
      <c r="L6" s="172"/>
      <c r="M6" s="172"/>
      <c r="N6" s="172"/>
    </row>
    <row r="7" spans="1:14" ht="15.75">
      <c r="A7" s="245"/>
      <c r="B7" s="162" t="s">
        <v>956</v>
      </c>
      <c r="C7" s="172"/>
      <c r="D7" s="174">
        <v>3.0999999999999996</v>
      </c>
      <c r="E7" s="173" t="s">
        <v>0</v>
      </c>
      <c r="F7" s="172"/>
      <c r="G7" s="172"/>
      <c r="H7" s="172"/>
      <c r="I7" s="172"/>
      <c r="J7" s="172"/>
      <c r="K7" s="172"/>
      <c r="L7" s="172"/>
      <c r="M7" s="172"/>
      <c r="N7" s="172"/>
    </row>
    <row r="8" spans="1:14" ht="15.75">
      <c r="A8" s="245"/>
      <c r="B8" s="162" t="s">
        <v>360</v>
      </c>
      <c r="C8" s="172" t="s">
        <v>44</v>
      </c>
      <c r="D8" s="174">
        <v>488.96299999999997</v>
      </c>
      <c r="E8" s="173" t="s">
        <v>10</v>
      </c>
      <c r="F8" s="172"/>
      <c r="G8" s="172"/>
      <c r="H8" s="172"/>
      <c r="I8" s="172"/>
      <c r="J8" s="172"/>
      <c r="K8" s="172"/>
      <c r="L8" s="172"/>
      <c r="M8" s="172"/>
      <c r="N8" s="172"/>
    </row>
    <row r="9" spans="1:14" ht="19.5">
      <c r="A9" s="245"/>
      <c r="B9" s="162" t="s">
        <v>361</v>
      </c>
      <c r="C9" s="164" t="s">
        <v>1292</v>
      </c>
      <c r="D9" s="174">
        <v>951.32600000000002</v>
      </c>
      <c r="E9" s="173" t="s">
        <v>5</v>
      </c>
      <c r="F9" s="172"/>
      <c r="G9" s="172"/>
      <c r="H9" s="172"/>
      <c r="I9" s="172"/>
      <c r="J9" s="172"/>
      <c r="K9" s="172"/>
      <c r="L9" s="172"/>
      <c r="M9" s="172"/>
      <c r="N9" s="172"/>
    </row>
    <row r="10" spans="1:14" ht="19.5">
      <c r="A10" s="172"/>
      <c r="B10" s="162" t="s">
        <v>362</v>
      </c>
      <c r="C10" s="172" t="s">
        <v>1293</v>
      </c>
      <c r="D10" s="174">
        <v>0</v>
      </c>
      <c r="E10" s="173" t="s">
        <v>5</v>
      </c>
      <c r="F10" s="172"/>
      <c r="G10" s="172"/>
      <c r="H10" s="172"/>
      <c r="I10" s="172"/>
      <c r="J10" s="172"/>
      <c r="K10" s="172"/>
      <c r="L10" s="172"/>
      <c r="M10" s="172"/>
      <c r="N10" s="172"/>
    </row>
    <row r="11" spans="1:14" ht="19.5" hidden="1">
      <c r="A11" s="245"/>
      <c r="B11" s="173" t="s">
        <v>1294</v>
      </c>
      <c r="C11" s="164" t="s">
        <v>1295</v>
      </c>
      <c r="D11" s="174">
        <v>1.9455991557643422</v>
      </c>
      <c r="E11" s="173" t="s">
        <v>0</v>
      </c>
      <c r="F11" s="172"/>
      <c r="G11" s="172"/>
      <c r="H11" s="172"/>
      <c r="I11" s="172"/>
      <c r="J11" s="172"/>
      <c r="K11" s="172"/>
      <c r="L11" s="172"/>
      <c r="M11" s="172"/>
      <c r="N11" s="172"/>
    </row>
    <row r="12" spans="1:14" ht="19.5" hidden="1">
      <c r="A12" s="172"/>
      <c r="B12" s="173" t="s">
        <v>1296</v>
      </c>
      <c r="C12" s="164" t="s">
        <v>1297</v>
      </c>
      <c r="D12" s="174">
        <v>0</v>
      </c>
      <c r="E12" s="173" t="s">
        <v>0</v>
      </c>
      <c r="F12" s="172"/>
      <c r="G12" s="172"/>
      <c r="H12" s="172"/>
      <c r="I12" s="172"/>
      <c r="J12" s="172"/>
      <c r="K12" s="172"/>
      <c r="L12" s="172"/>
      <c r="M12" s="172"/>
      <c r="N12" s="172"/>
    </row>
    <row r="13" spans="1:14" ht="19.5" hidden="1">
      <c r="A13" s="172"/>
      <c r="B13" s="546" t="s">
        <v>1298</v>
      </c>
      <c r="C13" s="174"/>
      <c r="D13" s="174">
        <v>0.1389713682688816</v>
      </c>
      <c r="E13" s="817" t="s">
        <v>363</v>
      </c>
      <c r="F13" s="817"/>
      <c r="G13" s="817"/>
      <c r="H13" s="172"/>
      <c r="I13" s="172"/>
      <c r="J13" s="172"/>
      <c r="K13" s="172"/>
      <c r="L13" s="172"/>
      <c r="M13" s="172"/>
      <c r="N13" s="172"/>
    </row>
    <row r="14" spans="1:14" ht="19.5" hidden="1">
      <c r="A14" s="172"/>
      <c r="B14" s="546" t="s">
        <v>1299</v>
      </c>
      <c r="C14" s="174"/>
      <c r="D14" s="174">
        <v>0</v>
      </c>
      <c r="E14" s="817"/>
      <c r="F14" s="817"/>
      <c r="G14" s="817"/>
      <c r="H14" s="172"/>
      <c r="I14" s="172"/>
      <c r="J14" s="172"/>
      <c r="K14" s="172"/>
      <c r="L14" s="172"/>
      <c r="M14" s="172"/>
      <c r="N14" s="172"/>
    </row>
    <row r="15" spans="1:14" ht="12.75" hidden="1" customHeight="1">
      <c r="A15" s="172"/>
      <c r="B15" s="546" t="s">
        <v>364</v>
      </c>
      <c r="C15" s="174"/>
      <c r="D15" s="547">
        <v>1</v>
      </c>
      <c r="E15" s="817"/>
      <c r="F15" s="817"/>
      <c r="G15" s="817"/>
      <c r="H15" s="172"/>
      <c r="I15" s="172"/>
      <c r="J15" s="172"/>
      <c r="K15" s="172"/>
      <c r="L15" s="172"/>
      <c r="M15" s="172"/>
      <c r="N15" s="172"/>
    </row>
    <row r="16" spans="1:14" ht="15.75" hidden="1">
      <c r="A16" s="172"/>
      <c r="B16" s="546" t="s">
        <v>365</v>
      </c>
      <c r="C16" s="174"/>
      <c r="D16" s="548">
        <v>0</v>
      </c>
      <c r="E16" s="817"/>
      <c r="F16" s="817"/>
      <c r="G16" s="817"/>
      <c r="H16" s="172"/>
      <c r="I16" s="172"/>
      <c r="J16" s="172"/>
      <c r="K16" s="172"/>
      <c r="L16" s="172"/>
      <c r="M16" s="172"/>
      <c r="N16" s="172"/>
    </row>
    <row r="17" spans="1:14" ht="19.5">
      <c r="A17" s="172"/>
      <c r="B17" s="166" t="s">
        <v>1300</v>
      </c>
      <c r="C17" s="166"/>
      <c r="D17" s="549"/>
      <c r="E17" s="550">
        <v>0</v>
      </c>
      <c r="F17" s="551" t="s">
        <v>1301</v>
      </c>
      <c r="G17" s="174">
        <v>0</v>
      </c>
      <c r="H17" s="164" t="s">
        <v>27</v>
      </c>
      <c r="I17" s="172"/>
      <c r="J17" s="172"/>
      <c r="K17" s="172"/>
      <c r="L17" s="172"/>
      <c r="M17" s="172"/>
      <c r="N17" s="172"/>
    </row>
    <row r="18" spans="1:14" ht="18.75">
      <c r="A18" s="245"/>
      <c r="B18" s="162" t="s">
        <v>366</v>
      </c>
      <c r="C18" s="162"/>
      <c r="D18" s="172"/>
      <c r="E18" s="550">
        <v>163.56</v>
      </c>
      <c r="F18" s="551" t="s">
        <v>1302</v>
      </c>
      <c r="G18" s="172"/>
      <c r="H18" s="172"/>
      <c r="I18" s="172"/>
      <c r="J18" s="172"/>
      <c r="K18" s="172"/>
      <c r="L18" s="172"/>
      <c r="M18" s="172"/>
      <c r="N18" s="172"/>
    </row>
    <row r="19" spans="1:14" ht="18.75">
      <c r="A19" s="245"/>
      <c r="B19" s="162" t="s">
        <v>367</v>
      </c>
      <c r="C19" s="162"/>
      <c r="D19" s="172"/>
      <c r="E19" s="550">
        <v>163.56</v>
      </c>
      <c r="F19" s="551" t="s">
        <v>1302</v>
      </c>
      <c r="G19" s="172"/>
      <c r="H19" s="172"/>
      <c r="I19" s="172"/>
      <c r="J19" s="172"/>
      <c r="K19" s="172"/>
      <c r="L19" s="172"/>
      <c r="M19" s="172"/>
      <c r="N19" s="172"/>
    </row>
    <row r="20" spans="1:14" s="429" customFormat="1" ht="18.75">
      <c r="A20" s="172"/>
      <c r="B20" s="166" t="s">
        <v>368</v>
      </c>
      <c r="C20" s="166"/>
      <c r="D20" s="549"/>
      <c r="E20" s="550">
        <v>163.56</v>
      </c>
      <c r="F20" s="551" t="s">
        <v>1302</v>
      </c>
      <c r="G20" s="172"/>
      <c r="H20" s="172"/>
      <c r="I20" s="172"/>
      <c r="J20" s="172"/>
      <c r="K20" s="172"/>
      <c r="L20" s="172"/>
      <c r="M20" s="172"/>
      <c r="N20" s="172"/>
    </row>
    <row r="21" spans="1:14" s="429" customFormat="1" ht="15" customHeight="1">
      <c r="A21" s="172"/>
      <c r="B21" s="166" t="s">
        <v>369</v>
      </c>
      <c r="C21" s="166"/>
      <c r="D21" s="549"/>
      <c r="E21" s="552">
        <v>1</v>
      </c>
      <c r="F21" s="553" t="s">
        <v>0</v>
      </c>
      <c r="G21" s="172"/>
      <c r="H21" s="172"/>
      <c r="I21" s="172"/>
      <c r="J21" s="172"/>
      <c r="K21" s="172"/>
      <c r="L21" s="172"/>
      <c r="M21" s="172"/>
      <c r="N21" s="172"/>
    </row>
    <row r="22" spans="1:14" s="429" customFormat="1" ht="18.75">
      <c r="A22" s="172"/>
      <c r="B22" s="166" t="s">
        <v>370</v>
      </c>
      <c r="C22" s="166"/>
      <c r="D22" s="549"/>
      <c r="E22" s="550">
        <v>131.48941176470589</v>
      </c>
      <c r="F22" s="551" t="s">
        <v>1302</v>
      </c>
      <c r="G22" s="172"/>
      <c r="H22" s="172"/>
      <c r="I22" s="172"/>
      <c r="J22" s="172"/>
      <c r="K22" s="172"/>
      <c r="L22" s="172"/>
      <c r="M22" s="172"/>
      <c r="N22" s="172"/>
    </row>
    <row r="23" spans="1:14" s="429" customFormat="1" ht="30">
      <c r="A23" s="172"/>
      <c r="B23" s="166" t="s">
        <v>371</v>
      </c>
      <c r="C23" s="166"/>
      <c r="D23" s="549"/>
      <c r="E23" s="550">
        <v>147.52470588235295</v>
      </c>
      <c r="F23" s="551" t="s">
        <v>1302</v>
      </c>
      <c r="G23" s="172"/>
      <c r="H23" s="172"/>
      <c r="I23" s="172"/>
      <c r="J23" s="172"/>
      <c r="K23" s="172"/>
      <c r="L23" s="172"/>
      <c r="M23" s="172"/>
      <c r="N23" s="172"/>
    </row>
    <row r="24" spans="1:14" s="429" customFormat="1" ht="18.75">
      <c r="A24" s="172"/>
      <c r="B24" s="166" t="s">
        <v>372</v>
      </c>
      <c r="C24" s="166"/>
      <c r="D24" s="549"/>
      <c r="E24" s="550">
        <v>1</v>
      </c>
      <c r="F24" s="551" t="s">
        <v>1301</v>
      </c>
      <c r="G24" s="172"/>
      <c r="H24" s="172"/>
      <c r="I24" s="172"/>
      <c r="J24" s="172"/>
      <c r="K24" s="172"/>
      <c r="L24" s="172"/>
      <c r="M24" s="172"/>
      <c r="N24" s="172"/>
    </row>
    <row r="25" spans="1:14" s="429" customFormat="1" ht="30">
      <c r="A25" s="172"/>
      <c r="B25" s="166" t="s">
        <v>373</v>
      </c>
      <c r="C25" s="166"/>
      <c r="D25" s="549"/>
      <c r="E25" s="550">
        <v>0.51811594202898548</v>
      </c>
      <c r="F25" s="553" t="s">
        <v>0</v>
      </c>
      <c r="G25" s="172"/>
      <c r="H25" s="172"/>
      <c r="I25" s="172"/>
      <c r="J25" s="172"/>
      <c r="K25" s="172"/>
      <c r="L25" s="172"/>
      <c r="M25" s="172"/>
      <c r="N25" s="172"/>
    </row>
    <row r="26" spans="1:14" s="429" customFormat="1" ht="15.75">
      <c r="A26" s="172"/>
      <c r="B26" s="166" t="s">
        <v>374</v>
      </c>
      <c r="C26" s="166"/>
      <c r="D26" s="549"/>
      <c r="E26" s="554">
        <v>76.434901960784316</v>
      </c>
      <c r="F26" s="551" t="s">
        <v>5</v>
      </c>
      <c r="G26" s="172"/>
      <c r="H26" s="172"/>
      <c r="I26" s="172"/>
      <c r="J26" s="172"/>
      <c r="K26" s="172"/>
      <c r="L26" s="172"/>
      <c r="M26" s="172"/>
      <c r="N26" s="172"/>
    </row>
    <row r="27" spans="1:14" s="429" customFormat="1" ht="15.75">
      <c r="A27" s="172"/>
      <c r="B27" s="555" t="s">
        <v>375</v>
      </c>
      <c r="C27" s="556"/>
      <c r="D27" s="556"/>
      <c r="E27" s="557" t="s">
        <v>467</v>
      </c>
      <c r="F27" s="556"/>
      <c r="G27" s="245"/>
      <c r="H27" s="245"/>
      <c r="I27" s="172"/>
      <c r="J27" s="172"/>
      <c r="K27" s="172"/>
      <c r="L27" s="172"/>
      <c r="M27" s="172"/>
      <c r="N27" s="172"/>
    </row>
    <row r="28" spans="1:14" s="429" customFormat="1" ht="15.75">
      <c r="A28" s="172"/>
      <c r="B28" s="555" t="s">
        <v>1303</v>
      </c>
      <c r="C28" s="556"/>
      <c r="D28" s="556"/>
      <c r="E28" s="557">
        <v>10</v>
      </c>
      <c r="F28" s="549" t="s">
        <v>252</v>
      </c>
      <c r="G28" s="245"/>
      <c r="H28" s="245"/>
      <c r="I28" s="172"/>
      <c r="J28" s="172"/>
      <c r="K28" s="172"/>
      <c r="L28" s="172"/>
      <c r="M28" s="172"/>
      <c r="N28" s="172"/>
    </row>
    <row r="29" spans="1:14" s="429" customFormat="1" ht="15.75">
      <c r="A29" s="172"/>
      <c r="B29" s="555" t="s">
        <v>0</v>
      </c>
      <c r="C29" s="556"/>
      <c r="D29" s="556"/>
      <c r="E29" s="558">
        <v>9.3333333333333339</v>
      </c>
      <c r="F29" s="556"/>
      <c r="G29" s="245"/>
      <c r="H29" s="245"/>
      <c r="I29" s="172"/>
      <c r="J29" s="172"/>
      <c r="K29" s="172"/>
      <c r="L29" s="172"/>
      <c r="M29" s="172"/>
      <c r="N29" s="172"/>
    </row>
    <row r="30" spans="1:14" s="429" customFormat="1" ht="15.75">
      <c r="A30" s="172"/>
      <c r="B30" s="559" t="s">
        <v>1304</v>
      </c>
      <c r="C30" s="556"/>
      <c r="D30" s="556"/>
      <c r="E30" s="557">
        <v>200</v>
      </c>
      <c r="F30" s="556"/>
      <c r="G30" s="245"/>
      <c r="H30" s="245"/>
      <c r="I30" s="172"/>
      <c r="J30" s="172"/>
      <c r="K30" s="172"/>
      <c r="L30" s="172"/>
      <c r="M30" s="172"/>
      <c r="N30" s="172"/>
    </row>
    <row r="31" spans="1:14" s="429" customFormat="1" ht="15.75">
      <c r="A31" s="172"/>
      <c r="B31" s="555" t="s">
        <v>377</v>
      </c>
      <c r="C31" s="549"/>
      <c r="D31" s="549"/>
      <c r="E31" s="560">
        <v>0.31818181818181818</v>
      </c>
      <c r="F31" s="549"/>
      <c r="G31" s="172"/>
      <c r="H31" s="172"/>
      <c r="I31" s="172"/>
      <c r="J31" s="172"/>
      <c r="K31" s="172"/>
      <c r="L31" s="172"/>
      <c r="M31" s="172"/>
      <c r="N31" s="172"/>
    </row>
    <row r="32" spans="1:14" s="429" customFormat="1" ht="15.75">
      <c r="A32" s="172"/>
      <c r="B32" s="555" t="s">
        <v>378</v>
      </c>
      <c r="C32" s="549"/>
      <c r="D32" s="549"/>
      <c r="E32" s="560">
        <v>0.89393939393939392</v>
      </c>
      <c r="F32" s="549"/>
      <c r="G32" s="172"/>
      <c r="H32" s="172"/>
      <c r="I32" s="172"/>
      <c r="J32" s="172"/>
      <c r="K32" s="172"/>
      <c r="L32" s="172"/>
      <c r="M32" s="172"/>
      <c r="N32" s="172"/>
    </row>
    <row r="33" spans="1:14" s="429" customFormat="1" ht="15.75">
      <c r="A33" s="172"/>
      <c r="B33" s="556" t="s">
        <v>18</v>
      </c>
      <c r="C33" s="549"/>
      <c r="D33" s="549"/>
      <c r="E33" s="560">
        <v>1.4221763085399448</v>
      </c>
      <c r="F33" s="549"/>
      <c r="G33" s="172"/>
      <c r="H33" s="172"/>
      <c r="I33" s="172"/>
      <c r="J33" s="172"/>
      <c r="K33" s="172"/>
      <c r="L33" s="172"/>
      <c r="M33" s="172"/>
      <c r="N33" s="172"/>
    </row>
    <row r="34" spans="1:14" s="429" customFormat="1" ht="15.75">
      <c r="A34" s="172"/>
      <c r="B34" s="556" t="s">
        <v>379</v>
      </c>
      <c r="C34" s="549"/>
      <c r="D34" s="549"/>
      <c r="E34" s="561">
        <v>231.82973384564747</v>
      </c>
      <c r="F34" s="549" t="s">
        <v>1</v>
      </c>
      <c r="G34" s="172"/>
      <c r="H34" s="172"/>
      <c r="I34" s="172"/>
      <c r="J34" s="172"/>
      <c r="K34" s="172"/>
      <c r="L34" s="172"/>
      <c r="M34" s="172"/>
      <c r="N34" s="172"/>
    </row>
    <row r="35" spans="1:14" s="429" customFormat="1" ht="15.75">
      <c r="A35" s="172"/>
      <c r="B35" s="556" t="s">
        <v>380</v>
      </c>
      <c r="C35" s="549"/>
      <c r="D35" s="549"/>
      <c r="E35" s="561">
        <v>1000</v>
      </c>
      <c r="F35" s="549" t="s">
        <v>1</v>
      </c>
      <c r="G35" s="172"/>
      <c r="H35" s="172"/>
      <c r="I35" s="172"/>
      <c r="J35" s="172"/>
      <c r="K35" s="172"/>
      <c r="L35" s="172"/>
      <c r="M35" s="172"/>
      <c r="N35" s="172"/>
    </row>
    <row r="36" spans="1:14" s="429" customFormat="1" ht="15.75">
      <c r="A36" s="172"/>
      <c r="B36" s="562" t="s">
        <v>381</v>
      </c>
      <c r="C36" s="563"/>
      <c r="D36" s="563"/>
      <c r="E36" s="561">
        <v>50</v>
      </c>
      <c r="F36" s="549" t="s">
        <v>1</v>
      </c>
      <c r="G36" s="172"/>
      <c r="H36" s="172"/>
      <c r="I36" s="172"/>
      <c r="J36" s="172"/>
      <c r="K36" s="172"/>
      <c r="L36" s="172"/>
      <c r="M36" s="172"/>
      <c r="N36" s="172"/>
    </row>
    <row r="37" spans="1:14" s="429" customFormat="1" ht="15.75">
      <c r="A37" s="172"/>
      <c r="B37" s="562" t="s">
        <v>382</v>
      </c>
      <c r="C37" s="563"/>
      <c r="D37" s="563"/>
      <c r="E37" s="564">
        <v>16</v>
      </c>
      <c r="F37" s="549" t="s">
        <v>1</v>
      </c>
      <c r="G37" s="172"/>
      <c r="H37" s="172"/>
      <c r="I37" s="172"/>
      <c r="J37" s="172"/>
      <c r="K37" s="172"/>
      <c r="L37" s="172"/>
      <c r="M37" s="172"/>
      <c r="N37" s="172"/>
    </row>
    <row r="38" spans="1:14" s="429" customFormat="1" ht="15.75">
      <c r="A38" s="172"/>
      <c r="B38" s="562" t="s">
        <v>427</v>
      </c>
      <c r="C38" s="563"/>
      <c r="D38" s="563"/>
      <c r="E38" s="561">
        <v>942</v>
      </c>
      <c r="F38" s="549" t="s">
        <v>1</v>
      </c>
      <c r="G38" s="172"/>
      <c r="H38" s="172"/>
      <c r="I38" s="172"/>
      <c r="J38" s="172"/>
      <c r="K38" s="172"/>
      <c r="L38" s="172"/>
      <c r="M38" s="172"/>
      <c r="N38" s="172"/>
    </row>
    <row r="39" spans="1:14" s="429" customFormat="1" ht="15.75">
      <c r="A39" s="172"/>
      <c r="B39" s="556" t="s">
        <v>383</v>
      </c>
      <c r="C39" s="549"/>
      <c r="D39" s="549"/>
      <c r="E39" s="565">
        <v>942</v>
      </c>
      <c r="F39" s="549" t="s">
        <v>1</v>
      </c>
      <c r="G39" s="172"/>
      <c r="H39" s="172"/>
      <c r="I39" s="172"/>
      <c r="J39" s="172"/>
      <c r="K39" s="172"/>
      <c r="L39" s="172"/>
      <c r="M39" s="172"/>
      <c r="N39" s="172"/>
    </row>
    <row r="40" spans="1:14" s="429" customFormat="1" ht="18">
      <c r="A40" s="172"/>
      <c r="B40" s="556" t="s">
        <v>384</v>
      </c>
      <c r="C40" s="549"/>
      <c r="D40" s="549"/>
      <c r="E40" s="561">
        <v>453.83996630067332</v>
      </c>
      <c r="F40" s="549" t="s">
        <v>1305</v>
      </c>
      <c r="G40" s="172"/>
      <c r="H40" s="172"/>
      <c r="I40" s="172"/>
      <c r="J40" s="172"/>
      <c r="K40" s="172"/>
      <c r="L40" s="172"/>
      <c r="M40" s="172"/>
      <c r="N40" s="172"/>
    </row>
    <row r="41" spans="1:14" s="429" customFormat="1" ht="18">
      <c r="A41" s="172"/>
      <c r="B41" s="556" t="s">
        <v>385</v>
      </c>
      <c r="C41" s="549"/>
      <c r="D41" s="549"/>
      <c r="E41" s="561">
        <v>200.96</v>
      </c>
      <c r="F41" s="549" t="s">
        <v>1305</v>
      </c>
      <c r="G41" s="172"/>
      <c r="H41" s="172"/>
      <c r="I41" s="172"/>
      <c r="J41" s="172"/>
      <c r="K41" s="172"/>
      <c r="L41" s="172"/>
      <c r="M41" s="172"/>
      <c r="N41" s="172"/>
    </row>
    <row r="42" spans="1:14" s="429" customFormat="1" ht="15.75">
      <c r="A42" s="172"/>
      <c r="B42" s="555" t="s">
        <v>386</v>
      </c>
      <c r="C42" s="549"/>
      <c r="D42" s="549"/>
      <c r="E42" s="561">
        <v>442.79925727577302</v>
      </c>
      <c r="F42" s="549" t="s">
        <v>1</v>
      </c>
      <c r="G42" s="172"/>
      <c r="H42" s="172"/>
      <c r="I42" s="172"/>
      <c r="J42" s="172"/>
      <c r="K42" s="172"/>
      <c r="L42" s="172"/>
      <c r="M42" s="172"/>
      <c r="N42" s="172"/>
    </row>
    <row r="43" spans="1:14" s="429" customFormat="1" ht="15.75">
      <c r="A43" s="172"/>
      <c r="B43" s="556" t="s">
        <v>387</v>
      </c>
      <c r="C43" s="566">
        <v>16</v>
      </c>
      <c r="D43" s="549" t="s">
        <v>1</v>
      </c>
      <c r="E43" s="567">
        <v>150</v>
      </c>
      <c r="F43" s="549" t="s">
        <v>1</v>
      </c>
      <c r="G43" s="568" t="s">
        <v>957</v>
      </c>
      <c r="H43" s="172"/>
      <c r="I43" s="172"/>
      <c r="J43" s="172"/>
      <c r="K43" s="172"/>
      <c r="L43" s="172"/>
      <c r="M43" s="172"/>
      <c r="N43" s="172"/>
    </row>
    <row r="44" spans="1:14" s="429" customFormat="1" ht="18">
      <c r="A44" s="172"/>
      <c r="B44" s="556" t="s">
        <v>388</v>
      </c>
      <c r="C44" s="549"/>
      <c r="D44" s="549"/>
      <c r="E44" s="561">
        <v>1884</v>
      </c>
      <c r="F44" s="549" t="s">
        <v>1305</v>
      </c>
      <c r="G44" s="172"/>
      <c r="H44" s="172"/>
      <c r="I44" s="172"/>
      <c r="J44" s="172"/>
      <c r="K44" s="172"/>
      <c r="L44" s="172"/>
      <c r="M44" s="172"/>
      <c r="N44" s="172"/>
    </row>
    <row r="45" spans="1:14" s="429" customFormat="1" ht="21" customHeight="1">
      <c r="A45" s="172"/>
      <c r="B45" s="556" t="s">
        <v>389</v>
      </c>
      <c r="C45" s="549"/>
      <c r="D45" s="549"/>
      <c r="E45" s="565">
        <v>20</v>
      </c>
      <c r="F45" s="549" t="s">
        <v>1</v>
      </c>
      <c r="G45" s="569"/>
      <c r="H45" s="569"/>
      <c r="I45" s="569"/>
      <c r="J45" s="569"/>
      <c r="K45" s="172"/>
      <c r="L45" s="172"/>
      <c r="M45" s="172"/>
      <c r="N45" s="172"/>
    </row>
    <row r="46" spans="1:14" s="429" customFormat="1" ht="18">
      <c r="A46" s="172"/>
      <c r="B46" s="556" t="s">
        <v>390</v>
      </c>
      <c r="C46" s="549"/>
      <c r="D46" s="549"/>
      <c r="E46" s="565">
        <v>314</v>
      </c>
      <c r="F46" s="549" t="s">
        <v>1305</v>
      </c>
      <c r="G46" s="569"/>
      <c r="H46" s="569"/>
      <c r="I46" s="569"/>
      <c r="J46" s="569"/>
      <c r="K46" s="172"/>
      <c r="L46" s="172"/>
      <c r="M46" s="172"/>
      <c r="N46" s="172"/>
    </row>
    <row r="47" spans="1:14" s="429" customFormat="1" ht="15.75">
      <c r="A47" s="172"/>
      <c r="B47" s="562" t="s">
        <v>391</v>
      </c>
      <c r="C47" s="562"/>
      <c r="D47" s="562"/>
      <c r="E47" s="561">
        <v>166.66666666666666</v>
      </c>
      <c r="F47" s="549" t="s">
        <v>1</v>
      </c>
      <c r="G47" s="569"/>
      <c r="H47" s="569"/>
      <c r="I47" s="569"/>
      <c r="J47" s="569"/>
      <c r="K47" s="172"/>
      <c r="L47" s="172"/>
      <c r="M47" s="172"/>
      <c r="N47" s="172"/>
    </row>
    <row r="48" spans="1:14" s="429" customFormat="1" ht="15.75">
      <c r="A48" s="172"/>
      <c r="B48" s="556" t="s">
        <v>387</v>
      </c>
      <c r="C48" s="549">
        <v>16</v>
      </c>
      <c r="D48" s="549" t="s">
        <v>1</v>
      </c>
      <c r="E48" s="565">
        <v>160</v>
      </c>
      <c r="F48" s="549" t="s">
        <v>1</v>
      </c>
      <c r="G48" s="568" t="s">
        <v>957</v>
      </c>
      <c r="H48" s="569"/>
      <c r="I48" s="569"/>
      <c r="J48" s="569"/>
      <c r="K48" s="172"/>
      <c r="L48" s="172"/>
      <c r="M48" s="172"/>
      <c r="N48" s="172"/>
    </row>
    <row r="49" spans="1:14">
      <c r="C49" s="19"/>
      <c r="D49" s="3"/>
    </row>
    <row r="50" spans="1:14" ht="25.5">
      <c r="B50" s="465" t="s">
        <v>392</v>
      </c>
      <c r="C50">
        <v>12</v>
      </c>
      <c r="D50" t="s">
        <v>1</v>
      </c>
      <c r="E50" s="7">
        <v>150</v>
      </c>
      <c r="F50" t="s">
        <v>1</v>
      </c>
    </row>
    <row r="51" spans="1:14" ht="25.5">
      <c r="B51" s="465" t="s">
        <v>393</v>
      </c>
      <c r="C51">
        <v>12</v>
      </c>
      <c r="D51" t="s">
        <v>1</v>
      </c>
      <c r="E51" s="7">
        <v>150</v>
      </c>
      <c r="F51" t="s">
        <v>1</v>
      </c>
    </row>
    <row r="52" spans="1:14" ht="14.25">
      <c r="A52" s="1" t="s">
        <v>394</v>
      </c>
      <c r="C52" t="s">
        <v>395</v>
      </c>
      <c r="D52" s="2"/>
      <c r="H52" s="88"/>
      <c r="M52" s="88"/>
    </row>
    <row r="53" spans="1:14">
      <c r="B53" t="s">
        <v>396</v>
      </c>
      <c r="C53" s="19"/>
      <c r="D53" s="87"/>
      <c r="E53" s="7">
        <v>942</v>
      </c>
      <c r="F53" t="s">
        <v>1</v>
      </c>
    </row>
    <row r="54" spans="1:14">
      <c r="B54" s="17" t="s">
        <v>397</v>
      </c>
      <c r="C54" s="17"/>
      <c r="D54" s="17"/>
      <c r="E54" s="202">
        <v>5.8000000000000052E-2</v>
      </c>
      <c r="F54" s="17" t="s">
        <v>0</v>
      </c>
      <c r="G54" s="17"/>
      <c r="H54" s="17"/>
      <c r="I54" s="17"/>
      <c r="J54" s="17"/>
      <c r="K54" s="17"/>
      <c r="L54" s="17"/>
      <c r="M54" s="17"/>
      <c r="N54" s="17"/>
    </row>
    <row r="55" spans="1:14" s="429" customFormat="1" ht="14.25">
      <c r="B55" s="570" t="s">
        <v>368</v>
      </c>
      <c r="C55" s="570"/>
      <c r="D55" s="187"/>
      <c r="E55" s="571">
        <v>163.56</v>
      </c>
      <c r="F55" s="42" t="s">
        <v>108</v>
      </c>
    </row>
    <row r="56" spans="1:14" s="429" customFormat="1" ht="14.25">
      <c r="B56" s="570" t="s">
        <v>398</v>
      </c>
      <c r="C56" s="570"/>
      <c r="D56" s="187"/>
      <c r="E56" s="571">
        <v>131.48941176470589</v>
      </c>
      <c r="F56" s="42" t="s">
        <v>108</v>
      </c>
    </row>
    <row r="57" spans="1:14" s="429" customFormat="1" ht="14.25">
      <c r="B57" s="570" t="s">
        <v>371</v>
      </c>
      <c r="C57" s="570"/>
      <c r="D57" s="187"/>
      <c r="E57" s="571">
        <v>147.52470588235295</v>
      </c>
      <c r="F57" s="42" t="s">
        <v>108</v>
      </c>
    </row>
    <row r="58" spans="1:14">
      <c r="B58" s="17" t="s">
        <v>399</v>
      </c>
      <c r="C58" s="17"/>
      <c r="D58" s="17"/>
      <c r="E58" s="202">
        <v>8.5564329411764781</v>
      </c>
      <c r="F58" s="17" t="s">
        <v>10</v>
      </c>
      <c r="G58" s="17"/>
      <c r="H58" s="17"/>
      <c r="I58" s="17"/>
      <c r="J58" s="17"/>
      <c r="K58" s="17"/>
      <c r="L58" s="17"/>
    </row>
    <row r="59" spans="1:14">
      <c r="B59" s="570" t="s">
        <v>400</v>
      </c>
      <c r="C59" t="s">
        <v>401</v>
      </c>
      <c r="D59" s="2"/>
      <c r="E59" s="5"/>
      <c r="F59" s="2"/>
      <c r="G59" s="2"/>
      <c r="H59" s="2"/>
      <c r="I59" s="2"/>
    </row>
    <row r="60" spans="1:14" ht="14.25">
      <c r="B60" s="570" t="s">
        <v>402</v>
      </c>
      <c r="D60" s="3"/>
      <c r="E60" s="47">
        <v>9.0832621456225868E-3</v>
      </c>
      <c r="F60" s="42" t="s">
        <v>425</v>
      </c>
      <c r="G60" s="3"/>
      <c r="H60" s="3"/>
      <c r="I60" s="2"/>
      <c r="K60" s="2"/>
      <c r="L60" s="2"/>
      <c r="M60" s="2"/>
      <c r="N60" s="2"/>
    </row>
    <row r="61" spans="1:14">
      <c r="B61" s="570" t="s">
        <v>403</v>
      </c>
      <c r="C61" t="s">
        <v>404</v>
      </c>
      <c r="D61" s="2"/>
      <c r="E61" s="47">
        <v>0.14222222222222222</v>
      </c>
    </row>
    <row r="62" spans="1:14" ht="14.25">
      <c r="B62" s="570" t="s">
        <v>405</v>
      </c>
      <c r="D62" s="3"/>
      <c r="E62" s="47">
        <v>0.23</v>
      </c>
      <c r="F62" s="42" t="s">
        <v>425</v>
      </c>
      <c r="I62" s="88"/>
      <c r="J62" s="2"/>
      <c r="N62" s="88"/>
    </row>
    <row r="63" spans="1:14">
      <c r="B63" s="570" t="s">
        <v>406</v>
      </c>
      <c r="D63" s="87"/>
    </row>
    <row r="64" spans="1:14" ht="14.25">
      <c r="B64" s="570" t="s">
        <v>407</v>
      </c>
      <c r="C64" s="19"/>
      <c r="D64" s="87"/>
      <c r="E64" s="47">
        <v>0.23</v>
      </c>
      <c r="F64" s="42" t="s">
        <v>425</v>
      </c>
      <c r="G64" s="2"/>
      <c r="H64" s="2"/>
      <c r="I64" s="2"/>
      <c r="J64" s="2"/>
      <c r="K64" s="2"/>
      <c r="L64" s="2"/>
      <c r="M64" s="2"/>
    </row>
    <row r="65" spans="2:12" ht="26.25" customHeight="1">
      <c r="B65" s="17"/>
      <c r="C65" s="17"/>
      <c r="D65" s="706" t="s">
        <v>408</v>
      </c>
      <c r="E65" s="706"/>
      <c r="F65" s="706"/>
      <c r="G65" s="706"/>
      <c r="H65" s="17"/>
      <c r="I65" s="17"/>
      <c r="J65" s="17"/>
      <c r="K65" s="17"/>
      <c r="L65" s="17"/>
    </row>
    <row r="66" spans="2:12" s="429" customFormat="1" ht="21" customHeight="1">
      <c r="B66" s="89" t="s">
        <v>409</v>
      </c>
      <c r="C66" s="17"/>
      <c r="D66" s="17"/>
      <c r="E66" s="85">
        <v>16</v>
      </c>
      <c r="F66" s="17" t="s">
        <v>1</v>
      </c>
      <c r="G66" s="201"/>
      <c r="H66" s="201"/>
      <c r="I66" s="201"/>
      <c r="J66" s="201"/>
    </row>
    <row r="67" spans="2:12" s="429" customFormat="1" ht="14.25">
      <c r="B67" s="89" t="s">
        <v>390</v>
      </c>
      <c r="C67" s="17"/>
      <c r="D67" s="17"/>
      <c r="E67" s="197">
        <v>200.96</v>
      </c>
      <c r="F67" s="17" t="s">
        <v>9</v>
      </c>
      <c r="G67" s="201"/>
      <c r="H67" s="201"/>
      <c r="I67" s="201"/>
      <c r="J67" s="201"/>
    </row>
    <row r="68" spans="2:12" s="429" customFormat="1">
      <c r="B68" s="121" t="s">
        <v>410</v>
      </c>
      <c r="C68" s="121"/>
      <c r="D68" s="121"/>
      <c r="E68" s="197">
        <v>8849.6840354584201</v>
      </c>
      <c r="F68" s="17" t="s">
        <v>1</v>
      </c>
      <c r="G68" s="201"/>
      <c r="H68" s="201"/>
      <c r="I68" s="201"/>
      <c r="J68" s="201"/>
    </row>
    <row r="69" spans="2:12" s="429" customFormat="1">
      <c r="B69" s="89" t="s">
        <v>387</v>
      </c>
      <c r="C69" s="17">
        <v>16</v>
      </c>
      <c r="D69" s="17" t="s">
        <v>1</v>
      </c>
      <c r="E69" s="85">
        <v>150</v>
      </c>
      <c r="F69" s="17" t="s">
        <v>1</v>
      </c>
      <c r="G69" s="1" t="s">
        <v>957</v>
      </c>
      <c r="H69" s="201"/>
      <c r="I69" s="201"/>
      <c r="J69" s="201"/>
    </row>
  </sheetData>
  <mergeCells count="3">
    <mergeCell ref="A1:N1"/>
    <mergeCell ref="E13:G16"/>
    <mergeCell ref="D65:G65"/>
  </mergeCells>
  <pageMargins left="0.75" right="0.75" top="1" bottom="1" header="0.5" footer="0.5"/>
  <pageSetup paperSize="9" scale="67" firstPageNumber="46" fitToHeight="28" orientation="portrait" verticalDpi="300" r:id="rId1"/>
  <headerFooter>
    <oddFooter>&amp;L&amp;P/{&amp;N}&amp;C&amp;F&amp;R&amp;A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I31"/>
  <sheetViews>
    <sheetView workbookViewId="0"/>
  </sheetViews>
  <sheetFormatPr defaultRowHeight="12.75"/>
  <cols>
    <col min="1" max="1" width="11.85546875" customWidth="1"/>
    <col min="2" max="2" width="8.42578125" customWidth="1"/>
  </cols>
  <sheetData>
    <row r="1" spans="2:7">
      <c r="E1" s="41">
        <f>D18-1</f>
        <v>4.0999999999999996</v>
      </c>
      <c r="F1" t="s">
        <v>0</v>
      </c>
    </row>
    <row r="8" spans="2:7">
      <c r="B8" s="41">
        <v>1</v>
      </c>
      <c r="C8" t="s">
        <v>0</v>
      </c>
      <c r="F8" s="41">
        <v>1</v>
      </c>
      <c r="G8" t="s">
        <v>0</v>
      </c>
    </row>
    <row r="18" spans="1:9">
      <c r="D18" s="41">
        <v>5.0999999999999996</v>
      </c>
      <c r="E18" t="s">
        <v>0</v>
      </c>
    </row>
    <row r="21" spans="1:9">
      <c r="B21" s="2">
        <v>258.56357441323684</v>
      </c>
      <c r="C21" t="s">
        <v>0</v>
      </c>
      <c r="D21" s="41"/>
    </row>
    <row r="22" spans="1:9">
      <c r="I22" s="2"/>
    </row>
    <row r="25" spans="1:9">
      <c r="E25" s="2">
        <v>131.48941176470589</v>
      </c>
    </row>
    <row r="26" spans="1:9" ht="14.25">
      <c r="E26" s="48" t="s">
        <v>108</v>
      </c>
      <c r="G26" s="2">
        <v>163.56</v>
      </c>
      <c r="H26" s="42" t="s">
        <v>108</v>
      </c>
    </row>
    <row r="29" spans="1:9">
      <c r="D29" s="1" t="s">
        <v>426</v>
      </c>
    </row>
    <row r="31" spans="1:9">
      <c r="A31" s="724" t="s">
        <v>954</v>
      </c>
      <c r="B31" s="724"/>
      <c r="C31" s="724"/>
      <c r="D31" s="724"/>
      <c r="E31" s="724"/>
      <c r="F31" s="724"/>
    </row>
  </sheetData>
  <mergeCells count="1">
    <mergeCell ref="A31:F31"/>
  </mergeCells>
  <pageMargins left="0.75" right="0.75" top="1" bottom="1" header="0.5" footer="0.5"/>
  <pageSetup paperSize="9" firstPageNumber="49" fitToHeight="28" orientation="portrait" r:id="rId1"/>
  <headerFooter>
    <oddFooter>&amp;L&amp;P/{&amp;N}&amp;C&amp;F&amp;R&amp;A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4"/>
  <sheetViews>
    <sheetView zoomScale="115" zoomScaleNormal="115" workbookViewId="0">
      <selection sqref="A1:IV65536"/>
    </sheetView>
  </sheetViews>
  <sheetFormatPr defaultRowHeight="12.75"/>
  <cols>
    <col min="1" max="1" width="6.7109375" customWidth="1"/>
    <col min="2" max="2" width="34.42578125" customWidth="1"/>
    <col min="3" max="3" width="15.42578125" bestFit="1" customWidth="1"/>
    <col min="4" max="4" width="9.85546875" bestFit="1" customWidth="1"/>
    <col min="5" max="5" width="9.7109375" style="7" bestFit="1" customWidth="1"/>
    <col min="6" max="6" width="8.28515625" customWidth="1"/>
    <col min="7" max="7" width="9.85546875" customWidth="1"/>
    <col min="8" max="8" width="8" bestFit="1" customWidth="1"/>
    <col min="9" max="9" width="4" bestFit="1" customWidth="1"/>
    <col min="10" max="10" width="6.5703125" bestFit="1" customWidth="1"/>
    <col min="11" max="11" width="2.5703125" bestFit="1" customWidth="1"/>
    <col min="12" max="12" width="7.5703125" bestFit="1" customWidth="1"/>
    <col min="13" max="14" width="2.85546875" bestFit="1" customWidth="1"/>
  </cols>
  <sheetData>
    <row r="1" spans="1:14">
      <c r="A1" s="724" t="s">
        <v>1306</v>
      </c>
      <c r="B1" s="724"/>
      <c r="C1" s="724"/>
      <c r="D1" s="724"/>
      <c r="E1" s="724"/>
      <c r="F1" s="724"/>
      <c r="G1" s="724"/>
      <c r="H1" s="724"/>
      <c r="I1" s="724"/>
      <c r="J1" s="724"/>
      <c r="K1" s="724"/>
      <c r="L1" s="724"/>
      <c r="M1" s="724"/>
      <c r="N1" s="724"/>
    </row>
    <row r="2" spans="1:14">
      <c r="A2" s="83" t="s">
        <v>1307</v>
      </c>
      <c r="B2" s="13"/>
      <c r="C2" s="13"/>
      <c r="D2" s="13"/>
      <c r="E2" s="13"/>
      <c r="F2" s="13"/>
      <c r="G2" s="13"/>
      <c r="H2" s="13"/>
      <c r="I2" s="13"/>
      <c r="J2" s="13"/>
      <c r="K2" s="13"/>
      <c r="L2" s="13"/>
      <c r="M2" s="13"/>
      <c r="N2" s="13"/>
    </row>
    <row r="3" spans="1:14">
      <c r="A3" s="1" t="s">
        <v>955</v>
      </c>
    </row>
    <row r="4" spans="1:14">
      <c r="A4" s="1" t="s">
        <v>356</v>
      </c>
      <c r="B4" s="2"/>
      <c r="C4" s="19"/>
      <c r="E4"/>
    </row>
    <row r="5" spans="1:14">
      <c r="A5" s="1"/>
      <c r="B5" s="439" t="s">
        <v>1308</v>
      </c>
      <c r="D5" s="2">
        <v>0.9</v>
      </c>
      <c r="E5" s="7" t="s">
        <v>0</v>
      </c>
    </row>
    <row r="6" spans="1:14" ht="15.75">
      <c r="A6" s="1"/>
      <c r="B6" s="6" t="s">
        <v>357</v>
      </c>
      <c r="C6" t="s">
        <v>412</v>
      </c>
      <c r="D6" s="2">
        <v>1</v>
      </c>
      <c r="E6" s="7" t="s">
        <v>0</v>
      </c>
    </row>
    <row r="7" spans="1:14" ht="15.75">
      <c r="A7" s="1"/>
      <c r="B7" s="6" t="s">
        <v>358</v>
      </c>
      <c r="C7" t="s">
        <v>413</v>
      </c>
      <c r="D7" s="2">
        <v>3.2</v>
      </c>
      <c r="E7" s="7" t="s">
        <v>0</v>
      </c>
    </row>
    <row r="8" spans="1:14">
      <c r="A8" s="1"/>
      <c r="B8" s="6" t="s">
        <v>956</v>
      </c>
      <c r="D8" s="2">
        <v>1.05</v>
      </c>
      <c r="E8" s="7" t="s">
        <v>0</v>
      </c>
    </row>
    <row r="9" spans="1:14">
      <c r="A9" s="1"/>
      <c r="B9" s="6" t="s">
        <v>360</v>
      </c>
      <c r="C9" t="s">
        <v>44</v>
      </c>
      <c r="D9" s="2">
        <v>606.67700000000002</v>
      </c>
      <c r="E9" s="7" t="s">
        <v>10</v>
      </c>
    </row>
    <row r="10" spans="1:14" ht="15.75">
      <c r="A10" s="1"/>
      <c r="B10" s="6" t="s">
        <v>361</v>
      </c>
      <c r="C10" s="19" t="s">
        <v>414</v>
      </c>
      <c r="D10" s="2">
        <v>1311.6490000000001</v>
      </c>
      <c r="E10" s="7" t="s">
        <v>5</v>
      </c>
    </row>
    <row r="11" spans="1:14" ht="15.75">
      <c r="B11" s="6" t="s">
        <v>362</v>
      </c>
      <c r="C11" t="s">
        <v>415</v>
      </c>
      <c r="D11" s="2">
        <v>0</v>
      </c>
      <c r="E11" s="7" t="s">
        <v>5</v>
      </c>
    </row>
    <row r="12" spans="1:14" ht="15.75" hidden="1">
      <c r="A12" s="1"/>
      <c r="B12" s="7" t="s">
        <v>416</v>
      </c>
      <c r="C12" s="19" t="s">
        <v>417</v>
      </c>
      <c r="D12" s="2">
        <v>2.1620219655599273</v>
      </c>
      <c r="E12" s="7" t="s">
        <v>0</v>
      </c>
    </row>
    <row r="13" spans="1:14" ht="15.75" hidden="1">
      <c r="B13" s="7" t="s">
        <v>418</v>
      </c>
      <c r="C13" s="19" t="s">
        <v>419</v>
      </c>
      <c r="D13" s="2">
        <v>0</v>
      </c>
      <c r="E13" s="7" t="s">
        <v>0</v>
      </c>
    </row>
    <row r="14" spans="1:14" ht="15.75" hidden="1">
      <c r="B14" s="47" t="s">
        <v>420</v>
      </c>
      <c r="C14" s="2"/>
      <c r="D14" s="2">
        <v>2.1620219655599273</v>
      </c>
      <c r="E14" s="800" t="s">
        <v>363</v>
      </c>
      <c r="F14" s="800"/>
      <c r="G14" s="800"/>
    </row>
    <row r="15" spans="1:14" ht="15.75" hidden="1">
      <c r="B15" s="47" t="s">
        <v>421</v>
      </c>
      <c r="C15" s="2"/>
      <c r="D15" s="2">
        <v>0</v>
      </c>
      <c r="E15" s="800"/>
      <c r="F15" s="800"/>
      <c r="G15" s="800"/>
    </row>
    <row r="16" spans="1:14" ht="12.75" hidden="1" customHeight="1">
      <c r="B16" s="47" t="s">
        <v>364</v>
      </c>
      <c r="C16" s="2"/>
      <c r="D16" s="185">
        <v>1</v>
      </c>
      <c r="E16" s="800"/>
      <c r="F16" s="800"/>
      <c r="G16" s="800"/>
    </row>
    <row r="17" spans="1:8" hidden="1">
      <c r="B17" s="47" t="s">
        <v>365</v>
      </c>
      <c r="C17" s="2"/>
      <c r="D17" s="186">
        <v>0</v>
      </c>
      <c r="E17" s="800"/>
      <c r="F17" s="800"/>
      <c r="G17" s="800"/>
    </row>
    <row r="18" spans="1:8" ht="15.75">
      <c r="B18" s="570" t="s">
        <v>422</v>
      </c>
      <c r="C18" s="570"/>
      <c r="D18" s="187"/>
      <c r="E18" s="571">
        <v>0</v>
      </c>
      <c r="F18" s="42" t="s">
        <v>423</v>
      </c>
      <c r="G18" s="382">
        <v>0</v>
      </c>
      <c r="H18" s="19" t="s">
        <v>27</v>
      </c>
    </row>
    <row r="19" spans="1:8" ht="15" thickBot="1">
      <c r="A19" s="1"/>
      <c r="B19" s="6" t="s">
        <v>366</v>
      </c>
      <c r="C19" s="6"/>
      <c r="E19" s="571">
        <v>189.58656249999999</v>
      </c>
      <c r="F19" s="42" t="s">
        <v>108</v>
      </c>
    </row>
    <row r="20" spans="1:8" ht="13.5" thickBot="1">
      <c r="A20" s="1"/>
      <c r="B20" s="6"/>
      <c r="C20" s="572">
        <v>200</v>
      </c>
      <c r="D20" s="573" t="s">
        <v>942</v>
      </c>
      <c r="E20" s="573"/>
      <c r="F20" s="573"/>
      <c r="G20" s="574"/>
    </row>
    <row r="21" spans="1:8" ht="14.25">
      <c r="A21" s="1"/>
      <c r="B21" s="6" t="s">
        <v>367</v>
      </c>
      <c r="C21" s="6"/>
      <c r="E21" s="571">
        <v>189.58656249999999</v>
      </c>
      <c r="F21" s="42" t="s">
        <v>108</v>
      </c>
    </row>
    <row r="22" spans="1:8" s="429" customFormat="1" ht="14.25">
      <c r="B22" s="570" t="s">
        <v>368</v>
      </c>
      <c r="C22" s="570"/>
      <c r="D22" s="187"/>
      <c r="E22" s="571">
        <v>189.58656249999999</v>
      </c>
      <c r="F22" s="42" t="s">
        <v>108</v>
      </c>
    </row>
    <row r="23" spans="1:8" s="429" customFormat="1" ht="15" customHeight="1">
      <c r="B23" s="570" t="s">
        <v>369</v>
      </c>
      <c r="C23" s="570"/>
      <c r="D23" s="187"/>
      <c r="E23" s="463">
        <v>0</v>
      </c>
      <c r="F23" s="575" t="s">
        <v>0</v>
      </c>
    </row>
    <row r="24" spans="1:8" s="429" customFormat="1" ht="14.25">
      <c r="B24" s="570" t="s">
        <v>370</v>
      </c>
      <c r="C24" s="570"/>
      <c r="D24" s="187"/>
      <c r="E24" s="571">
        <v>189.58656249999999</v>
      </c>
      <c r="F24" s="42" t="s">
        <v>108</v>
      </c>
    </row>
    <row r="25" spans="1:8" s="429" customFormat="1" ht="14.25">
      <c r="B25" s="570" t="s">
        <v>371</v>
      </c>
      <c r="C25" s="570"/>
      <c r="D25" s="187"/>
      <c r="E25" s="571">
        <v>189.58656249999999</v>
      </c>
      <c r="F25" s="42" t="s">
        <v>108</v>
      </c>
    </row>
    <row r="26" spans="1:8" s="429" customFormat="1" ht="14.25">
      <c r="B26" s="570" t="s">
        <v>372</v>
      </c>
      <c r="C26" s="570"/>
      <c r="D26" s="187"/>
      <c r="E26" s="571">
        <v>0</v>
      </c>
      <c r="F26" s="42" t="s">
        <v>423</v>
      </c>
    </row>
    <row r="27" spans="1:8" s="429" customFormat="1" ht="25.5">
      <c r="B27" s="570" t="s">
        <v>373</v>
      </c>
      <c r="C27" s="570"/>
      <c r="D27" s="187"/>
      <c r="E27" s="571">
        <v>0</v>
      </c>
      <c r="F27" s="575" t="s">
        <v>0</v>
      </c>
    </row>
    <row r="28" spans="1:8" s="429" customFormat="1">
      <c r="B28" s="570" t="s">
        <v>1309</v>
      </c>
      <c r="C28" s="570"/>
      <c r="D28" s="187"/>
      <c r="E28" s="189">
        <v>0</v>
      </c>
      <c r="F28" s="42" t="s">
        <v>5</v>
      </c>
    </row>
    <row r="29" spans="1:8" s="429" customFormat="1">
      <c r="B29" s="465" t="s">
        <v>375</v>
      </c>
      <c r="C29" s="89"/>
      <c r="D29" s="89"/>
      <c r="E29" s="466" t="s">
        <v>467</v>
      </c>
      <c r="F29" s="89"/>
      <c r="G29" s="1"/>
      <c r="H29" s="1"/>
    </row>
    <row r="30" spans="1:8" s="429" customFormat="1">
      <c r="B30" s="465" t="s">
        <v>424</v>
      </c>
      <c r="C30" s="89"/>
      <c r="D30" s="89"/>
      <c r="E30" s="466">
        <v>10</v>
      </c>
      <c r="F30" s="17" t="s">
        <v>252</v>
      </c>
      <c r="G30" s="1"/>
      <c r="H30" s="1"/>
    </row>
    <row r="31" spans="1:8" s="429" customFormat="1">
      <c r="B31" s="465" t="s">
        <v>0</v>
      </c>
      <c r="C31" s="89"/>
      <c r="D31" s="89"/>
      <c r="E31" s="467">
        <v>9.3333333333333339</v>
      </c>
      <c r="F31" s="89"/>
      <c r="G31" s="1"/>
      <c r="H31" s="1"/>
    </row>
    <row r="32" spans="1:8" s="429" customFormat="1">
      <c r="B32" s="195" t="s">
        <v>376</v>
      </c>
      <c r="C32" s="89"/>
      <c r="D32" s="89"/>
      <c r="E32" s="466">
        <v>200</v>
      </c>
      <c r="F32" s="89"/>
      <c r="G32" s="1"/>
      <c r="H32" s="1"/>
    </row>
    <row r="33" spans="2:10" s="429" customFormat="1">
      <c r="B33" s="465" t="s">
        <v>377</v>
      </c>
      <c r="C33" s="17"/>
      <c r="D33" s="17"/>
      <c r="E33" s="196">
        <v>0.31818181818181818</v>
      </c>
      <c r="F33" s="17"/>
      <c r="G33"/>
      <c r="H33"/>
    </row>
    <row r="34" spans="2:10" s="429" customFormat="1">
      <c r="B34" s="465" t="s">
        <v>378</v>
      </c>
      <c r="C34" s="17"/>
      <c r="D34" s="17"/>
      <c r="E34" s="196">
        <v>0.89393939393939392</v>
      </c>
      <c r="F34" s="17"/>
      <c r="G34"/>
      <c r="H34"/>
    </row>
    <row r="35" spans="2:10" s="429" customFormat="1">
      <c r="B35" s="89" t="s">
        <v>18</v>
      </c>
      <c r="C35" s="17"/>
      <c r="D35" s="17"/>
      <c r="E35" s="196">
        <v>1.4221763085399448</v>
      </c>
      <c r="F35" s="17"/>
      <c r="G35"/>
      <c r="H35"/>
    </row>
    <row r="36" spans="2:10" s="429" customFormat="1" ht="13.5" thickBot="1">
      <c r="B36" s="89" t="s">
        <v>379</v>
      </c>
      <c r="C36" s="17"/>
      <c r="D36" s="17"/>
      <c r="E36" s="197">
        <v>0</v>
      </c>
      <c r="F36" s="17" t="s">
        <v>1</v>
      </c>
      <c r="G36"/>
      <c r="H36"/>
    </row>
    <row r="37" spans="2:10" s="429" customFormat="1" ht="13.5" thickBot="1">
      <c r="B37" s="89" t="s">
        <v>380</v>
      </c>
      <c r="C37" s="17"/>
      <c r="D37" s="17"/>
      <c r="E37" s="576">
        <v>500</v>
      </c>
      <c r="F37" s="17" t="s">
        <v>1</v>
      </c>
      <c r="G37"/>
      <c r="H37"/>
    </row>
    <row r="38" spans="2:10" s="429" customFormat="1">
      <c r="B38" s="121" t="s">
        <v>381</v>
      </c>
      <c r="C38" s="20"/>
      <c r="D38" s="20"/>
      <c r="E38" s="197">
        <v>50</v>
      </c>
      <c r="F38" s="17" t="s">
        <v>1</v>
      </c>
    </row>
    <row r="39" spans="2:10" s="429" customFormat="1">
      <c r="B39" s="121" t="s">
        <v>382</v>
      </c>
      <c r="C39" s="20"/>
      <c r="D39" s="20"/>
      <c r="E39" s="198">
        <v>16</v>
      </c>
      <c r="F39" s="17" t="s">
        <v>1</v>
      </c>
    </row>
    <row r="40" spans="2:10" s="429" customFormat="1">
      <c r="B40" s="121" t="s">
        <v>427</v>
      </c>
      <c r="C40" s="20"/>
      <c r="D40" s="20"/>
      <c r="E40" s="197">
        <v>442</v>
      </c>
      <c r="F40" s="17" t="s">
        <v>1</v>
      </c>
    </row>
    <row r="41" spans="2:10" s="429" customFormat="1">
      <c r="B41" s="89" t="s">
        <v>383</v>
      </c>
      <c r="C41" s="17"/>
      <c r="D41" s="17"/>
      <c r="E41" s="85">
        <v>442</v>
      </c>
      <c r="F41" s="17" t="s">
        <v>1</v>
      </c>
    </row>
    <row r="42" spans="2:10" s="429" customFormat="1" ht="14.25">
      <c r="B42" s="89" t="s">
        <v>384</v>
      </c>
      <c r="C42" s="17"/>
      <c r="D42" s="17"/>
      <c r="E42" s="197">
        <v>0</v>
      </c>
      <c r="F42" s="17" t="s">
        <v>9</v>
      </c>
    </row>
    <row r="43" spans="2:10" s="429" customFormat="1" ht="14.25">
      <c r="B43" s="89" t="s">
        <v>385</v>
      </c>
      <c r="C43" s="17"/>
      <c r="D43" s="17"/>
      <c r="E43" s="197">
        <v>200.96</v>
      </c>
      <c r="F43" s="17" t="s">
        <v>9</v>
      </c>
    </row>
    <row r="44" spans="2:10" s="429" customFormat="1">
      <c r="B44" s="465" t="s">
        <v>386</v>
      </c>
      <c r="C44" s="17"/>
      <c r="D44" s="17"/>
      <c r="E44" s="197" t="e">
        <v>#DIV/0!</v>
      </c>
      <c r="F44" s="17" t="s">
        <v>1</v>
      </c>
    </row>
    <row r="45" spans="2:10" s="429" customFormat="1">
      <c r="B45" s="89" t="s">
        <v>387</v>
      </c>
      <c r="C45" s="468">
        <v>16</v>
      </c>
      <c r="D45" s="17" t="s">
        <v>1</v>
      </c>
      <c r="E45" s="410">
        <v>150</v>
      </c>
      <c r="F45" s="17" t="s">
        <v>1</v>
      </c>
      <c r="G45" s="203" t="s">
        <v>957</v>
      </c>
    </row>
    <row r="46" spans="2:10" s="429" customFormat="1" ht="14.25">
      <c r="B46" s="89" t="s">
        <v>388</v>
      </c>
      <c r="C46" s="17"/>
      <c r="D46" s="17"/>
      <c r="E46" s="197">
        <v>884</v>
      </c>
      <c r="F46" s="17" t="s">
        <v>9</v>
      </c>
    </row>
    <row r="47" spans="2:10" s="429" customFormat="1" ht="21" customHeight="1">
      <c r="B47" s="89" t="s">
        <v>389</v>
      </c>
      <c r="C47" s="17"/>
      <c r="D47" s="17"/>
      <c r="E47" s="197">
        <v>16</v>
      </c>
      <c r="F47" s="17" t="s">
        <v>1</v>
      </c>
      <c r="G47" s="201"/>
      <c r="H47" s="201"/>
      <c r="I47" s="201"/>
      <c r="J47" s="201"/>
    </row>
    <row r="48" spans="2:10" s="429" customFormat="1" ht="14.25">
      <c r="B48" s="89" t="s">
        <v>390</v>
      </c>
      <c r="C48" s="17"/>
      <c r="D48" s="17"/>
      <c r="E48" s="85">
        <v>200.96</v>
      </c>
      <c r="F48" s="17" t="s">
        <v>9</v>
      </c>
      <c r="G48" s="201"/>
      <c r="H48" s="201"/>
      <c r="I48" s="201"/>
      <c r="J48" s="201"/>
    </row>
    <row r="49" spans="1:14" s="429" customFormat="1">
      <c r="B49" s="121" t="s">
        <v>391</v>
      </c>
      <c r="C49" s="121"/>
      <c r="D49" s="121"/>
      <c r="E49" s="197">
        <v>227.33031674208144</v>
      </c>
      <c r="F49" s="17" t="s">
        <v>1</v>
      </c>
      <c r="G49" s="201"/>
      <c r="H49" s="201"/>
      <c r="I49" s="201"/>
      <c r="J49" s="201"/>
    </row>
    <row r="50" spans="1:14" s="429" customFormat="1">
      <c r="B50" s="89" t="s">
        <v>387</v>
      </c>
      <c r="C50" s="17">
        <v>16</v>
      </c>
      <c r="D50" s="17" t="s">
        <v>1</v>
      </c>
      <c r="E50" s="85">
        <v>220</v>
      </c>
      <c r="F50" s="17" t="s">
        <v>1</v>
      </c>
      <c r="G50" s="203" t="s">
        <v>1310</v>
      </c>
      <c r="H50" s="201"/>
      <c r="I50" s="201"/>
      <c r="J50" s="201"/>
    </row>
    <row r="51" spans="1:14">
      <c r="C51" s="19"/>
      <c r="D51" s="3"/>
    </row>
    <row r="52" spans="1:14" ht="25.5">
      <c r="B52" s="465" t="s">
        <v>392</v>
      </c>
      <c r="C52">
        <v>12</v>
      </c>
      <c r="D52" t="s">
        <v>1</v>
      </c>
      <c r="E52" s="7">
        <v>150</v>
      </c>
      <c r="F52" t="s">
        <v>1</v>
      </c>
    </row>
    <row r="53" spans="1:14" ht="25.5">
      <c r="B53" s="465" t="s">
        <v>393</v>
      </c>
      <c r="C53">
        <v>12</v>
      </c>
      <c r="D53" t="s">
        <v>1</v>
      </c>
      <c r="E53" s="7">
        <v>150</v>
      </c>
      <c r="F53" t="s">
        <v>1</v>
      </c>
    </row>
    <row r="54" spans="1:14" ht="14.25">
      <c r="A54" s="1" t="s">
        <v>394</v>
      </c>
      <c r="C54" t="s">
        <v>395</v>
      </c>
      <c r="D54" s="2"/>
      <c r="H54" s="88"/>
      <c r="M54" s="88"/>
    </row>
    <row r="55" spans="1:14">
      <c r="B55" t="s">
        <v>396</v>
      </c>
      <c r="C55" s="19"/>
      <c r="D55" s="87"/>
      <c r="E55" s="7">
        <v>442</v>
      </c>
      <c r="F55" t="s">
        <v>1</v>
      </c>
    </row>
    <row r="56" spans="1:14">
      <c r="B56" s="17" t="s">
        <v>397</v>
      </c>
      <c r="C56" s="17"/>
      <c r="D56" s="17"/>
      <c r="E56" s="202">
        <v>-0.442</v>
      </c>
      <c r="F56" s="17" t="s">
        <v>0</v>
      </c>
      <c r="G56" s="17"/>
      <c r="H56" s="17"/>
      <c r="I56" s="17"/>
      <c r="J56" s="17"/>
      <c r="K56" s="17"/>
      <c r="L56" s="17"/>
      <c r="M56" s="17"/>
      <c r="N56" s="17"/>
    </row>
    <row r="57" spans="1:14" s="429" customFormat="1" ht="14.25">
      <c r="B57" s="570" t="s">
        <v>368</v>
      </c>
      <c r="C57" s="570"/>
      <c r="D57" s="187"/>
      <c r="E57" s="571">
        <v>189.58656249999999</v>
      </c>
      <c r="F57" s="42" t="s">
        <v>108</v>
      </c>
    </row>
    <row r="58" spans="1:14" s="429" customFormat="1" ht="14.25">
      <c r="B58" s="570" t="s">
        <v>398</v>
      </c>
      <c r="C58" s="570"/>
      <c r="D58" s="187"/>
      <c r="E58" s="571">
        <v>189.58656249999999</v>
      </c>
      <c r="F58" s="42" t="s">
        <v>108</v>
      </c>
    </row>
    <row r="59" spans="1:14" s="429" customFormat="1" ht="14.25">
      <c r="B59" s="570" t="s">
        <v>371</v>
      </c>
      <c r="C59" s="570"/>
      <c r="D59" s="187"/>
      <c r="E59" s="571">
        <v>189.58656249999999</v>
      </c>
      <c r="F59" s="42" t="s">
        <v>108</v>
      </c>
    </row>
    <row r="60" spans="1:14">
      <c r="B60" s="17" t="s">
        <v>399</v>
      </c>
      <c r="C60" s="17"/>
      <c r="D60" s="17"/>
      <c r="E60" s="202">
        <v>-83.797260624999993</v>
      </c>
      <c r="F60" s="17" t="s">
        <v>10</v>
      </c>
      <c r="G60" s="17"/>
      <c r="H60" s="17"/>
      <c r="I60" s="17"/>
      <c r="J60" s="17"/>
      <c r="K60" s="17"/>
      <c r="L60" s="17"/>
    </row>
    <row r="61" spans="1:14">
      <c r="B61" s="570" t="s">
        <v>400</v>
      </c>
      <c r="C61" t="s">
        <v>401</v>
      </c>
      <c r="D61" s="2"/>
      <c r="E61" s="5"/>
      <c r="F61" s="2"/>
      <c r="G61" s="2"/>
      <c r="H61" s="2"/>
      <c r="I61" s="2"/>
    </row>
    <row r="62" spans="1:14" ht="14.25">
      <c r="B62" s="570" t="s">
        <v>402</v>
      </c>
      <c r="D62" s="3"/>
      <c r="E62" s="47">
        <v>-0.18958656249999997</v>
      </c>
      <c r="F62" s="42" t="s">
        <v>425</v>
      </c>
      <c r="G62" s="3"/>
      <c r="H62" s="3"/>
      <c r="I62" s="2"/>
      <c r="K62" s="2"/>
      <c r="L62" s="2"/>
      <c r="M62" s="2"/>
      <c r="N62" s="2"/>
    </row>
    <row r="63" spans="1:14">
      <c r="B63" s="570" t="s">
        <v>403</v>
      </c>
      <c r="C63" t="s">
        <v>404</v>
      </c>
      <c r="D63" s="2"/>
      <c r="E63" s="47">
        <v>0.30310708898944194</v>
      </c>
    </row>
    <row r="64" spans="1:14" ht="14.25">
      <c r="B64" s="570" t="s">
        <v>405</v>
      </c>
      <c r="D64" s="3"/>
      <c r="E64" s="47">
        <v>0.23</v>
      </c>
      <c r="F64" s="42" t="s">
        <v>425</v>
      </c>
      <c r="I64" s="88"/>
      <c r="J64" s="2"/>
      <c r="N64" s="88"/>
    </row>
    <row r="65" spans="2:13">
      <c r="B65" s="570" t="s">
        <v>406</v>
      </c>
      <c r="D65" s="87"/>
    </row>
    <row r="66" spans="2:13" ht="14.25">
      <c r="B66" s="570" t="s">
        <v>407</v>
      </c>
      <c r="C66" s="19"/>
      <c r="D66" s="87"/>
      <c r="E66" s="47">
        <v>0.23</v>
      </c>
      <c r="F66" s="42" t="s">
        <v>425</v>
      </c>
      <c r="G66" s="2"/>
      <c r="H66" s="2"/>
      <c r="I66" s="2"/>
      <c r="J66" s="2"/>
      <c r="K66" s="2"/>
      <c r="L66" s="2"/>
      <c r="M66" s="2"/>
    </row>
    <row r="67" spans="2:13" ht="26.25" customHeight="1">
      <c r="B67" s="17"/>
      <c r="C67" s="17"/>
      <c r="D67" s="706" t="s">
        <v>408</v>
      </c>
      <c r="E67" s="706"/>
      <c r="F67" s="706"/>
      <c r="G67" s="706"/>
      <c r="H67" s="17"/>
      <c r="I67" s="17"/>
      <c r="J67" s="17"/>
      <c r="K67" s="17"/>
      <c r="L67" s="17"/>
    </row>
    <row r="68" spans="2:13" s="429" customFormat="1" ht="21" customHeight="1">
      <c r="B68" s="89" t="s">
        <v>409</v>
      </c>
      <c r="C68" s="17"/>
      <c r="D68" s="17"/>
      <c r="E68" s="85">
        <v>12</v>
      </c>
      <c r="F68" s="17" t="s">
        <v>1</v>
      </c>
      <c r="G68" s="201"/>
      <c r="H68" s="201"/>
      <c r="I68" s="201"/>
      <c r="J68" s="201"/>
    </row>
    <row r="69" spans="2:13" s="429" customFormat="1" ht="14.25">
      <c r="B69" s="89" t="s">
        <v>390</v>
      </c>
      <c r="C69" s="17"/>
      <c r="D69" s="17"/>
      <c r="E69" s="197">
        <v>113.03999999999999</v>
      </c>
      <c r="F69" s="17" t="s">
        <v>9</v>
      </c>
      <c r="G69" s="201"/>
      <c r="H69" s="201"/>
      <c r="I69" s="201"/>
      <c r="J69" s="201"/>
    </row>
    <row r="70" spans="2:13" s="429" customFormat="1">
      <c r="B70" s="121" t="s">
        <v>410</v>
      </c>
      <c r="C70" s="121"/>
      <c r="D70" s="121"/>
      <c r="E70" s="197">
        <v>-238.49791569484256</v>
      </c>
      <c r="F70" s="17" t="s">
        <v>1</v>
      </c>
      <c r="G70" s="201"/>
      <c r="H70" s="201"/>
      <c r="I70" s="201"/>
      <c r="J70" s="201"/>
    </row>
    <row r="71" spans="2:13" s="429" customFormat="1">
      <c r="B71" s="89" t="s">
        <v>387</v>
      </c>
      <c r="C71" s="17">
        <v>12</v>
      </c>
      <c r="D71" s="17" t="s">
        <v>1</v>
      </c>
      <c r="E71" s="85">
        <v>250</v>
      </c>
      <c r="F71" s="17" t="s">
        <v>1</v>
      </c>
      <c r="G71" s="1" t="s">
        <v>411</v>
      </c>
      <c r="H71" s="201"/>
      <c r="I71" s="201"/>
      <c r="J71" s="201"/>
    </row>
    <row r="73" spans="2:13">
      <c r="C73" s="429" t="s">
        <v>1311</v>
      </c>
      <c r="E73" s="7">
        <v>900</v>
      </c>
      <c r="F73" s="17" t="s">
        <v>12</v>
      </c>
    </row>
    <row r="74" spans="2:13">
      <c r="C74" s="429" t="s">
        <v>1312</v>
      </c>
      <c r="D74" s="2">
        <v>3.2</v>
      </c>
      <c r="E74" s="577" t="s">
        <v>3</v>
      </c>
      <c r="F74">
        <v>0.5</v>
      </c>
      <c r="G74" s="429" t="s">
        <v>29</v>
      </c>
    </row>
  </sheetData>
  <mergeCells count="3">
    <mergeCell ref="A1:N1"/>
    <mergeCell ref="E14:G17"/>
    <mergeCell ref="D67:G67"/>
  </mergeCells>
  <pageMargins left="0.75" right="0.75" top="1" bottom="1" header="0.5" footer="0.5"/>
  <pageSetup paperSize="9" scale="67" firstPageNumber="46" fitToHeight="28" orientation="portrait" verticalDpi="300" r:id="rId1"/>
  <headerFooter>
    <oddFooter>&amp;L&amp;P/{&amp;N}&amp;C&amp;F&amp;R&amp;A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3"/>
  <sheetViews>
    <sheetView workbookViewId="0">
      <selection sqref="A1:IV65536"/>
    </sheetView>
  </sheetViews>
  <sheetFormatPr defaultRowHeight="12.75"/>
  <cols>
    <col min="1" max="1" width="6.7109375" customWidth="1"/>
    <col min="2" max="2" width="34.42578125" customWidth="1"/>
    <col min="3" max="3" width="15.5703125" bestFit="1" customWidth="1"/>
    <col min="4" max="4" width="11.85546875" bestFit="1" customWidth="1"/>
    <col min="5" max="5" width="12.5703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11.85546875" customWidth="1"/>
  </cols>
  <sheetData>
    <row r="1" spans="1:16">
      <c r="A1" s="724" t="s">
        <v>1313</v>
      </c>
      <c r="B1" s="724"/>
      <c r="C1" s="724"/>
      <c r="D1" s="724"/>
      <c r="E1" s="724"/>
      <c r="F1" s="724"/>
      <c r="G1" s="724"/>
      <c r="H1" s="724"/>
      <c r="I1" s="724"/>
      <c r="J1" s="724"/>
      <c r="K1" s="724"/>
      <c r="L1" s="724"/>
      <c r="M1" s="724"/>
      <c r="N1" s="724"/>
      <c r="O1" s="724"/>
    </row>
    <row r="2" spans="1:16">
      <c r="A2" s="1" t="s">
        <v>149</v>
      </c>
    </row>
    <row r="3" spans="1:16">
      <c r="B3" s="1" t="s">
        <v>91</v>
      </c>
    </row>
    <row r="4" spans="1:16">
      <c r="B4" s="2" t="s">
        <v>938</v>
      </c>
      <c r="C4" s="2" t="s">
        <v>2</v>
      </c>
      <c r="D4" s="42">
        <v>606.67700000000002</v>
      </c>
      <c r="E4" s="2" t="s">
        <v>10</v>
      </c>
      <c r="F4" s="2"/>
    </row>
    <row r="5" spans="1:16">
      <c r="B5" s="382" t="s">
        <v>1314</v>
      </c>
      <c r="C5" s="2"/>
      <c r="D5" s="2"/>
      <c r="E5" s="2"/>
      <c r="F5" s="2"/>
    </row>
    <row r="6" spans="1:16">
      <c r="B6" s="47" t="s">
        <v>74</v>
      </c>
      <c r="C6" s="2" t="e">
        <v>#REF!</v>
      </c>
      <c r="D6" s="578" t="s">
        <v>75</v>
      </c>
      <c r="E6" s="2">
        <v>1311.6490000000001</v>
      </c>
      <c r="F6" s="2" t="s">
        <v>5</v>
      </c>
    </row>
    <row r="7" spans="1:16" s="38" customFormat="1" ht="25.5">
      <c r="A7" s="11"/>
      <c r="B7" s="50" t="s">
        <v>1315</v>
      </c>
      <c r="C7" s="16" t="s">
        <v>2</v>
      </c>
      <c r="D7" s="42">
        <v>423.33568130580323</v>
      </c>
      <c r="E7" s="63" t="s">
        <v>7</v>
      </c>
      <c r="F7" s="42">
        <v>244.25331736526948</v>
      </c>
      <c r="G7" s="63" t="s">
        <v>2</v>
      </c>
      <c r="H7" s="38">
        <v>667.58899867107266</v>
      </c>
      <c r="I7" s="38" t="s">
        <v>5</v>
      </c>
      <c r="P7" s="228"/>
    </row>
    <row r="8" spans="1:16" s="38" customFormat="1" ht="25.5">
      <c r="A8" s="11"/>
      <c r="B8" s="50" t="s">
        <v>1316</v>
      </c>
      <c r="C8" s="16" t="s">
        <v>2</v>
      </c>
      <c r="D8" s="42">
        <v>423.33568130580323</v>
      </c>
      <c r="E8" s="63" t="s">
        <v>7</v>
      </c>
      <c r="F8" s="42">
        <v>1123.9405976047906</v>
      </c>
      <c r="G8" s="63" t="s">
        <v>2</v>
      </c>
      <c r="H8" s="38">
        <v>1547.2762789105939</v>
      </c>
      <c r="I8" s="38" t="s">
        <v>5</v>
      </c>
      <c r="P8" s="228"/>
    </row>
    <row r="9" spans="1:16" s="38" customFormat="1">
      <c r="A9" s="11"/>
      <c r="B9" s="50"/>
      <c r="C9" s="16"/>
      <c r="D9" s="42"/>
      <c r="E9" s="63"/>
      <c r="F9" s="579" t="s">
        <v>1317</v>
      </c>
      <c r="G9" s="63"/>
      <c r="P9" s="228"/>
    </row>
    <row r="10" spans="1:16" s="38" customFormat="1">
      <c r="A10" s="11"/>
      <c r="B10" s="50"/>
      <c r="C10" s="16"/>
      <c r="D10" s="42"/>
      <c r="E10" s="63"/>
      <c r="F10" s="579"/>
      <c r="G10" s="63"/>
      <c r="P10" s="228"/>
    </row>
    <row r="11" spans="1:16" s="2" customFormat="1">
      <c r="A11" s="3"/>
      <c r="B11" s="49" t="s">
        <v>1318</v>
      </c>
      <c r="C11" s="16" t="s">
        <v>2</v>
      </c>
      <c r="D11" s="42">
        <v>1547.2762789105939</v>
      </c>
      <c r="E11" s="63"/>
      <c r="F11" s="42"/>
      <c r="G11" s="63" t="s">
        <v>2</v>
      </c>
      <c r="H11" s="38">
        <v>1547.2762789105939</v>
      </c>
      <c r="I11" s="38" t="s">
        <v>5</v>
      </c>
      <c r="K11" s="9"/>
      <c r="L11" s="5"/>
      <c r="M11" s="9"/>
      <c r="O11" s="9"/>
      <c r="P11" s="8"/>
    </row>
    <row r="12" spans="1:16" s="2" customFormat="1">
      <c r="A12" s="3"/>
      <c r="B12" s="49" t="s">
        <v>1319</v>
      </c>
      <c r="C12" s="16" t="s">
        <v>2</v>
      </c>
      <c r="D12" s="42">
        <v>1311.6490000000001</v>
      </c>
      <c r="E12" s="63" t="s">
        <v>7</v>
      </c>
      <c r="F12" s="42">
        <v>667.58899867107266</v>
      </c>
      <c r="G12" s="63" t="s">
        <v>2</v>
      </c>
      <c r="H12" s="38">
        <v>1979.2379986710728</v>
      </c>
      <c r="I12" s="38" t="s">
        <v>5</v>
      </c>
      <c r="K12" s="9"/>
      <c r="L12" s="5"/>
      <c r="M12" s="9"/>
      <c r="O12" s="9"/>
      <c r="P12" s="8"/>
    </row>
    <row r="13" spans="1:16">
      <c r="B13" t="s">
        <v>1320</v>
      </c>
      <c r="D13" t="s">
        <v>467</v>
      </c>
    </row>
    <row r="14" spans="1:16">
      <c r="B14" t="s">
        <v>1321</v>
      </c>
      <c r="F14">
        <v>415</v>
      </c>
      <c r="G14" t="s">
        <v>252</v>
      </c>
    </row>
    <row r="15" spans="1:16">
      <c r="B15" t="s">
        <v>1322</v>
      </c>
    </row>
    <row r="16" spans="1:16">
      <c r="B16" t="s">
        <v>1323</v>
      </c>
      <c r="D16">
        <v>190</v>
      </c>
    </row>
    <row r="17" spans="2:13">
      <c r="B17" s="18" t="s">
        <v>1324</v>
      </c>
    </row>
    <row r="18" spans="2:13" ht="25.5">
      <c r="B18" s="18" t="s">
        <v>251</v>
      </c>
      <c r="D18" t="s">
        <v>253</v>
      </c>
      <c r="E18" s="2" t="s">
        <v>2</v>
      </c>
      <c r="F18">
        <v>30</v>
      </c>
      <c r="G18" t="s">
        <v>252</v>
      </c>
    </row>
    <row r="19" spans="2:13" ht="25.5">
      <c r="B19" s="18" t="s">
        <v>1325</v>
      </c>
      <c r="D19" t="s">
        <v>1326</v>
      </c>
      <c r="E19" s="2" t="s">
        <v>2</v>
      </c>
      <c r="F19">
        <v>8</v>
      </c>
      <c r="G19" t="s">
        <v>252</v>
      </c>
    </row>
    <row r="20" spans="2:13" ht="25.5">
      <c r="B20" s="18" t="s">
        <v>1327</v>
      </c>
      <c r="D20" t="s">
        <v>1328</v>
      </c>
      <c r="E20" s="2" t="s">
        <v>2</v>
      </c>
      <c r="F20">
        <v>8</v>
      </c>
      <c r="G20" t="s">
        <v>252</v>
      </c>
    </row>
    <row r="21" spans="2:13">
      <c r="D21" t="s">
        <v>1329</v>
      </c>
      <c r="E21" s="2" t="s">
        <v>2</v>
      </c>
      <c r="F21">
        <v>3.6</v>
      </c>
      <c r="G21" t="s">
        <v>252</v>
      </c>
    </row>
    <row r="22" spans="2:13" ht="15.75">
      <c r="B22" t="s">
        <v>246</v>
      </c>
      <c r="C22" s="19" t="s">
        <v>2</v>
      </c>
      <c r="D22">
        <v>1.5</v>
      </c>
      <c r="E22" s="16" t="s">
        <v>244</v>
      </c>
      <c r="F22" s="2">
        <v>606.67700000000002</v>
      </c>
      <c r="G22" s="19" t="s">
        <v>2</v>
      </c>
      <c r="H22">
        <v>910.01549999999997</v>
      </c>
      <c r="I22" t="s">
        <v>10</v>
      </c>
    </row>
    <row r="23" spans="2:13" ht="15.75">
      <c r="B23" t="s">
        <v>249</v>
      </c>
      <c r="C23" s="19" t="s">
        <v>2</v>
      </c>
      <c r="D23">
        <v>1.5</v>
      </c>
      <c r="E23" s="16" t="s">
        <v>244</v>
      </c>
      <c r="F23" s="2">
        <v>1979.2379986710728</v>
      </c>
      <c r="G23" s="19" t="s">
        <v>2</v>
      </c>
      <c r="H23">
        <v>2968.856998006609</v>
      </c>
      <c r="I23" t="s">
        <v>5</v>
      </c>
    </row>
    <row r="24" spans="2:13" ht="15.75">
      <c r="B24" t="s">
        <v>250</v>
      </c>
      <c r="C24" s="19" t="s">
        <v>2</v>
      </c>
      <c r="D24">
        <v>1.5</v>
      </c>
      <c r="E24" s="16" t="s">
        <v>244</v>
      </c>
      <c r="F24" s="2">
        <v>1547.2762789105939</v>
      </c>
      <c r="G24" s="19" t="s">
        <v>2</v>
      </c>
      <c r="H24">
        <v>2320.9144183658909</v>
      </c>
      <c r="I24" t="s">
        <v>5</v>
      </c>
    </row>
    <row r="25" spans="2:13">
      <c r="B25" t="s">
        <v>169</v>
      </c>
      <c r="F25">
        <v>33.33</v>
      </c>
      <c r="G25" t="s">
        <v>27</v>
      </c>
    </row>
    <row r="26" spans="2:13">
      <c r="B26" t="s">
        <v>170</v>
      </c>
    </row>
    <row r="27" spans="2:13">
      <c r="C27" s="580">
        <v>1000</v>
      </c>
      <c r="D27" s="442" t="s">
        <v>150</v>
      </c>
      <c r="E27" s="163">
        <v>1050</v>
      </c>
      <c r="F27" t="s">
        <v>1</v>
      </c>
    </row>
    <row r="28" spans="2:13">
      <c r="C28" s="85" t="s">
        <v>151</v>
      </c>
      <c r="D28">
        <v>75</v>
      </c>
    </row>
    <row r="29" spans="2:13" ht="14.25">
      <c r="B29" t="s">
        <v>152</v>
      </c>
      <c r="C29" s="19" t="s">
        <v>2</v>
      </c>
      <c r="D29">
        <v>83</v>
      </c>
      <c r="E29" s="19" t="s">
        <v>8</v>
      </c>
      <c r="F29">
        <v>1050</v>
      </c>
      <c r="G29" s="19" t="s">
        <v>2</v>
      </c>
      <c r="H29" s="86">
        <v>7.9047619047619047E-2</v>
      </c>
    </row>
    <row r="30" spans="2:13" ht="15.75">
      <c r="B30" t="s">
        <v>245</v>
      </c>
      <c r="C30" s="19" t="s">
        <v>2</v>
      </c>
      <c r="D30" s="2">
        <v>910.01549999999997</v>
      </c>
      <c r="E30" s="19" t="s">
        <v>3</v>
      </c>
      <c r="F30">
        <v>1000</v>
      </c>
      <c r="G30" s="19" t="s">
        <v>153</v>
      </c>
      <c r="H30">
        <v>30</v>
      </c>
      <c r="I30" t="s">
        <v>3</v>
      </c>
      <c r="J30">
        <v>1000</v>
      </c>
      <c r="K30" s="19" t="s">
        <v>154</v>
      </c>
      <c r="L30">
        <v>1050</v>
      </c>
      <c r="M30" s="19" t="s">
        <v>15</v>
      </c>
    </row>
    <row r="31" spans="2:13">
      <c r="C31" s="19" t="s">
        <v>2</v>
      </c>
      <c r="D31" s="87">
        <v>2.8889380952380951E-2</v>
      </c>
    </row>
    <row r="32" spans="2:13">
      <c r="B32" t="s">
        <v>155</v>
      </c>
    </row>
    <row r="33" spans="2:13" ht="15.75">
      <c r="B33" t="s">
        <v>247</v>
      </c>
      <c r="C33" s="19" t="s">
        <v>2</v>
      </c>
      <c r="D33" s="2">
        <v>2968.856998006609</v>
      </c>
      <c r="E33" t="s">
        <v>3</v>
      </c>
      <c r="F33">
        <v>1000000</v>
      </c>
      <c r="G33" t="s">
        <v>153</v>
      </c>
      <c r="H33">
        <v>30</v>
      </c>
      <c r="I33" t="s">
        <v>3</v>
      </c>
      <c r="J33">
        <v>1000</v>
      </c>
      <c r="K33" s="19" t="s">
        <v>154</v>
      </c>
      <c r="L33">
        <v>1050</v>
      </c>
      <c r="M33" s="88" t="s">
        <v>156</v>
      </c>
    </row>
    <row r="34" spans="2:13">
      <c r="C34" s="19" t="s">
        <v>2</v>
      </c>
      <c r="D34" s="87">
        <v>8.9761360483948879E-2</v>
      </c>
    </row>
    <row r="35" spans="2:13" s="17" customFormat="1" ht="31.5" customHeight="1">
      <c r="B35" s="727" t="s">
        <v>248</v>
      </c>
      <c r="C35" s="727"/>
      <c r="D35" s="727"/>
      <c r="E35" s="727"/>
      <c r="F35" s="727"/>
      <c r="G35" s="727"/>
      <c r="H35" s="727"/>
      <c r="I35" s="727"/>
      <c r="J35" s="727"/>
      <c r="K35" s="727"/>
      <c r="L35" s="727"/>
    </row>
    <row r="36" spans="2:13" ht="12.75" customHeight="1">
      <c r="B36" s="726" t="s">
        <v>168</v>
      </c>
      <c r="C36" s="726"/>
      <c r="D36" s="726"/>
      <c r="E36" s="726"/>
      <c r="F36" s="726"/>
      <c r="G36" s="726"/>
      <c r="H36" s="726"/>
      <c r="I36" s="726"/>
      <c r="J36" s="726"/>
      <c r="K36" s="726"/>
      <c r="L36" s="726"/>
    </row>
    <row r="37" spans="2:13">
      <c r="B37" t="s">
        <v>157</v>
      </c>
    </row>
    <row r="39" spans="2:13">
      <c r="B39" t="s">
        <v>158</v>
      </c>
      <c r="D39" s="2">
        <v>910.01549999999997</v>
      </c>
      <c r="E39" s="2" t="s">
        <v>3</v>
      </c>
      <c r="F39" s="3">
        <v>1000</v>
      </c>
      <c r="G39" s="19" t="s">
        <v>8</v>
      </c>
      <c r="H39">
        <v>8</v>
      </c>
    </row>
    <row r="40" spans="2:13" ht="14.25">
      <c r="C40" s="19" t="s">
        <v>2</v>
      </c>
      <c r="D40" s="3">
        <v>113751.9375</v>
      </c>
      <c r="E40" s="17" t="s">
        <v>9</v>
      </c>
    </row>
    <row r="41" spans="2:13">
      <c r="B41" t="s">
        <v>159</v>
      </c>
      <c r="C41">
        <v>0.8</v>
      </c>
      <c r="D41" s="19" t="s">
        <v>3</v>
      </c>
      <c r="E41" s="3">
        <v>113751.9375</v>
      </c>
      <c r="F41" s="19" t="s">
        <v>8</v>
      </c>
      <c r="G41">
        <v>100</v>
      </c>
    </row>
    <row r="42" spans="2:13" ht="14.25">
      <c r="C42" s="19" t="s">
        <v>2</v>
      </c>
      <c r="D42" s="84">
        <v>910.01549999999997</v>
      </c>
      <c r="E42" s="89" t="s">
        <v>160</v>
      </c>
    </row>
    <row r="44" spans="2:13">
      <c r="B44" t="s">
        <v>161</v>
      </c>
    </row>
    <row r="45" spans="2:13">
      <c r="B45" t="s">
        <v>162</v>
      </c>
      <c r="C45">
        <v>0.3</v>
      </c>
      <c r="D45" s="19" t="s">
        <v>3</v>
      </c>
      <c r="E45">
        <v>1000</v>
      </c>
      <c r="F45" s="19" t="s">
        <v>154</v>
      </c>
      <c r="G45">
        <v>1050</v>
      </c>
      <c r="H45" s="19" t="s">
        <v>8</v>
      </c>
      <c r="I45">
        <v>100</v>
      </c>
    </row>
    <row r="46" spans="2:13" ht="14.25">
      <c r="C46" s="19" t="s">
        <v>2</v>
      </c>
      <c r="D46" s="84">
        <v>3150</v>
      </c>
      <c r="E46" s="89" t="s">
        <v>160</v>
      </c>
    </row>
    <row r="47" spans="2:13" ht="14.25">
      <c r="B47" t="s">
        <v>163</v>
      </c>
      <c r="C47" s="19" t="s">
        <v>2</v>
      </c>
      <c r="D47" s="11">
        <v>3150</v>
      </c>
      <c r="E47" s="89" t="s">
        <v>160</v>
      </c>
    </row>
    <row r="48" spans="2:13">
      <c r="B48" t="s">
        <v>164</v>
      </c>
      <c r="C48">
        <v>16</v>
      </c>
      <c r="D48" t="s">
        <v>165</v>
      </c>
      <c r="E48" s="19" t="s">
        <v>2</v>
      </c>
      <c r="F48" s="3">
        <v>15.674761146496815</v>
      </c>
      <c r="G48" t="s">
        <v>171</v>
      </c>
    </row>
    <row r="49" spans="1:21">
      <c r="B49" t="s">
        <v>166</v>
      </c>
      <c r="C49" s="19" t="s">
        <v>2</v>
      </c>
      <c r="D49" s="224">
        <v>260</v>
      </c>
      <c r="E49" t="s">
        <v>12</v>
      </c>
    </row>
    <row r="50" spans="1:21">
      <c r="B50" t="s">
        <v>167</v>
      </c>
    </row>
    <row r="52" spans="1:21" ht="15.75">
      <c r="B52" t="s">
        <v>247</v>
      </c>
      <c r="C52" s="19" t="s">
        <v>2</v>
      </c>
      <c r="D52" s="2">
        <v>2320.9144183658909</v>
      </c>
      <c r="E52" t="s">
        <v>3</v>
      </c>
      <c r="F52">
        <v>1000000</v>
      </c>
      <c r="G52" t="s">
        <v>153</v>
      </c>
      <c r="H52">
        <v>30</v>
      </c>
      <c r="I52" t="s">
        <v>3</v>
      </c>
    </row>
    <row r="53" spans="1:21" ht="14.25">
      <c r="C53" s="19"/>
      <c r="D53" s="2"/>
      <c r="E53">
        <v>1000</v>
      </c>
      <c r="F53" s="19" t="s">
        <v>154</v>
      </c>
      <c r="G53">
        <v>1050</v>
      </c>
      <c r="H53" s="88" t="s">
        <v>156</v>
      </c>
      <c r="M53" s="88"/>
    </row>
    <row r="54" spans="1:21">
      <c r="C54" s="19" t="s">
        <v>2</v>
      </c>
      <c r="D54" s="87">
        <v>7.0171259814539408E-2</v>
      </c>
    </row>
    <row r="55" spans="1:21" ht="29.25" customHeight="1">
      <c r="B55" s="727" t="s">
        <v>248</v>
      </c>
      <c r="C55" s="727"/>
      <c r="D55" s="727"/>
      <c r="E55" s="727"/>
      <c r="F55" s="727"/>
      <c r="G55" s="727"/>
      <c r="H55" s="727"/>
      <c r="I55" s="727"/>
      <c r="J55" s="727"/>
      <c r="K55" s="727"/>
      <c r="L55" s="727"/>
      <c r="M55" s="17"/>
      <c r="N55" s="17"/>
      <c r="O55" s="17"/>
    </row>
    <row r="56" spans="1:21">
      <c r="B56" s="1" t="s">
        <v>172</v>
      </c>
    </row>
    <row r="57" spans="1:21">
      <c r="B57" s="20" t="s">
        <v>208</v>
      </c>
      <c r="C57" s="115"/>
      <c r="D57" s="3"/>
      <c r="E57" s="116"/>
      <c r="F57" s="117"/>
      <c r="G57" s="118"/>
      <c r="H57" s="109"/>
      <c r="I57" s="109"/>
    </row>
    <row r="58" spans="1:21">
      <c r="B58" s="20"/>
      <c r="C58" s="119">
        <v>2320.9144183658909</v>
      </c>
      <c r="D58" s="120" t="s">
        <v>8</v>
      </c>
      <c r="E58" s="60">
        <v>4.4980000000000047</v>
      </c>
      <c r="F58" s="117" t="s">
        <v>2</v>
      </c>
      <c r="G58" s="118">
        <v>515.98808767583114</v>
      </c>
      <c r="H58" s="109" t="s">
        <v>10</v>
      </c>
      <c r="I58" s="109"/>
    </row>
    <row r="59" spans="1:21">
      <c r="A59" s="121" t="s">
        <v>209</v>
      </c>
      <c r="B59" s="570"/>
      <c r="C59" s="570"/>
      <c r="D59" s="382"/>
      <c r="E59" s="581"/>
      <c r="F59" s="382"/>
      <c r="G59" s="581"/>
      <c r="H59" s="382"/>
      <c r="I59" s="581"/>
      <c r="J59" s="429"/>
      <c r="K59" s="581"/>
      <c r="L59" s="382"/>
      <c r="M59" s="429"/>
      <c r="N59" s="429"/>
      <c r="O59" s="429"/>
      <c r="P59" s="429"/>
      <c r="Q59" s="429"/>
      <c r="R59" s="429"/>
      <c r="S59" s="429"/>
      <c r="T59" s="429"/>
      <c r="U59" s="429"/>
    </row>
    <row r="60" spans="1:21" s="17" customFormat="1">
      <c r="A60" s="570"/>
      <c r="B60" s="582" t="s">
        <v>210</v>
      </c>
      <c r="C60" s="583">
        <v>515.98808767583114</v>
      </c>
      <c r="D60" s="578" t="s">
        <v>3</v>
      </c>
      <c r="E60" s="581">
        <v>1000</v>
      </c>
      <c r="F60" s="578" t="s">
        <v>153</v>
      </c>
      <c r="G60" s="581">
        <v>1000</v>
      </c>
      <c r="H60" s="578" t="s">
        <v>3</v>
      </c>
      <c r="I60" s="581">
        <v>1050</v>
      </c>
      <c r="J60" s="435" t="s">
        <v>15</v>
      </c>
      <c r="K60" s="581"/>
      <c r="L60" s="382"/>
      <c r="M60" s="429"/>
      <c r="N60" s="429"/>
      <c r="O60" s="429"/>
      <c r="P60" s="429"/>
      <c r="Q60" s="429"/>
      <c r="R60" s="429"/>
      <c r="S60" s="429"/>
      <c r="T60" s="429"/>
      <c r="U60" s="429"/>
    </row>
    <row r="61" spans="1:21" ht="14.25">
      <c r="A61" s="429"/>
      <c r="B61" s="570"/>
      <c r="C61" s="584" t="s">
        <v>2</v>
      </c>
      <c r="D61" s="382">
        <v>0.49141722635793444</v>
      </c>
      <c r="E61" s="429" t="s">
        <v>211</v>
      </c>
      <c r="F61" s="382"/>
      <c r="G61" s="581"/>
      <c r="H61" s="382"/>
      <c r="I61" s="581"/>
      <c r="J61" s="429"/>
      <c r="K61" s="581"/>
      <c r="L61" s="382"/>
      <c r="M61" s="429"/>
      <c r="N61" s="429"/>
      <c r="O61" s="429"/>
      <c r="P61" s="429"/>
      <c r="Q61" s="429"/>
      <c r="R61" s="429"/>
      <c r="S61" s="429"/>
      <c r="T61" s="429"/>
      <c r="U61" s="429"/>
    </row>
    <row r="62" spans="1:21">
      <c r="A62" s="429"/>
      <c r="B62" s="431" t="s">
        <v>212</v>
      </c>
      <c r="C62" s="382">
        <v>0.3</v>
      </c>
      <c r="D62" s="89"/>
      <c r="E62" s="585"/>
      <c r="F62" s="581"/>
      <c r="G62" s="429"/>
      <c r="H62" s="429"/>
      <c r="I62" s="429"/>
      <c r="J62" s="382"/>
      <c r="K62" s="429"/>
      <c r="L62" s="429"/>
      <c r="M62" s="429"/>
      <c r="N62" s="429"/>
      <c r="O62" s="429"/>
      <c r="P62" s="429"/>
      <c r="Q62" s="429"/>
      <c r="R62" s="429"/>
      <c r="S62" s="429"/>
      <c r="T62" s="429"/>
      <c r="U62" s="429"/>
    </row>
    <row r="63" spans="1:21" ht="14.25">
      <c r="A63" s="429"/>
      <c r="B63" s="581" t="s">
        <v>213</v>
      </c>
      <c r="C63" s="382">
        <v>0.4</v>
      </c>
      <c r="D63" s="429" t="s">
        <v>211</v>
      </c>
      <c r="E63" s="439" t="s">
        <v>214</v>
      </c>
      <c r="F63" s="439"/>
      <c r="G63" s="429"/>
      <c r="H63" s="429"/>
      <c r="I63" s="429"/>
      <c r="J63" s="382"/>
      <c r="K63" s="429"/>
      <c r="L63" s="429"/>
      <c r="M63" s="429"/>
      <c r="N63" s="429"/>
      <c r="O63" s="429"/>
      <c r="P63" s="429"/>
      <c r="Q63" s="429"/>
      <c r="R63" s="429"/>
      <c r="S63" s="429"/>
      <c r="T63" s="429"/>
      <c r="U63" s="429"/>
    </row>
    <row r="64" spans="1:21">
      <c r="A64" s="570"/>
      <c r="B64" s="725" t="s">
        <v>215</v>
      </c>
      <c r="C64" s="725"/>
      <c r="D64" s="725"/>
      <c r="E64" s="586"/>
      <c r="F64" s="83"/>
      <c r="G64" s="429"/>
      <c r="H64" s="429"/>
      <c r="I64" s="429"/>
      <c r="J64" s="382"/>
      <c r="K64" s="429"/>
      <c r="L64" s="429"/>
      <c r="M64" s="429"/>
      <c r="N64" s="429"/>
      <c r="O64" s="429"/>
      <c r="P64" s="429"/>
      <c r="Q64" s="429"/>
      <c r="R64" s="429"/>
      <c r="S64" s="429"/>
      <c r="T64" s="429"/>
      <c r="U64" s="429"/>
    </row>
    <row r="65" spans="1:21">
      <c r="B65" t="s">
        <v>173</v>
      </c>
    </row>
    <row r="66" spans="1:21" ht="14.25">
      <c r="B66" t="s">
        <v>174</v>
      </c>
      <c r="C66" s="19" t="s">
        <v>2</v>
      </c>
      <c r="D66" s="3">
        <v>16</v>
      </c>
      <c r="E66" s="19" t="s">
        <v>8</v>
      </c>
      <c r="F66">
        <v>4</v>
      </c>
      <c r="G66" s="19" t="s">
        <v>2</v>
      </c>
      <c r="H66">
        <v>4</v>
      </c>
      <c r="I66" t="s">
        <v>1</v>
      </c>
      <c r="M66" s="88"/>
    </row>
    <row r="67" spans="1:21">
      <c r="B67" s="7" t="s">
        <v>175</v>
      </c>
      <c r="C67" s="19">
        <v>12</v>
      </c>
      <c r="D67" s="87" t="s">
        <v>176</v>
      </c>
    </row>
    <row r="68" spans="1:21">
      <c r="A68" s="17"/>
      <c r="B68" s="17" t="s">
        <v>177</v>
      </c>
      <c r="C68" s="17"/>
      <c r="D68" s="17"/>
      <c r="E68" s="17"/>
      <c r="F68" s="17"/>
      <c r="G68" s="17"/>
      <c r="H68" s="17"/>
      <c r="I68" s="17"/>
      <c r="J68" s="17"/>
      <c r="K68" s="17"/>
      <c r="L68" s="17"/>
      <c r="M68" s="17"/>
      <c r="N68" s="17"/>
      <c r="O68" s="17"/>
      <c r="P68" s="17"/>
      <c r="Q68" s="17"/>
      <c r="R68" s="17"/>
      <c r="S68" s="17"/>
      <c r="T68" s="17"/>
      <c r="U68" s="17"/>
    </row>
    <row r="69" spans="1:21">
      <c r="B69" s="20" t="s">
        <v>178</v>
      </c>
      <c r="C69">
        <v>1050</v>
      </c>
      <c r="D69" s="17" t="s">
        <v>1</v>
      </c>
      <c r="E69" s="17"/>
      <c r="F69" s="17"/>
      <c r="G69" s="17"/>
      <c r="H69" s="17"/>
      <c r="I69" s="17"/>
      <c r="J69" s="17"/>
      <c r="K69" s="17"/>
      <c r="L69" s="17"/>
    </row>
    <row r="70" spans="1:21">
      <c r="B70" s="6" t="s">
        <v>179</v>
      </c>
      <c r="C70">
        <v>12</v>
      </c>
      <c r="D70" s="16" t="s">
        <v>3</v>
      </c>
      <c r="E70" s="3">
        <v>12</v>
      </c>
      <c r="F70" s="16" t="s">
        <v>2</v>
      </c>
      <c r="G70" s="3">
        <v>144</v>
      </c>
      <c r="H70" s="3" t="s">
        <v>1</v>
      </c>
      <c r="I70" s="3"/>
      <c r="J70" s="3"/>
      <c r="K70" s="3"/>
      <c r="L70" s="3"/>
      <c r="M70" s="3"/>
      <c r="N70" s="3"/>
      <c r="O70" s="2"/>
    </row>
    <row r="71" spans="1:21">
      <c r="B71" s="6" t="s">
        <v>180</v>
      </c>
      <c r="C71" s="19">
        <v>300</v>
      </c>
      <c r="D71" s="87" t="s">
        <v>1</v>
      </c>
      <c r="E71" s="2"/>
      <c r="F71" s="2"/>
      <c r="G71" s="2"/>
      <c r="H71" s="2"/>
      <c r="I71" s="2"/>
      <c r="J71" s="2"/>
      <c r="K71" s="2"/>
      <c r="L71" s="2"/>
      <c r="M71" s="2"/>
    </row>
    <row r="72" spans="1:21">
      <c r="B72" s="135" t="s">
        <v>216</v>
      </c>
      <c r="C72" s="135" t="s">
        <v>217</v>
      </c>
      <c r="D72" s="3">
        <v>100</v>
      </c>
      <c r="E72" s="2" t="s">
        <v>1</v>
      </c>
      <c r="F72" s="2"/>
      <c r="G72" s="2"/>
      <c r="H72" s="2"/>
      <c r="I72" s="2"/>
      <c r="J72" s="2"/>
      <c r="K72" s="2"/>
      <c r="L72" s="2"/>
      <c r="M72" s="2"/>
    </row>
    <row r="73" spans="1:21" ht="14.25">
      <c r="B73" s="7" t="s">
        <v>175</v>
      </c>
      <c r="C73">
        <v>12</v>
      </c>
      <c r="D73" s="87" t="s">
        <v>183</v>
      </c>
      <c r="E73" s="2"/>
      <c r="F73" s="3">
        <v>100</v>
      </c>
      <c r="G73" t="s">
        <v>181</v>
      </c>
      <c r="J73" s="3"/>
      <c r="K73" s="3"/>
      <c r="L73" s="3"/>
      <c r="M73" s="3"/>
      <c r="N73" s="3"/>
      <c r="O73" s="88"/>
    </row>
    <row r="74" spans="1:21">
      <c r="A74" s="585"/>
      <c r="B74" s="136" t="s">
        <v>218</v>
      </c>
      <c r="C74" s="382"/>
      <c r="D74" s="382"/>
      <c r="E74" s="382"/>
      <c r="F74" s="382"/>
      <c r="G74" s="382"/>
      <c r="H74" s="11"/>
      <c r="I74" s="382"/>
      <c r="J74" s="382"/>
      <c r="K74" s="382"/>
      <c r="L74" s="382"/>
      <c r="M74" s="382"/>
      <c r="N74" s="382"/>
      <c r="O74" s="382"/>
      <c r="P74" s="382"/>
      <c r="Q74" s="382"/>
      <c r="R74" s="382"/>
      <c r="S74" s="382"/>
      <c r="T74" s="382"/>
      <c r="U74" s="382"/>
    </row>
    <row r="75" spans="1:21">
      <c r="A75" s="585"/>
      <c r="B75" s="138" t="s">
        <v>235</v>
      </c>
      <c r="C75" s="382"/>
      <c r="D75" s="382"/>
      <c r="E75" s="382"/>
      <c r="F75" s="382"/>
      <c r="G75" s="382"/>
      <c r="H75" s="11"/>
      <c r="I75" s="382"/>
      <c r="J75" s="382"/>
      <c r="K75" s="382"/>
      <c r="L75" s="382"/>
      <c r="M75" s="382"/>
      <c r="N75" s="382"/>
      <c r="O75" s="382"/>
      <c r="P75" s="382"/>
      <c r="Q75" s="382"/>
      <c r="R75" s="382"/>
      <c r="S75" s="382"/>
      <c r="T75" s="382"/>
      <c r="U75" s="382"/>
    </row>
    <row r="76" spans="1:21">
      <c r="A76" s="585"/>
      <c r="B76" s="139" t="s">
        <v>220</v>
      </c>
      <c r="C76" s="382"/>
      <c r="D76" s="139" t="s">
        <v>221</v>
      </c>
      <c r="E76" s="382"/>
      <c r="F76" s="382"/>
      <c r="G76" s="382"/>
      <c r="H76" s="11"/>
      <c r="I76" s="382"/>
      <c r="J76" s="382"/>
      <c r="K76" s="382"/>
      <c r="L76" s="382"/>
      <c r="M76" s="382"/>
      <c r="N76" s="382"/>
      <c r="O76" s="382"/>
      <c r="P76" s="382"/>
      <c r="Q76" s="382"/>
      <c r="R76" s="382"/>
      <c r="S76" s="382"/>
      <c r="T76" s="382"/>
      <c r="U76" s="382"/>
    </row>
    <row r="77" spans="1:21">
      <c r="A77" s="585"/>
      <c r="B77" s="382"/>
      <c r="C77" s="382" t="s">
        <v>222</v>
      </c>
      <c r="D77" s="382"/>
      <c r="E77" s="382"/>
      <c r="F77" s="382"/>
      <c r="G77" s="382"/>
      <c r="H77" s="11"/>
      <c r="I77" s="382"/>
      <c r="J77" s="382"/>
      <c r="K77" s="382"/>
      <c r="L77" s="382"/>
      <c r="M77" s="382"/>
      <c r="N77" s="382"/>
      <c r="O77" s="382"/>
      <c r="P77" s="382"/>
      <c r="Q77" s="382"/>
      <c r="R77" s="382"/>
      <c r="S77" s="382"/>
      <c r="T77" s="382"/>
      <c r="U77" s="382"/>
    </row>
    <row r="78" spans="1:21">
      <c r="A78" s="585"/>
      <c r="B78" s="587" t="s">
        <v>223</v>
      </c>
      <c r="C78" s="588" t="s">
        <v>2</v>
      </c>
      <c r="D78" s="52">
        <v>100</v>
      </c>
      <c r="E78" s="382" t="s">
        <v>1</v>
      </c>
      <c r="F78" s="382"/>
      <c r="G78" s="382"/>
      <c r="H78" s="11"/>
      <c r="I78" s="382"/>
      <c r="J78" s="382"/>
      <c r="K78" s="382"/>
      <c r="L78" s="382"/>
      <c r="M78" s="382"/>
      <c r="N78" s="382"/>
      <c r="O78" s="382"/>
      <c r="P78" s="382"/>
      <c r="Q78" s="382"/>
      <c r="R78" s="382"/>
      <c r="S78" s="382"/>
      <c r="T78" s="382"/>
      <c r="U78" s="382"/>
    </row>
    <row r="79" spans="1:21" ht="14.25">
      <c r="A79" s="585"/>
      <c r="B79" s="587" t="s">
        <v>224</v>
      </c>
      <c r="C79" s="588" t="s">
        <v>2</v>
      </c>
      <c r="D79" s="52">
        <v>300</v>
      </c>
      <c r="E79" s="382" t="s">
        <v>211</v>
      </c>
      <c r="F79" s="382" t="s">
        <v>225</v>
      </c>
      <c r="G79" s="382"/>
      <c r="H79" s="11"/>
      <c r="I79" s="382"/>
      <c r="J79" s="382"/>
      <c r="K79" s="382"/>
      <c r="L79" s="382"/>
      <c r="M79" s="382"/>
      <c r="N79" s="382"/>
      <c r="O79" s="382"/>
      <c r="P79" s="382"/>
      <c r="Q79" s="382"/>
      <c r="R79" s="382"/>
      <c r="S79" s="382"/>
      <c r="T79" s="382"/>
      <c r="U79" s="382"/>
    </row>
    <row r="80" spans="1:21" ht="14.25">
      <c r="A80" s="585"/>
      <c r="B80" s="587" t="s">
        <v>226</v>
      </c>
      <c r="C80" s="588" t="s">
        <v>2</v>
      </c>
      <c r="D80" s="52">
        <v>30</v>
      </c>
      <c r="E80" s="382" t="s">
        <v>211</v>
      </c>
      <c r="F80" s="382"/>
      <c r="G80" s="382"/>
      <c r="H80" s="11" t="s">
        <v>227</v>
      </c>
      <c r="I80" s="382"/>
      <c r="J80" s="382"/>
      <c r="K80" s="382"/>
      <c r="L80" s="382"/>
      <c r="M80" s="382"/>
      <c r="N80" s="382"/>
      <c r="O80" s="382"/>
      <c r="P80" s="382"/>
      <c r="Q80" s="382"/>
      <c r="R80" s="382"/>
      <c r="S80" s="382"/>
      <c r="T80" s="382"/>
      <c r="U80" s="382"/>
    </row>
    <row r="81" spans="1:21" ht="14.25">
      <c r="A81" s="585"/>
      <c r="B81" s="571" t="s">
        <v>228</v>
      </c>
      <c r="C81" s="588" t="s">
        <v>2</v>
      </c>
      <c r="D81" s="52">
        <v>415</v>
      </c>
      <c r="E81" s="382" t="s">
        <v>211</v>
      </c>
      <c r="F81" s="382"/>
      <c r="G81" s="382"/>
      <c r="H81" s="11"/>
      <c r="I81" s="382"/>
      <c r="J81" s="382"/>
      <c r="K81" s="382"/>
      <c r="L81" s="382"/>
      <c r="M81" s="382"/>
      <c r="N81" s="382"/>
      <c r="O81" s="382"/>
      <c r="P81" s="382"/>
      <c r="Q81" s="382"/>
      <c r="R81" s="382"/>
      <c r="S81" s="382"/>
      <c r="T81" s="382"/>
      <c r="U81" s="382"/>
    </row>
    <row r="82" spans="1:21" ht="14.25">
      <c r="A82" s="585"/>
      <c r="B82" s="587" t="s">
        <v>229</v>
      </c>
      <c r="C82" s="588" t="s">
        <v>2</v>
      </c>
      <c r="D82" s="52">
        <v>1050</v>
      </c>
      <c r="E82" s="589" t="s">
        <v>9</v>
      </c>
      <c r="F82" s="589" t="s">
        <v>230</v>
      </c>
      <c r="G82" s="382"/>
      <c r="H82" s="11"/>
      <c r="I82" s="382"/>
      <c r="J82" s="382"/>
      <c r="K82" s="382"/>
      <c r="L82" s="382"/>
      <c r="M82" s="382"/>
      <c r="N82" s="382"/>
      <c r="O82" s="382"/>
      <c r="P82" s="382"/>
      <c r="Q82" s="382"/>
      <c r="R82" s="382"/>
      <c r="S82" s="382"/>
      <c r="T82" s="382"/>
      <c r="U82" s="382"/>
    </row>
    <row r="83" spans="1:21" ht="14.25">
      <c r="A83" s="585"/>
      <c r="B83" s="587" t="s">
        <v>231</v>
      </c>
      <c r="C83" s="588" t="s">
        <v>2</v>
      </c>
      <c r="D83" s="52">
        <v>940</v>
      </c>
      <c r="E83" s="589" t="s">
        <v>9</v>
      </c>
      <c r="F83" s="589" t="s">
        <v>232</v>
      </c>
      <c r="G83" s="382"/>
      <c r="H83" s="11"/>
      <c r="I83" s="382"/>
      <c r="J83" s="382"/>
      <c r="K83" s="382"/>
      <c r="L83" s="382"/>
      <c r="M83" s="382"/>
      <c r="N83" s="382"/>
      <c r="O83" s="382"/>
      <c r="P83" s="382"/>
      <c r="Q83" s="382"/>
      <c r="R83" s="382"/>
      <c r="S83" s="382"/>
      <c r="T83" s="382"/>
      <c r="U83" s="382"/>
    </row>
    <row r="84" spans="1:21" ht="14.25">
      <c r="A84" s="585"/>
      <c r="B84" s="571" t="s">
        <v>233</v>
      </c>
      <c r="C84" s="588" t="s">
        <v>2</v>
      </c>
      <c r="D84" s="52">
        <v>45.680594719302697</v>
      </c>
      <c r="E84" s="589" t="s">
        <v>9</v>
      </c>
      <c r="F84" s="589"/>
      <c r="G84" s="382"/>
      <c r="H84" s="11"/>
      <c r="I84" s="382"/>
      <c r="J84" s="382"/>
      <c r="K84" s="382"/>
      <c r="L84" s="382"/>
      <c r="M84" s="382"/>
      <c r="N84" s="382"/>
      <c r="O84" s="382"/>
      <c r="P84" s="382"/>
      <c r="Q84" s="382"/>
      <c r="R84" s="382"/>
      <c r="S84" s="382"/>
      <c r="T84" s="382"/>
      <c r="U84" s="382"/>
    </row>
    <row r="85" spans="1:21" ht="14.25">
      <c r="A85" s="585"/>
      <c r="B85" s="571" t="s">
        <v>236</v>
      </c>
      <c r="C85" s="588" t="s">
        <v>2</v>
      </c>
      <c r="D85" s="52">
        <v>113.04</v>
      </c>
      <c r="E85" s="589" t="s">
        <v>9</v>
      </c>
      <c r="F85" s="52" t="s">
        <v>234</v>
      </c>
      <c r="G85" s="382"/>
      <c r="H85" s="11"/>
      <c r="I85" s="382"/>
      <c r="J85" s="382"/>
      <c r="K85" s="382"/>
      <c r="L85" s="382"/>
      <c r="M85" s="382"/>
      <c r="N85" s="382"/>
      <c r="O85" s="382"/>
      <c r="P85" s="382"/>
      <c r="Q85" s="382"/>
      <c r="R85" s="382"/>
      <c r="S85" s="382"/>
      <c r="T85" s="382"/>
      <c r="U85" s="382"/>
    </row>
    <row r="86" spans="1:21">
      <c r="B86" s="135" t="s">
        <v>216</v>
      </c>
      <c r="C86" s="135" t="s">
        <v>217</v>
      </c>
      <c r="D86" s="3">
        <v>100</v>
      </c>
      <c r="E86" s="2" t="s">
        <v>1</v>
      </c>
      <c r="F86" s="2"/>
      <c r="G86" s="2"/>
      <c r="H86" s="2"/>
      <c r="I86" s="2"/>
      <c r="J86" s="2"/>
      <c r="K86" s="2"/>
      <c r="L86" s="2"/>
      <c r="M86" s="2"/>
    </row>
    <row r="87" spans="1:21" ht="14.25">
      <c r="B87" s="7" t="s">
        <v>175</v>
      </c>
      <c r="C87">
        <v>12</v>
      </c>
      <c r="D87" s="87" t="s">
        <v>183</v>
      </c>
      <c r="E87" s="2"/>
      <c r="F87" s="3">
        <v>100</v>
      </c>
      <c r="G87" t="s">
        <v>181</v>
      </c>
      <c r="J87" s="3"/>
      <c r="K87" s="3"/>
      <c r="L87" s="3"/>
      <c r="M87" s="3"/>
      <c r="N87" s="3"/>
      <c r="O87" s="88"/>
    </row>
    <row r="88" spans="1:21">
      <c r="A88" s="585"/>
      <c r="B88" s="136" t="s">
        <v>218</v>
      </c>
      <c r="C88" s="382"/>
      <c r="D88" s="382"/>
      <c r="E88" s="382"/>
      <c r="F88" s="382"/>
      <c r="G88" s="382"/>
      <c r="H88" s="11"/>
      <c r="I88" s="382"/>
      <c r="J88" s="382"/>
      <c r="K88" s="382"/>
      <c r="L88" s="382"/>
      <c r="M88" s="382"/>
      <c r="N88" s="382"/>
      <c r="O88" s="382"/>
      <c r="P88" s="382"/>
      <c r="Q88" s="382"/>
      <c r="R88" s="382"/>
      <c r="S88" s="382"/>
      <c r="T88" s="382"/>
      <c r="U88" s="382"/>
    </row>
    <row r="89" spans="1:21">
      <c r="A89" s="585"/>
      <c r="B89" s="138" t="s">
        <v>219</v>
      </c>
      <c r="C89" s="382"/>
      <c r="D89" s="382"/>
      <c r="E89" s="382"/>
      <c r="F89" s="382"/>
      <c r="G89" s="382"/>
      <c r="H89" s="11"/>
      <c r="I89" s="382"/>
      <c r="J89" s="382"/>
      <c r="K89" s="382"/>
      <c r="L89" s="382"/>
      <c r="M89" s="382"/>
      <c r="N89" s="382"/>
      <c r="O89" s="382"/>
      <c r="P89" s="382"/>
      <c r="Q89" s="382"/>
      <c r="R89" s="382"/>
      <c r="S89" s="382"/>
      <c r="T89" s="382"/>
      <c r="U89" s="382"/>
    </row>
    <row r="90" spans="1:21">
      <c r="B90" s="1" t="s">
        <v>11</v>
      </c>
      <c r="J90" s="2"/>
    </row>
    <row r="91" spans="1:21">
      <c r="B91" s="1" t="s">
        <v>182</v>
      </c>
      <c r="C91" s="15">
        <v>16</v>
      </c>
      <c r="D91" s="145" t="s">
        <v>165</v>
      </c>
      <c r="E91" s="15">
        <v>260</v>
      </c>
      <c r="F91" s="15" t="s">
        <v>12</v>
      </c>
      <c r="G91" s="100"/>
      <c r="H91" s="203" t="s">
        <v>462</v>
      </c>
      <c r="I91" s="1"/>
      <c r="J91" s="38"/>
    </row>
    <row r="92" spans="1:21">
      <c r="B92" s="1" t="s">
        <v>172</v>
      </c>
      <c r="C92" s="83" t="s">
        <v>1330</v>
      </c>
      <c r="D92" s="1"/>
      <c r="E92" s="14"/>
      <c r="F92" s="12"/>
      <c r="J92" s="2"/>
    </row>
    <row r="94" spans="1:21">
      <c r="D94" s="19"/>
      <c r="F94" s="19"/>
      <c r="H94" s="19"/>
    </row>
    <row r="95" spans="1:21">
      <c r="C95" s="19"/>
      <c r="D95" s="84"/>
      <c r="E95" s="89"/>
    </row>
    <row r="96" spans="1:21">
      <c r="C96" s="19"/>
      <c r="D96" s="11"/>
      <c r="E96" s="89"/>
    </row>
    <row r="98" spans="2:15">
      <c r="C98" s="19"/>
      <c r="D98" s="2"/>
    </row>
    <row r="99" spans="2:15">
      <c r="C99" s="19"/>
      <c r="D99" s="3"/>
    </row>
    <row r="102" spans="2:15">
      <c r="C102" s="19"/>
      <c r="D102" s="2"/>
    </row>
    <row r="103" spans="2:15" ht="14.25">
      <c r="C103" s="19"/>
      <c r="D103" s="2"/>
      <c r="H103" s="88"/>
      <c r="M103" s="88"/>
    </row>
    <row r="104" spans="2:15">
      <c r="C104" s="19"/>
      <c r="D104" s="87"/>
    </row>
    <row r="105" spans="2:15">
      <c r="B105" s="17"/>
      <c r="C105" s="17"/>
      <c r="D105" s="17"/>
      <c r="E105" s="17"/>
      <c r="F105" s="17"/>
      <c r="G105" s="17"/>
      <c r="H105" s="17"/>
      <c r="I105" s="17"/>
      <c r="J105" s="17"/>
      <c r="K105" s="17"/>
      <c r="L105" s="17"/>
      <c r="M105" s="17"/>
      <c r="N105" s="17"/>
      <c r="O105" s="17"/>
    </row>
    <row r="106" spans="2:15">
      <c r="B106" s="17"/>
      <c r="C106" s="17"/>
      <c r="D106" s="17"/>
      <c r="E106" s="17"/>
      <c r="F106" s="17"/>
      <c r="G106" s="17"/>
      <c r="H106" s="17"/>
      <c r="I106" s="17"/>
      <c r="J106" s="17"/>
      <c r="K106" s="17"/>
      <c r="L106" s="17"/>
    </row>
    <row r="107" spans="2:15">
      <c r="D107" s="2"/>
      <c r="E107" s="16"/>
      <c r="F107" s="2"/>
      <c r="G107" s="2"/>
      <c r="H107" s="2"/>
      <c r="I107" s="2"/>
    </row>
    <row r="108" spans="2:15">
      <c r="D108" s="3"/>
      <c r="E108" s="3"/>
      <c r="F108" s="3"/>
      <c r="G108" s="3"/>
      <c r="H108" s="3"/>
      <c r="I108" s="2"/>
      <c r="K108" s="2"/>
      <c r="L108" s="2"/>
      <c r="M108" s="2"/>
      <c r="N108" s="2"/>
      <c r="O108" s="2"/>
    </row>
    <row r="109" spans="2:15">
      <c r="C109" s="19"/>
      <c r="D109" s="87"/>
      <c r="E109" s="2"/>
      <c r="F109" s="2"/>
      <c r="G109" s="2"/>
      <c r="H109" s="2"/>
      <c r="I109" s="2"/>
      <c r="J109" s="2"/>
      <c r="K109" s="2"/>
      <c r="L109" s="2"/>
      <c r="M109" s="2"/>
    </row>
    <row r="110" spans="2:15">
      <c r="D110" s="2"/>
      <c r="E110" s="2"/>
    </row>
    <row r="111" spans="2:15" ht="14.25">
      <c r="D111" s="3"/>
      <c r="E111" s="3"/>
      <c r="F111" s="3"/>
      <c r="I111" s="88"/>
      <c r="J111" s="2"/>
      <c r="O111" s="88"/>
    </row>
    <row r="112" spans="2:15">
      <c r="D112" s="87"/>
    </row>
    <row r="113" spans="2:12">
      <c r="B113" s="17"/>
      <c r="C113" s="17"/>
      <c r="D113" s="17"/>
      <c r="E113" s="17"/>
      <c r="F113" s="17"/>
      <c r="G113" s="17"/>
      <c r="H113" s="17"/>
      <c r="I113" s="17"/>
      <c r="J113" s="17"/>
      <c r="K113" s="17"/>
      <c r="L113" s="17"/>
    </row>
  </sheetData>
  <mergeCells count="5">
    <mergeCell ref="A1:O1"/>
    <mergeCell ref="B35:L35"/>
    <mergeCell ref="B36:L36"/>
    <mergeCell ref="B55:L55"/>
    <mergeCell ref="B64:D64"/>
  </mergeCells>
  <pageMargins left="0.75" right="0.75" top="1" bottom="1" header="0.5" footer="0.5"/>
  <pageSetup paperSize="9" scale="86" firstPageNumber="19" fitToHeight="28" orientation="landscape" horizontalDpi="300" verticalDpi="300" r:id="rId1"/>
  <headerFooter>
    <oddFooter>&amp;L&amp;P/{&amp;N}&amp;C&amp;F&amp;R&amp;A</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0"/>
  <sheetViews>
    <sheetView workbookViewId="0">
      <selection sqref="A1:IV65536"/>
    </sheetView>
  </sheetViews>
  <sheetFormatPr defaultRowHeight="12.75"/>
  <cols>
    <col min="1" max="1" width="6.7109375" customWidth="1"/>
    <col min="2" max="2" width="34.42578125" customWidth="1"/>
    <col min="3" max="3" width="15.5703125" bestFit="1" customWidth="1"/>
    <col min="4" max="4" width="11.85546875" bestFit="1" customWidth="1"/>
    <col min="5" max="5" width="12.5703125" bestFit="1" customWidth="1"/>
    <col min="6" max="6" width="8.28515625" customWidth="1"/>
    <col min="7" max="7" width="7" bestFit="1" customWidth="1"/>
    <col min="8" max="8" width="9.42578125" customWidth="1"/>
    <col min="9" max="9" width="5" bestFit="1" customWidth="1"/>
    <col min="10" max="10" width="6.5703125" bestFit="1" customWidth="1"/>
    <col min="11" max="11" width="2.5703125" bestFit="1" customWidth="1"/>
    <col min="12" max="12" width="7.5703125" bestFit="1" customWidth="1"/>
    <col min="13" max="13" width="2.85546875" bestFit="1" customWidth="1"/>
    <col min="14" max="14" width="7.5703125" bestFit="1" customWidth="1"/>
    <col min="15" max="15" width="11.85546875" customWidth="1"/>
  </cols>
  <sheetData>
    <row r="1" spans="1:16">
      <c r="A1" s="724" t="s">
        <v>1331</v>
      </c>
      <c r="B1" s="724"/>
      <c r="C1" s="724"/>
      <c r="D1" s="724"/>
      <c r="E1" s="724"/>
      <c r="F1" s="724"/>
      <c r="G1" s="724"/>
      <c r="H1" s="724"/>
      <c r="I1" s="724"/>
      <c r="J1" s="724"/>
      <c r="K1" s="724"/>
      <c r="L1" s="724"/>
      <c r="M1" s="724"/>
      <c r="N1" s="724"/>
      <c r="O1" s="724"/>
    </row>
    <row r="2" spans="1:16">
      <c r="A2" s="1"/>
      <c r="B2" s="99" t="s">
        <v>1332</v>
      </c>
      <c r="C2" s="15">
        <v>1000</v>
      </c>
      <c r="D2" s="13" t="s">
        <v>12</v>
      </c>
      <c r="E2" s="43"/>
      <c r="F2" s="1"/>
    </row>
    <row r="3" spans="1:16">
      <c r="A3" s="1" t="s">
        <v>149</v>
      </c>
    </row>
    <row r="4" spans="1:16">
      <c r="B4" s="1" t="s">
        <v>91</v>
      </c>
    </row>
    <row r="5" spans="1:16">
      <c r="B5" s="2" t="s">
        <v>938</v>
      </c>
      <c r="C5" s="2" t="s">
        <v>2</v>
      </c>
      <c r="D5" s="42">
        <v>606.67700000000002</v>
      </c>
      <c r="E5" s="2" t="s">
        <v>10</v>
      </c>
      <c r="F5" s="2"/>
    </row>
    <row r="6" spans="1:16">
      <c r="B6" s="382" t="s">
        <v>1314</v>
      </c>
      <c r="C6" s="2"/>
      <c r="D6" s="2"/>
      <c r="E6" s="2"/>
      <c r="F6" s="2"/>
    </row>
    <row r="7" spans="1:16">
      <c r="B7" s="443" t="s">
        <v>1333</v>
      </c>
      <c r="C7" s="2"/>
      <c r="D7" s="578"/>
      <c r="E7" s="2">
        <v>1311.6490000000001</v>
      </c>
      <c r="F7" s="2" t="s">
        <v>5</v>
      </c>
    </row>
    <row r="8" spans="1:16" s="38" customFormat="1">
      <c r="A8" s="11"/>
      <c r="B8" s="50"/>
      <c r="C8" s="16"/>
      <c r="D8" s="42"/>
      <c r="E8" s="63"/>
      <c r="F8" s="579" t="s">
        <v>1317</v>
      </c>
      <c r="G8" s="63"/>
      <c r="P8" s="228"/>
    </row>
    <row r="9" spans="1:16" s="38" customFormat="1">
      <c r="A9" s="11"/>
      <c r="B9" s="50"/>
      <c r="C9" s="16"/>
      <c r="D9" s="42"/>
      <c r="E9" s="63"/>
      <c r="F9" s="579"/>
      <c r="G9" s="63"/>
      <c r="P9" s="228"/>
    </row>
    <row r="10" spans="1:16" s="2" customFormat="1">
      <c r="A10" s="3"/>
      <c r="B10" s="49" t="s">
        <v>1319</v>
      </c>
      <c r="C10" s="16" t="s">
        <v>2</v>
      </c>
      <c r="D10" s="42">
        <v>1311.6490000000001</v>
      </c>
      <c r="E10" s="63" t="s">
        <v>7</v>
      </c>
      <c r="F10" s="42">
        <v>0</v>
      </c>
      <c r="G10" s="63" t="s">
        <v>2</v>
      </c>
      <c r="H10" s="38">
        <v>1311.6490000000001</v>
      </c>
      <c r="I10" s="38" t="s">
        <v>5</v>
      </c>
      <c r="K10" s="9"/>
      <c r="L10" s="5"/>
      <c r="M10" s="9"/>
      <c r="O10" s="9"/>
      <c r="P10" s="8"/>
    </row>
    <row r="11" spans="1:16">
      <c r="B11" t="s">
        <v>1320</v>
      </c>
      <c r="D11" t="s">
        <v>467</v>
      </c>
    </row>
    <row r="12" spans="1:16">
      <c r="B12" t="s">
        <v>1321</v>
      </c>
      <c r="F12">
        <v>415</v>
      </c>
      <c r="G12" t="s">
        <v>252</v>
      </c>
    </row>
    <row r="13" spans="1:16">
      <c r="B13" t="s">
        <v>1322</v>
      </c>
    </row>
    <row r="14" spans="1:16">
      <c r="B14" t="s">
        <v>1323</v>
      </c>
      <c r="D14">
        <v>190</v>
      </c>
    </row>
    <row r="15" spans="1:16">
      <c r="B15" s="18" t="s">
        <v>1324</v>
      </c>
    </row>
    <row r="16" spans="1:16" ht="25.5">
      <c r="B16" s="18" t="s">
        <v>251</v>
      </c>
      <c r="D16" t="s">
        <v>253</v>
      </c>
      <c r="E16" s="2" t="s">
        <v>2</v>
      </c>
      <c r="F16">
        <v>30</v>
      </c>
      <c r="G16" t="s">
        <v>252</v>
      </c>
    </row>
    <row r="17" spans="2:13" ht="25.5">
      <c r="B17" s="18" t="s">
        <v>1325</v>
      </c>
      <c r="D17" t="s">
        <v>1326</v>
      </c>
      <c r="E17" s="2" t="s">
        <v>2</v>
      </c>
      <c r="F17">
        <v>8</v>
      </c>
      <c r="G17" t="s">
        <v>252</v>
      </c>
    </row>
    <row r="18" spans="2:13" ht="25.5">
      <c r="B18" s="18" t="s">
        <v>1327</v>
      </c>
      <c r="D18" t="s">
        <v>1328</v>
      </c>
      <c r="E18" s="2" t="s">
        <v>2</v>
      </c>
      <c r="F18">
        <v>8</v>
      </c>
      <c r="G18" t="s">
        <v>252</v>
      </c>
    </row>
    <row r="19" spans="2:13">
      <c r="D19" t="s">
        <v>1329</v>
      </c>
      <c r="E19" s="2" t="s">
        <v>2</v>
      </c>
      <c r="F19">
        <v>3.6</v>
      </c>
      <c r="G19" t="s">
        <v>252</v>
      </c>
    </row>
    <row r="20" spans="2:13" ht="15.75">
      <c r="B20" t="s">
        <v>246</v>
      </c>
      <c r="C20" s="19" t="s">
        <v>2</v>
      </c>
      <c r="D20">
        <v>1.5</v>
      </c>
      <c r="E20" s="16" t="s">
        <v>244</v>
      </c>
      <c r="F20" s="2">
        <v>606.67700000000002</v>
      </c>
      <c r="G20" s="19" t="s">
        <v>2</v>
      </c>
      <c r="H20">
        <v>910.01549999999997</v>
      </c>
      <c r="I20" t="s">
        <v>10</v>
      </c>
    </row>
    <row r="21" spans="2:13" ht="15.75">
      <c r="B21" t="s">
        <v>249</v>
      </c>
      <c r="C21" s="19" t="s">
        <v>2</v>
      </c>
      <c r="D21">
        <v>1.5</v>
      </c>
      <c r="E21" s="16" t="s">
        <v>244</v>
      </c>
      <c r="F21" s="2">
        <v>1311.6490000000001</v>
      </c>
      <c r="G21" s="19" t="s">
        <v>2</v>
      </c>
      <c r="H21">
        <v>1967.4735000000001</v>
      </c>
      <c r="I21" t="s">
        <v>5</v>
      </c>
    </row>
    <row r="22" spans="2:13">
      <c r="B22" t="s">
        <v>169</v>
      </c>
      <c r="F22">
        <v>33.33</v>
      </c>
      <c r="G22" t="s">
        <v>27</v>
      </c>
    </row>
    <row r="23" spans="2:13">
      <c r="B23" t="s">
        <v>170</v>
      </c>
    </row>
    <row r="24" spans="2:13">
      <c r="C24" s="580">
        <v>1000</v>
      </c>
      <c r="D24" s="442" t="s">
        <v>150</v>
      </c>
      <c r="E24" s="580">
        <v>1000</v>
      </c>
      <c r="F24" t="s">
        <v>1</v>
      </c>
    </row>
    <row r="25" spans="2:13">
      <c r="C25" s="85" t="s">
        <v>151</v>
      </c>
      <c r="D25">
        <v>75</v>
      </c>
    </row>
    <row r="26" spans="2:13" ht="14.25">
      <c r="B26" t="s">
        <v>152</v>
      </c>
      <c r="C26" s="19" t="s">
        <v>2</v>
      </c>
      <c r="D26">
        <v>81</v>
      </c>
      <c r="E26" s="19" t="s">
        <v>8</v>
      </c>
      <c r="F26">
        <v>1000</v>
      </c>
      <c r="G26" s="19" t="s">
        <v>2</v>
      </c>
      <c r="H26" s="86">
        <v>8.1000000000000003E-2</v>
      </c>
    </row>
    <row r="27" spans="2:13" ht="15.75">
      <c r="B27" t="s">
        <v>245</v>
      </c>
      <c r="C27" s="19" t="s">
        <v>2</v>
      </c>
      <c r="D27" s="2">
        <v>910.01549999999997</v>
      </c>
      <c r="E27" s="19" t="s">
        <v>3</v>
      </c>
      <c r="F27">
        <v>1000</v>
      </c>
      <c r="G27" s="19" t="s">
        <v>153</v>
      </c>
      <c r="H27">
        <v>30</v>
      </c>
      <c r="I27" t="s">
        <v>3</v>
      </c>
      <c r="J27">
        <v>1000</v>
      </c>
      <c r="K27" s="19" t="s">
        <v>154</v>
      </c>
      <c r="L27">
        <v>1000</v>
      </c>
      <c r="M27" s="19" t="s">
        <v>15</v>
      </c>
    </row>
    <row r="28" spans="2:13">
      <c r="C28" s="19" t="s">
        <v>2</v>
      </c>
      <c r="D28" s="87">
        <v>3.0333849999999999E-2</v>
      </c>
    </row>
    <row r="29" spans="2:13">
      <c r="B29" t="s">
        <v>155</v>
      </c>
    </row>
    <row r="30" spans="2:13" ht="15.75">
      <c r="B30" t="s">
        <v>247</v>
      </c>
      <c r="C30" s="19" t="s">
        <v>2</v>
      </c>
      <c r="D30" s="2">
        <v>1967.4735000000001</v>
      </c>
      <c r="E30" t="s">
        <v>3</v>
      </c>
      <c r="F30">
        <v>1000000</v>
      </c>
      <c r="G30" t="s">
        <v>153</v>
      </c>
      <c r="H30">
        <v>30</v>
      </c>
      <c r="I30" t="s">
        <v>3</v>
      </c>
      <c r="J30">
        <v>1000</v>
      </c>
      <c r="K30" s="19" t="s">
        <v>154</v>
      </c>
      <c r="L30">
        <v>1000</v>
      </c>
      <c r="M30" s="88" t="s">
        <v>156</v>
      </c>
    </row>
    <row r="31" spans="2:13">
      <c r="C31" s="19" t="s">
        <v>2</v>
      </c>
      <c r="D31" s="87">
        <v>6.558245E-2</v>
      </c>
    </row>
    <row r="32" spans="2:13" s="17" customFormat="1" ht="31.5" customHeight="1">
      <c r="B32" s="727" t="s">
        <v>248</v>
      </c>
      <c r="C32" s="727"/>
      <c r="D32" s="727"/>
      <c r="E32" s="727"/>
      <c r="F32" s="727"/>
      <c r="G32" s="727"/>
      <c r="H32" s="727"/>
      <c r="I32" s="727"/>
      <c r="J32" s="727"/>
      <c r="K32" s="727"/>
      <c r="L32" s="727"/>
    </row>
    <row r="33" spans="2:12" ht="12.75" customHeight="1">
      <c r="B33" s="726" t="s">
        <v>168</v>
      </c>
      <c r="C33" s="726"/>
      <c r="D33" s="726"/>
      <c r="E33" s="726"/>
      <c r="F33" s="726"/>
      <c r="G33" s="726"/>
      <c r="H33" s="726"/>
      <c r="I33" s="726"/>
      <c r="J33" s="726"/>
      <c r="K33" s="726"/>
      <c r="L33" s="726"/>
    </row>
    <row r="34" spans="2:12">
      <c r="B34" t="s">
        <v>157</v>
      </c>
    </row>
    <row r="36" spans="2:12">
      <c r="B36" t="s">
        <v>158</v>
      </c>
      <c r="D36" s="2">
        <v>910.01549999999997</v>
      </c>
      <c r="E36" s="2" t="s">
        <v>3</v>
      </c>
      <c r="F36" s="3">
        <v>1000</v>
      </c>
      <c r="G36" s="19" t="s">
        <v>8</v>
      </c>
      <c r="H36">
        <v>8</v>
      </c>
    </row>
    <row r="37" spans="2:12" ht="14.25">
      <c r="C37" s="19" t="s">
        <v>2</v>
      </c>
      <c r="D37" s="3">
        <v>113751.9375</v>
      </c>
      <c r="E37" s="17" t="s">
        <v>9</v>
      </c>
    </row>
    <row r="38" spans="2:12">
      <c r="B38" t="s">
        <v>159</v>
      </c>
      <c r="C38">
        <v>0.8</v>
      </c>
      <c r="D38" s="19" t="s">
        <v>3</v>
      </c>
      <c r="E38" s="3">
        <v>113751.9375</v>
      </c>
      <c r="F38" s="19" t="s">
        <v>8</v>
      </c>
      <c r="G38">
        <v>100</v>
      </c>
    </row>
    <row r="39" spans="2:12" ht="14.25">
      <c r="C39" s="19" t="s">
        <v>2</v>
      </c>
      <c r="D39" s="84">
        <v>910.01549999999997</v>
      </c>
      <c r="E39" s="89" t="s">
        <v>160</v>
      </c>
    </row>
    <row r="41" spans="2:12">
      <c r="B41" t="s">
        <v>161</v>
      </c>
    </row>
    <row r="42" spans="2:12">
      <c r="B42" t="s">
        <v>162</v>
      </c>
      <c r="C42">
        <v>0.3</v>
      </c>
      <c r="D42" s="19" t="s">
        <v>3</v>
      </c>
      <c r="E42">
        <v>1000</v>
      </c>
      <c r="F42" s="19" t="s">
        <v>154</v>
      </c>
      <c r="G42">
        <v>1000</v>
      </c>
      <c r="H42" s="19" t="s">
        <v>8</v>
      </c>
      <c r="I42">
        <v>100</v>
      </c>
    </row>
    <row r="43" spans="2:12" ht="14.25">
      <c r="C43" s="19" t="s">
        <v>2</v>
      </c>
      <c r="D43" s="84">
        <v>3000</v>
      </c>
      <c r="E43" s="89" t="s">
        <v>160</v>
      </c>
    </row>
    <row r="44" spans="2:12" ht="14.25">
      <c r="B44" t="s">
        <v>163</v>
      </c>
      <c r="C44" s="19" t="s">
        <v>2</v>
      </c>
      <c r="D44" s="11">
        <v>3000</v>
      </c>
      <c r="E44" s="89" t="s">
        <v>160</v>
      </c>
    </row>
    <row r="45" spans="2:12">
      <c r="B45" t="s">
        <v>164</v>
      </c>
      <c r="C45">
        <v>12</v>
      </c>
      <c r="D45" t="s">
        <v>165</v>
      </c>
      <c r="E45" s="19" t="s">
        <v>2</v>
      </c>
      <c r="F45" s="3">
        <v>26.539278131634816</v>
      </c>
      <c r="G45" t="s">
        <v>171</v>
      </c>
    </row>
    <row r="46" spans="2:12">
      <c r="B46" t="s">
        <v>166</v>
      </c>
      <c r="C46" s="19" t="s">
        <v>2</v>
      </c>
      <c r="D46" s="224">
        <v>150</v>
      </c>
      <c r="E46" t="s">
        <v>12</v>
      </c>
    </row>
    <row r="47" spans="2:12">
      <c r="B47" t="s">
        <v>167</v>
      </c>
    </row>
    <row r="49" spans="1:21" ht="15.75">
      <c r="B49" t="s">
        <v>247</v>
      </c>
      <c r="C49" s="19" t="s">
        <v>2</v>
      </c>
      <c r="D49" s="2">
        <v>1967.4735000000001</v>
      </c>
      <c r="E49" t="s">
        <v>3</v>
      </c>
      <c r="F49">
        <v>1000000</v>
      </c>
      <c r="G49" t="s">
        <v>153</v>
      </c>
      <c r="H49">
        <v>30</v>
      </c>
      <c r="I49" t="s">
        <v>3</v>
      </c>
    </row>
    <row r="50" spans="1:21" ht="14.25">
      <c r="C50" s="19"/>
      <c r="D50" s="2"/>
      <c r="E50">
        <v>1000</v>
      </c>
      <c r="F50" s="19" t="s">
        <v>154</v>
      </c>
      <c r="G50">
        <v>1000</v>
      </c>
      <c r="H50" s="88" t="s">
        <v>156</v>
      </c>
      <c r="M50" s="88"/>
    </row>
    <row r="51" spans="1:21">
      <c r="C51" s="19" t="s">
        <v>2</v>
      </c>
      <c r="D51" s="87">
        <v>6.558245E-2</v>
      </c>
    </row>
    <row r="52" spans="1:21" ht="29.25" customHeight="1">
      <c r="B52" s="727" t="s">
        <v>248</v>
      </c>
      <c r="C52" s="727"/>
      <c r="D52" s="727"/>
      <c r="E52" s="727"/>
      <c r="F52" s="727"/>
      <c r="G52" s="727"/>
      <c r="H52" s="727"/>
      <c r="I52" s="727"/>
      <c r="J52" s="727"/>
      <c r="K52" s="727"/>
      <c r="L52" s="727"/>
      <c r="M52" s="17"/>
      <c r="N52" s="17"/>
      <c r="O52" s="17"/>
    </row>
    <row r="53" spans="1:21">
      <c r="B53" s="1" t="s">
        <v>172</v>
      </c>
    </row>
    <row r="54" spans="1:21">
      <c r="B54" s="20" t="s">
        <v>208</v>
      </c>
      <c r="C54" s="115"/>
      <c r="D54" s="3"/>
      <c r="E54" s="116"/>
      <c r="F54" s="117"/>
      <c r="G54" s="118"/>
      <c r="H54" s="109"/>
      <c r="I54" s="109"/>
    </row>
    <row r="55" spans="1:21">
      <c r="B55" s="20"/>
      <c r="C55" s="119">
        <v>1311.6490000000001</v>
      </c>
      <c r="D55" s="120" t="s">
        <v>8</v>
      </c>
      <c r="E55" s="60">
        <v>4.4980000000000047</v>
      </c>
      <c r="F55" s="117" t="s">
        <v>2</v>
      </c>
      <c r="G55" s="118">
        <v>291.60715873721625</v>
      </c>
      <c r="H55" s="109" t="s">
        <v>10</v>
      </c>
      <c r="I55" s="109"/>
    </row>
    <row r="56" spans="1:21">
      <c r="A56" s="121" t="s">
        <v>209</v>
      </c>
      <c r="B56" s="570"/>
      <c r="C56" s="570"/>
      <c r="D56" s="382"/>
      <c r="E56" s="581"/>
      <c r="F56" s="382"/>
      <c r="G56" s="581"/>
      <c r="H56" s="382"/>
      <c r="I56" s="581"/>
      <c r="J56" s="429"/>
      <c r="K56" s="581"/>
      <c r="L56" s="382"/>
      <c r="M56" s="429"/>
      <c r="N56" s="429"/>
      <c r="O56" s="429"/>
      <c r="P56" s="429"/>
      <c r="Q56" s="429"/>
      <c r="R56" s="429"/>
      <c r="S56" s="429"/>
      <c r="T56" s="429"/>
      <c r="U56" s="429"/>
    </row>
    <row r="57" spans="1:21" s="17" customFormat="1">
      <c r="A57" s="570"/>
      <c r="B57" s="582" t="s">
        <v>210</v>
      </c>
      <c r="C57" s="583">
        <v>291.60715873721625</v>
      </c>
      <c r="D57" s="578" t="s">
        <v>3</v>
      </c>
      <c r="E57" s="581">
        <v>1000</v>
      </c>
      <c r="F57" s="578" t="s">
        <v>153</v>
      </c>
      <c r="G57" s="581">
        <v>1000</v>
      </c>
      <c r="H57" s="578" t="s">
        <v>3</v>
      </c>
      <c r="I57" s="581">
        <v>1000</v>
      </c>
      <c r="J57" s="435" t="s">
        <v>15</v>
      </c>
      <c r="K57" s="581"/>
      <c r="L57" s="382"/>
      <c r="M57" s="429"/>
      <c r="N57" s="429"/>
      <c r="O57" s="429"/>
      <c r="P57" s="429"/>
      <c r="Q57" s="429"/>
      <c r="R57" s="429"/>
      <c r="S57" s="429"/>
      <c r="T57" s="429"/>
      <c r="U57" s="429"/>
    </row>
    <row r="58" spans="1:21" ht="14.25">
      <c r="A58" s="429"/>
      <c r="B58" s="570"/>
      <c r="C58" s="584" t="s">
        <v>2</v>
      </c>
      <c r="D58" s="382">
        <v>0.29160715873721627</v>
      </c>
      <c r="E58" s="429" t="s">
        <v>211</v>
      </c>
      <c r="F58" s="382"/>
      <c r="G58" s="581"/>
      <c r="H58" s="382"/>
      <c r="I58" s="581"/>
      <c r="J58" s="429"/>
      <c r="K58" s="581"/>
      <c r="L58" s="382"/>
      <c r="M58" s="429"/>
      <c r="N58" s="429"/>
      <c r="O58" s="429"/>
      <c r="P58" s="429"/>
      <c r="Q58" s="429"/>
      <c r="R58" s="429"/>
      <c r="S58" s="429"/>
      <c r="T58" s="429"/>
      <c r="U58" s="429"/>
    </row>
    <row r="59" spans="1:21">
      <c r="A59" s="429"/>
      <c r="B59" s="431" t="s">
        <v>212</v>
      </c>
      <c r="C59" s="382">
        <v>0.3</v>
      </c>
      <c r="D59" s="89"/>
      <c r="E59" s="585"/>
      <c r="F59" s="581"/>
      <c r="G59" s="429"/>
      <c r="H59" s="429"/>
      <c r="I59" s="429"/>
      <c r="J59" s="382"/>
      <c r="K59" s="429"/>
      <c r="L59" s="429"/>
      <c r="M59" s="429"/>
      <c r="N59" s="429"/>
      <c r="O59" s="429"/>
      <c r="P59" s="429"/>
      <c r="Q59" s="429"/>
      <c r="R59" s="429"/>
      <c r="S59" s="429"/>
      <c r="T59" s="429"/>
      <c r="U59" s="429"/>
    </row>
    <row r="60" spans="1:21" ht="14.25">
      <c r="A60" s="429"/>
      <c r="B60" s="581" t="s">
        <v>213</v>
      </c>
      <c r="C60" s="382">
        <v>0.4</v>
      </c>
      <c r="D60" s="429" t="s">
        <v>211</v>
      </c>
      <c r="E60" s="439" t="s">
        <v>214</v>
      </c>
      <c r="F60" s="439"/>
      <c r="G60" s="429"/>
      <c r="H60" s="429"/>
      <c r="I60" s="429"/>
      <c r="J60" s="382"/>
      <c r="K60" s="429"/>
      <c r="L60" s="429"/>
      <c r="M60" s="429"/>
      <c r="N60" s="429"/>
      <c r="O60" s="429"/>
      <c r="P60" s="429"/>
      <c r="Q60" s="429"/>
      <c r="R60" s="429"/>
      <c r="S60" s="429"/>
      <c r="T60" s="429"/>
      <c r="U60" s="429"/>
    </row>
    <row r="61" spans="1:21">
      <c r="A61" s="570"/>
      <c r="B61" s="725" t="s">
        <v>215</v>
      </c>
      <c r="C61" s="725"/>
      <c r="D61" s="725"/>
      <c r="E61" s="586"/>
      <c r="F61" s="83"/>
      <c r="G61" s="429"/>
      <c r="H61" s="429"/>
      <c r="I61" s="429"/>
      <c r="J61" s="382"/>
      <c r="K61" s="429"/>
      <c r="L61" s="429"/>
      <c r="M61" s="429"/>
      <c r="N61" s="429"/>
      <c r="O61" s="429"/>
      <c r="P61" s="429"/>
      <c r="Q61" s="429"/>
      <c r="R61" s="429"/>
      <c r="S61" s="429"/>
      <c r="T61" s="429"/>
      <c r="U61" s="429"/>
    </row>
    <row r="62" spans="1:21">
      <c r="B62" t="s">
        <v>173</v>
      </c>
    </row>
    <row r="63" spans="1:21" ht="14.25">
      <c r="B63" t="s">
        <v>174</v>
      </c>
      <c r="C63" s="19" t="s">
        <v>2</v>
      </c>
      <c r="D63" s="3">
        <v>12</v>
      </c>
      <c r="E63" s="19" t="s">
        <v>8</v>
      </c>
      <c r="F63">
        <v>4</v>
      </c>
      <c r="G63" s="19" t="s">
        <v>2</v>
      </c>
      <c r="H63">
        <v>3</v>
      </c>
      <c r="I63" t="s">
        <v>1</v>
      </c>
      <c r="M63" s="88"/>
    </row>
    <row r="64" spans="1:21">
      <c r="B64" s="7" t="s">
        <v>175</v>
      </c>
      <c r="C64" s="19">
        <v>12</v>
      </c>
      <c r="D64" s="87" t="s">
        <v>176</v>
      </c>
    </row>
    <row r="65" spans="1:21">
      <c r="A65" s="17"/>
      <c r="B65" s="17" t="s">
        <v>177</v>
      </c>
      <c r="C65" s="17"/>
      <c r="D65" s="17"/>
      <c r="E65" s="17"/>
      <c r="F65" s="17"/>
      <c r="G65" s="17"/>
      <c r="H65" s="17"/>
      <c r="I65" s="17"/>
      <c r="J65" s="17"/>
      <c r="K65" s="17"/>
      <c r="L65" s="17"/>
      <c r="M65" s="17"/>
      <c r="N65" s="17"/>
      <c r="O65" s="17"/>
      <c r="P65" s="17"/>
      <c r="Q65" s="17"/>
      <c r="R65" s="17"/>
      <c r="S65" s="17"/>
      <c r="T65" s="17"/>
      <c r="U65" s="17"/>
    </row>
    <row r="66" spans="1:21">
      <c r="B66" s="20" t="s">
        <v>178</v>
      </c>
      <c r="C66">
        <v>1000</v>
      </c>
      <c r="D66" s="17" t="s">
        <v>1</v>
      </c>
      <c r="E66" s="17"/>
      <c r="F66" s="17"/>
      <c r="G66" s="17"/>
      <c r="H66" s="17"/>
      <c r="I66" s="17"/>
      <c r="J66" s="17"/>
      <c r="K66" s="17"/>
      <c r="L66" s="17"/>
    </row>
    <row r="67" spans="1:21">
      <c r="B67" s="6" t="s">
        <v>179</v>
      </c>
      <c r="C67">
        <v>12</v>
      </c>
      <c r="D67" s="16" t="s">
        <v>3</v>
      </c>
      <c r="E67" s="3">
        <v>12</v>
      </c>
      <c r="F67" s="16" t="s">
        <v>2</v>
      </c>
      <c r="G67" s="3">
        <v>144</v>
      </c>
      <c r="H67" s="3" t="s">
        <v>1</v>
      </c>
      <c r="I67" s="3"/>
      <c r="J67" s="3"/>
      <c r="K67" s="3"/>
      <c r="L67" s="3"/>
      <c r="M67" s="3"/>
      <c r="N67" s="3"/>
      <c r="O67" s="2"/>
    </row>
    <row r="68" spans="1:21">
      <c r="B68" s="6" t="s">
        <v>180</v>
      </c>
      <c r="C68" s="19">
        <v>300</v>
      </c>
      <c r="D68" s="87" t="s">
        <v>1</v>
      </c>
      <c r="E68" s="2"/>
      <c r="F68" s="2"/>
      <c r="G68" s="2"/>
      <c r="H68" s="2"/>
      <c r="I68" s="2"/>
      <c r="J68" s="2"/>
      <c r="K68" s="2"/>
      <c r="L68" s="2"/>
      <c r="M68" s="2"/>
    </row>
    <row r="69" spans="1:21">
      <c r="B69" s="135" t="s">
        <v>216</v>
      </c>
      <c r="C69" s="135" t="s">
        <v>217</v>
      </c>
      <c r="D69" s="3">
        <v>100</v>
      </c>
      <c r="E69" s="2" t="s">
        <v>1</v>
      </c>
      <c r="F69" s="2"/>
      <c r="G69" s="2"/>
      <c r="H69" s="2"/>
      <c r="I69" s="2"/>
      <c r="J69" s="2"/>
      <c r="K69" s="2"/>
      <c r="L69" s="2"/>
      <c r="M69" s="2"/>
    </row>
    <row r="70" spans="1:21" ht="14.25">
      <c r="B70" s="7" t="s">
        <v>175</v>
      </c>
      <c r="C70">
        <v>12</v>
      </c>
      <c r="D70" s="87" t="s">
        <v>183</v>
      </c>
      <c r="E70" s="2"/>
      <c r="F70" s="3">
        <v>100</v>
      </c>
      <c r="G70" t="s">
        <v>181</v>
      </c>
      <c r="J70" s="3"/>
      <c r="K70" s="3"/>
      <c r="L70" s="3"/>
      <c r="M70" s="3"/>
      <c r="N70" s="3"/>
      <c r="O70" s="88"/>
    </row>
    <row r="71" spans="1:21">
      <c r="A71" s="585"/>
      <c r="B71" s="136" t="s">
        <v>218</v>
      </c>
      <c r="C71" s="382"/>
      <c r="D71" s="382"/>
      <c r="E71" s="382"/>
      <c r="F71" s="382"/>
      <c r="G71" s="382"/>
      <c r="H71" s="11"/>
      <c r="I71" s="382"/>
      <c r="J71" s="382"/>
      <c r="K71" s="382"/>
      <c r="L71" s="382"/>
      <c r="M71" s="382"/>
      <c r="N71" s="382"/>
      <c r="O71" s="382"/>
      <c r="P71" s="382"/>
      <c r="Q71" s="382"/>
      <c r="R71" s="382"/>
      <c r="S71" s="382"/>
      <c r="T71" s="382"/>
      <c r="U71" s="382"/>
    </row>
    <row r="72" spans="1:21">
      <c r="A72" s="585"/>
      <c r="B72" s="138" t="s">
        <v>235</v>
      </c>
      <c r="C72" s="382"/>
      <c r="D72" s="382"/>
      <c r="E72" s="382"/>
      <c r="F72" s="382"/>
      <c r="G72" s="382"/>
      <c r="H72" s="11"/>
      <c r="I72" s="382"/>
      <c r="J72" s="382"/>
      <c r="K72" s="382"/>
      <c r="L72" s="382"/>
      <c r="M72" s="382"/>
      <c r="N72" s="382"/>
      <c r="O72" s="382"/>
      <c r="P72" s="382"/>
      <c r="Q72" s="382"/>
      <c r="R72" s="382"/>
      <c r="S72" s="382"/>
      <c r="T72" s="382"/>
      <c r="U72" s="382"/>
    </row>
    <row r="73" spans="1:21">
      <c r="A73" s="585"/>
      <c r="B73" s="139" t="s">
        <v>220</v>
      </c>
      <c r="C73" s="382"/>
      <c r="D73" s="139" t="s">
        <v>221</v>
      </c>
      <c r="E73" s="382"/>
      <c r="F73" s="382"/>
      <c r="G73" s="382"/>
      <c r="H73" s="11"/>
      <c r="I73" s="382"/>
      <c r="J73" s="382"/>
      <c r="K73" s="382"/>
      <c r="L73" s="382"/>
      <c r="M73" s="382"/>
      <c r="N73" s="382"/>
      <c r="O73" s="382"/>
      <c r="P73" s="382"/>
      <c r="Q73" s="382"/>
      <c r="R73" s="382"/>
      <c r="S73" s="382"/>
      <c r="T73" s="382"/>
      <c r="U73" s="382"/>
    </row>
    <row r="74" spans="1:21">
      <c r="A74" s="585"/>
      <c r="B74" s="382"/>
      <c r="C74" s="382" t="s">
        <v>222</v>
      </c>
      <c r="D74" s="382"/>
      <c r="E74" s="382"/>
      <c r="F74" s="382"/>
      <c r="G74" s="382"/>
      <c r="H74" s="11"/>
      <c r="I74" s="382"/>
      <c r="J74" s="382"/>
      <c r="K74" s="382"/>
      <c r="L74" s="382"/>
      <c r="M74" s="382"/>
      <c r="N74" s="382"/>
      <c r="O74" s="382"/>
      <c r="P74" s="382"/>
      <c r="Q74" s="382"/>
      <c r="R74" s="382"/>
      <c r="S74" s="382"/>
      <c r="T74" s="382"/>
      <c r="U74" s="382"/>
    </row>
    <row r="75" spans="1:21">
      <c r="A75" s="585"/>
      <c r="B75" s="587" t="s">
        <v>223</v>
      </c>
      <c r="C75" s="588" t="s">
        <v>2</v>
      </c>
      <c r="D75" s="52">
        <v>100</v>
      </c>
      <c r="E75" s="382" t="s">
        <v>1</v>
      </c>
      <c r="F75" s="382"/>
      <c r="G75" s="382"/>
      <c r="H75" s="11"/>
      <c r="I75" s="382"/>
      <c r="J75" s="382"/>
      <c r="K75" s="382"/>
      <c r="L75" s="382"/>
      <c r="M75" s="382"/>
      <c r="N75" s="382"/>
      <c r="O75" s="382"/>
      <c r="P75" s="382"/>
      <c r="Q75" s="382"/>
      <c r="R75" s="382"/>
      <c r="S75" s="382"/>
      <c r="T75" s="382"/>
      <c r="U75" s="382"/>
    </row>
    <row r="76" spans="1:21" ht="14.25">
      <c r="A76" s="585"/>
      <c r="B76" s="587" t="s">
        <v>224</v>
      </c>
      <c r="C76" s="588" t="s">
        <v>2</v>
      </c>
      <c r="D76" s="52">
        <v>300</v>
      </c>
      <c r="E76" s="382" t="s">
        <v>211</v>
      </c>
      <c r="F76" s="382" t="s">
        <v>225</v>
      </c>
      <c r="G76" s="382"/>
      <c r="H76" s="11"/>
      <c r="I76" s="382"/>
      <c r="J76" s="382"/>
      <c r="K76" s="382"/>
      <c r="L76" s="382"/>
      <c r="M76" s="382"/>
      <c r="N76" s="382"/>
      <c r="O76" s="382"/>
      <c r="P76" s="382"/>
      <c r="Q76" s="382"/>
      <c r="R76" s="382"/>
      <c r="S76" s="382"/>
      <c r="T76" s="382"/>
      <c r="U76" s="382"/>
    </row>
    <row r="77" spans="1:21" ht="14.25">
      <c r="A77" s="585"/>
      <c r="B77" s="587" t="s">
        <v>226</v>
      </c>
      <c r="C77" s="588" t="s">
        <v>2</v>
      </c>
      <c r="D77" s="52">
        <v>30</v>
      </c>
      <c r="E77" s="382" t="s">
        <v>211</v>
      </c>
      <c r="F77" s="382"/>
      <c r="G77" s="382"/>
      <c r="H77" s="11" t="s">
        <v>227</v>
      </c>
      <c r="I77" s="382"/>
      <c r="J77" s="382"/>
      <c r="K77" s="382"/>
      <c r="L77" s="382"/>
      <c r="M77" s="382"/>
      <c r="N77" s="382"/>
      <c r="O77" s="382"/>
      <c r="P77" s="382"/>
      <c r="Q77" s="382"/>
      <c r="R77" s="382"/>
      <c r="S77" s="382"/>
      <c r="T77" s="382"/>
      <c r="U77" s="382"/>
    </row>
    <row r="78" spans="1:21" ht="14.25">
      <c r="A78" s="585"/>
      <c r="B78" s="571" t="s">
        <v>228</v>
      </c>
      <c r="C78" s="588" t="s">
        <v>2</v>
      </c>
      <c r="D78" s="52">
        <v>415</v>
      </c>
      <c r="E78" s="382" t="s">
        <v>211</v>
      </c>
      <c r="F78" s="382"/>
      <c r="G78" s="382"/>
      <c r="H78" s="11"/>
      <c r="I78" s="382"/>
      <c r="J78" s="382"/>
      <c r="K78" s="382"/>
      <c r="L78" s="382"/>
      <c r="M78" s="382"/>
      <c r="N78" s="382"/>
      <c r="O78" s="382"/>
      <c r="P78" s="382"/>
      <c r="Q78" s="382"/>
      <c r="R78" s="382"/>
      <c r="S78" s="382"/>
      <c r="T78" s="382"/>
      <c r="U78" s="382"/>
    </row>
    <row r="79" spans="1:21" ht="14.25">
      <c r="A79" s="585"/>
      <c r="B79" s="587" t="s">
        <v>229</v>
      </c>
      <c r="C79" s="588" t="s">
        <v>2</v>
      </c>
      <c r="D79" s="52">
        <v>1000</v>
      </c>
      <c r="E79" s="589" t="s">
        <v>9</v>
      </c>
      <c r="F79" s="589" t="s">
        <v>230</v>
      </c>
      <c r="G79" s="382"/>
      <c r="H79" s="11"/>
      <c r="I79" s="382"/>
      <c r="J79" s="382"/>
      <c r="K79" s="382"/>
      <c r="L79" s="382"/>
      <c r="M79" s="382"/>
      <c r="N79" s="382"/>
      <c r="O79" s="382"/>
      <c r="P79" s="382"/>
      <c r="Q79" s="382"/>
      <c r="R79" s="382"/>
      <c r="S79" s="382"/>
      <c r="T79" s="382"/>
      <c r="U79" s="382"/>
    </row>
    <row r="80" spans="1:21" ht="14.25">
      <c r="A80" s="585"/>
      <c r="B80" s="587" t="s">
        <v>231</v>
      </c>
      <c r="C80" s="588" t="s">
        <v>2</v>
      </c>
      <c r="D80" s="52">
        <v>886</v>
      </c>
      <c r="E80" s="589" t="s">
        <v>9</v>
      </c>
      <c r="F80" s="589" t="s">
        <v>232</v>
      </c>
      <c r="G80" s="382"/>
      <c r="H80" s="11"/>
      <c r="I80" s="382"/>
      <c r="J80" s="382"/>
      <c r="K80" s="382"/>
      <c r="L80" s="382"/>
      <c r="M80" s="382"/>
      <c r="N80" s="382"/>
      <c r="O80" s="382"/>
      <c r="P80" s="382"/>
      <c r="Q80" s="382"/>
      <c r="R80" s="382"/>
      <c r="S80" s="382"/>
      <c r="T80" s="382"/>
      <c r="U80" s="382"/>
    </row>
    <row r="81" spans="1:21" ht="14.25">
      <c r="A81" s="585"/>
      <c r="B81" s="571" t="s">
        <v>233</v>
      </c>
      <c r="C81" s="588" t="s">
        <v>2</v>
      </c>
      <c r="D81" s="52">
        <v>50.227093475482093</v>
      </c>
      <c r="E81" s="589" t="s">
        <v>9</v>
      </c>
      <c r="F81" s="589"/>
      <c r="G81" s="382"/>
      <c r="H81" s="11"/>
      <c r="I81" s="382"/>
      <c r="J81" s="382"/>
      <c r="K81" s="382"/>
      <c r="L81" s="382"/>
      <c r="M81" s="382"/>
      <c r="N81" s="382"/>
      <c r="O81" s="382"/>
      <c r="P81" s="382"/>
      <c r="Q81" s="382"/>
      <c r="R81" s="382"/>
      <c r="S81" s="382"/>
      <c r="T81" s="382"/>
      <c r="U81" s="382"/>
    </row>
    <row r="82" spans="1:21" ht="14.25">
      <c r="A82" s="585"/>
      <c r="B82" s="571" t="s">
        <v>236</v>
      </c>
      <c r="C82" s="588" t="s">
        <v>2</v>
      </c>
      <c r="D82" s="52">
        <v>113.04</v>
      </c>
      <c r="E82" s="589" t="s">
        <v>9</v>
      </c>
      <c r="F82" s="52" t="s">
        <v>234</v>
      </c>
      <c r="G82" s="382"/>
      <c r="H82" s="11"/>
      <c r="I82" s="382"/>
      <c r="J82" s="382"/>
      <c r="K82" s="382"/>
      <c r="L82" s="382"/>
      <c r="M82" s="382"/>
      <c r="N82" s="382"/>
      <c r="O82" s="382"/>
      <c r="P82" s="382"/>
      <c r="Q82" s="382"/>
      <c r="R82" s="382"/>
      <c r="S82" s="382"/>
      <c r="T82" s="382"/>
      <c r="U82" s="382"/>
    </row>
    <row r="83" spans="1:21">
      <c r="B83" s="135" t="s">
        <v>216</v>
      </c>
      <c r="C83" s="135" t="s">
        <v>217</v>
      </c>
      <c r="D83" s="3">
        <v>100</v>
      </c>
      <c r="E83" s="2" t="s">
        <v>1</v>
      </c>
      <c r="F83" s="2"/>
      <c r="G83" s="2"/>
      <c r="H83" s="2"/>
      <c r="I83" s="2"/>
      <c r="J83" s="2"/>
      <c r="K83" s="2"/>
      <c r="L83" s="2"/>
      <c r="M83" s="2"/>
    </row>
    <row r="84" spans="1:21" ht="14.25">
      <c r="B84" s="7" t="s">
        <v>175</v>
      </c>
      <c r="C84">
        <v>12</v>
      </c>
      <c r="D84" s="87" t="s">
        <v>183</v>
      </c>
      <c r="E84" s="2"/>
      <c r="F84" s="3">
        <v>100</v>
      </c>
      <c r="G84" t="s">
        <v>181</v>
      </c>
      <c r="J84" s="3"/>
      <c r="K84" s="3"/>
      <c r="L84" s="3"/>
      <c r="M84" s="3"/>
      <c r="N84" s="3"/>
      <c r="O84" s="88"/>
    </row>
    <row r="85" spans="1:21">
      <c r="A85" s="585"/>
      <c r="B85" s="136" t="s">
        <v>218</v>
      </c>
      <c r="C85" s="382"/>
      <c r="D85" s="382"/>
      <c r="E85" s="382"/>
      <c r="F85" s="382"/>
      <c r="G85" s="382"/>
      <c r="H85" s="11"/>
      <c r="I85" s="382"/>
      <c r="J85" s="382"/>
      <c r="K85" s="382"/>
      <c r="L85" s="382"/>
      <c r="M85" s="382"/>
      <c r="N85" s="382"/>
      <c r="O85" s="382"/>
      <c r="P85" s="382"/>
      <c r="Q85" s="382"/>
      <c r="R85" s="382"/>
      <c r="S85" s="382"/>
      <c r="T85" s="382"/>
      <c r="U85" s="382"/>
    </row>
    <row r="86" spans="1:21">
      <c r="A86" s="585"/>
      <c r="B86" s="138" t="s">
        <v>219</v>
      </c>
      <c r="C86" s="382"/>
      <c r="D86" s="382"/>
      <c r="E86" s="382"/>
      <c r="F86" s="382"/>
      <c r="G86" s="382"/>
      <c r="H86" s="11"/>
      <c r="I86" s="382"/>
      <c r="J86" s="382"/>
      <c r="K86" s="382"/>
      <c r="L86" s="382"/>
      <c r="M86" s="382"/>
      <c r="N86" s="382"/>
      <c r="O86" s="382"/>
      <c r="P86" s="382"/>
      <c r="Q86" s="382"/>
      <c r="R86" s="382"/>
      <c r="S86" s="382"/>
      <c r="T86" s="382"/>
      <c r="U86" s="382"/>
    </row>
    <row r="87" spans="1:21">
      <c r="B87" s="1" t="s">
        <v>11</v>
      </c>
      <c r="J87" s="2"/>
    </row>
    <row r="88" spans="1:21">
      <c r="B88" s="1" t="s">
        <v>182</v>
      </c>
      <c r="C88" s="15">
        <v>12</v>
      </c>
      <c r="D88" s="145" t="s">
        <v>165</v>
      </c>
      <c r="E88" s="15">
        <v>150</v>
      </c>
      <c r="F88" s="15" t="s">
        <v>12</v>
      </c>
      <c r="G88" s="100"/>
      <c r="H88" s="203" t="s">
        <v>1334</v>
      </c>
      <c r="I88" s="1"/>
      <c r="J88" s="38"/>
    </row>
    <row r="89" spans="1:21">
      <c r="B89" s="1" t="s">
        <v>172</v>
      </c>
      <c r="C89" s="83" t="s">
        <v>1330</v>
      </c>
      <c r="D89" s="1"/>
      <c r="E89" s="14"/>
      <c r="F89" s="12"/>
      <c r="J89" s="2"/>
    </row>
    <row r="91" spans="1:21">
      <c r="D91" s="19"/>
      <c r="F91" s="19"/>
      <c r="H91" s="19"/>
    </row>
    <row r="92" spans="1:21">
      <c r="C92" s="19"/>
      <c r="D92" s="84"/>
      <c r="E92" s="89"/>
    </row>
    <row r="93" spans="1:21">
      <c r="C93" s="19"/>
      <c r="D93" s="11"/>
      <c r="E93" s="89"/>
    </row>
    <row r="95" spans="1:21">
      <c r="C95" s="19"/>
      <c r="D95" s="2"/>
    </row>
    <row r="96" spans="1:21">
      <c r="C96" s="19"/>
      <c r="D96" s="3"/>
    </row>
    <row r="99" spans="2:15">
      <c r="C99" s="19"/>
      <c r="D99" s="2"/>
    </row>
    <row r="100" spans="2:15" ht="14.25">
      <c r="C100" s="19"/>
      <c r="D100" s="2"/>
      <c r="H100" s="88"/>
      <c r="M100" s="88"/>
    </row>
    <row r="101" spans="2:15">
      <c r="C101" s="19"/>
      <c r="D101" s="87"/>
    </row>
    <row r="102" spans="2:15">
      <c r="B102" s="17"/>
      <c r="C102" s="17"/>
      <c r="D102" s="17"/>
      <c r="E102" s="17"/>
      <c r="F102" s="17"/>
      <c r="G102" s="17"/>
      <c r="H102" s="17"/>
      <c r="I102" s="17"/>
      <c r="J102" s="17"/>
      <c r="K102" s="17"/>
      <c r="L102" s="17"/>
      <c r="M102" s="17"/>
      <c r="N102" s="17"/>
      <c r="O102" s="17"/>
    </row>
    <row r="103" spans="2:15">
      <c r="B103" s="17"/>
      <c r="C103" s="17"/>
      <c r="D103" s="17"/>
      <c r="E103" s="17"/>
      <c r="F103" s="17"/>
      <c r="G103" s="17"/>
      <c r="H103" s="17"/>
      <c r="I103" s="17"/>
      <c r="J103" s="17"/>
      <c r="K103" s="17"/>
      <c r="L103" s="17"/>
    </row>
    <row r="104" spans="2:15">
      <c r="D104" s="2"/>
      <c r="E104" s="16"/>
      <c r="F104" s="2"/>
      <c r="G104" s="2"/>
      <c r="H104" s="2"/>
      <c r="I104" s="2"/>
    </row>
    <row r="105" spans="2:15">
      <c r="D105" s="3"/>
      <c r="E105" s="3"/>
      <c r="F105" s="3"/>
      <c r="G105" s="3"/>
      <c r="H105" s="3"/>
      <c r="I105" s="2"/>
      <c r="K105" s="2"/>
      <c r="L105" s="2"/>
      <c r="M105" s="2"/>
      <c r="N105" s="2"/>
      <c r="O105" s="2"/>
    </row>
    <row r="106" spans="2:15">
      <c r="C106" s="19"/>
      <c r="D106" s="87"/>
      <c r="E106" s="2"/>
      <c r="F106" s="2"/>
      <c r="G106" s="2"/>
      <c r="H106" s="2"/>
      <c r="I106" s="2"/>
      <c r="J106" s="2"/>
      <c r="K106" s="2"/>
      <c r="L106" s="2"/>
      <c r="M106" s="2"/>
    </row>
    <row r="107" spans="2:15">
      <c r="D107" s="2"/>
      <c r="E107" s="2"/>
    </row>
    <row r="108" spans="2:15" ht="14.25">
      <c r="D108" s="3"/>
      <c r="E108" s="3"/>
      <c r="F108" s="3"/>
      <c r="I108" s="88"/>
      <c r="J108" s="2"/>
      <c r="O108" s="88"/>
    </row>
    <row r="109" spans="2:15">
      <c r="D109" s="87"/>
    </row>
    <row r="110" spans="2:15">
      <c r="B110" s="17"/>
      <c r="C110" s="17"/>
      <c r="D110" s="17"/>
      <c r="E110" s="17"/>
      <c r="F110" s="17"/>
      <c r="G110" s="17"/>
      <c r="H110" s="17"/>
      <c r="I110" s="17"/>
      <c r="J110" s="17"/>
      <c r="K110" s="17"/>
      <c r="L110" s="17"/>
    </row>
  </sheetData>
  <mergeCells count="5">
    <mergeCell ref="A1:O1"/>
    <mergeCell ref="B32:L32"/>
    <mergeCell ref="B33:L33"/>
    <mergeCell ref="B52:L52"/>
    <mergeCell ref="B61:D61"/>
  </mergeCells>
  <pageMargins left="0.75" right="0.75" top="1" bottom="1" header="0.5" footer="0.5"/>
  <pageSetup paperSize="9" scale="86" firstPageNumber="19" fitToHeight="28" orientation="landscape" horizontalDpi="300" verticalDpi="300" r:id="rId1"/>
  <headerFooter>
    <oddFooter>&amp;L&amp;P/{&amp;N}&amp;C&amp;F&amp;R&amp;A</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indexed="17"/>
    <pageSetUpPr fitToPage="1"/>
  </sheetPr>
  <dimension ref="A1:N110"/>
  <sheetViews>
    <sheetView workbookViewId="0">
      <selection sqref="A1:IV65536"/>
    </sheetView>
  </sheetViews>
  <sheetFormatPr defaultRowHeight="12.75"/>
  <cols>
    <col min="2" max="2" width="67.28515625" customWidth="1"/>
    <col min="3" max="3" width="26.85546875" bestFit="1" customWidth="1"/>
    <col min="4" max="4" width="7" bestFit="1" customWidth="1"/>
  </cols>
  <sheetData>
    <row r="1" spans="1:10">
      <c r="A1" s="1"/>
      <c r="B1" s="1" t="s">
        <v>1335</v>
      </c>
      <c r="C1" s="1"/>
    </row>
    <row r="2" spans="1:10">
      <c r="A2" s="1" t="s">
        <v>1187</v>
      </c>
      <c r="B2" s="1"/>
      <c r="C2" s="1"/>
    </row>
    <row r="3" spans="1:10">
      <c r="A3" s="1" t="s">
        <v>966</v>
      </c>
    </row>
    <row r="4" spans="1:10">
      <c r="A4" t="s">
        <v>690</v>
      </c>
    </row>
    <row r="5" spans="1:10">
      <c r="A5" t="s">
        <v>691</v>
      </c>
      <c r="C5">
        <v>0.97499999999999998</v>
      </c>
      <c r="D5" t="s">
        <v>154</v>
      </c>
      <c r="E5">
        <v>15</v>
      </c>
      <c r="F5" t="s">
        <v>692</v>
      </c>
      <c r="G5">
        <v>2.4</v>
      </c>
      <c r="H5" s="19" t="s">
        <v>2</v>
      </c>
      <c r="I5" s="16">
        <v>35.1</v>
      </c>
      <c r="J5" t="s">
        <v>660</v>
      </c>
    </row>
    <row r="6" spans="1:10">
      <c r="A6" t="s">
        <v>693</v>
      </c>
      <c r="C6">
        <v>7.4999999999999997E-2</v>
      </c>
      <c r="D6" t="s">
        <v>154</v>
      </c>
      <c r="E6">
        <v>12</v>
      </c>
      <c r="F6" t="s">
        <v>692</v>
      </c>
      <c r="G6">
        <v>2.4</v>
      </c>
      <c r="H6" s="19" t="s">
        <v>2</v>
      </c>
      <c r="I6" s="16">
        <v>2.1599999999999997</v>
      </c>
      <c r="J6" t="s">
        <v>660</v>
      </c>
    </row>
    <row r="7" spans="1:10">
      <c r="G7" s="1" t="s">
        <v>41</v>
      </c>
      <c r="H7" s="1"/>
      <c r="I7" s="59">
        <v>37.26</v>
      </c>
      <c r="J7" s="1" t="s">
        <v>660</v>
      </c>
    </row>
    <row r="8" spans="1:10">
      <c r="A8" t="s">
        <v>967</v>
      </c>
      <c r="E8" s="19" t="s">
        <v>2</v>
      </c>
      <c r="F8" s="2"/>
      <c r="G8" s="19"/>
    </row>
    <row r="9" spans="1:10">
      <c r="E9" s="2">
        <v>37.26</v>
      </c>
      <c r="F9" s="19" t="s">
        <v>8</v>
      </c>
      <c r="G9">
        <v>2</v>
      </c>
      <c r="H9" s="19" t="s">
        <v>2</v>
      </c>
      <c r="I9" s="16">
        <v>18.63</v>
      </c>
      <c r="J9" t="s">
        <v>660</v>
      </c>
    </row>
    <row r="10" spans="1:10">
      <c r="A10" t="s">
        <v>968</v>
      </c>
    </row>
    <row r="11" spans="1:10">
      <c r="D11" t="s">
        <v>696</v>
      </c>
      <c r="E11" s="2">
        <v>82.5</v>
      </c>
      <c r="F11" s="19" t="s">
        <v>154</v>
      </c>
      <c r="G11">
        <v>1.1375</v>
      </c>
      <c r="H11" s="19" t="s">
        <v>2</v>
      </c>
      <c r="I11" s="2">
        <v>93.84375</v>
      </c>
      <c r="J11" t="s">
        <v>660</v>
      </c>
    </row>
    <row r="12" spans="1:10">
      <c r="A12" t="s">
        <v>697</v>
      </c>
    </row>
    <row r="13" spans="1:10">
      <c r="A13" t="s">
        <v>698</v>
      </c>
    </row>
    <row r="14" spans="1:10">
      <c r="A14" t="s">
        <v>699</v>
      </c>
      <c r="D14" t="s">
        <v>700</v>
      </c>
      <c r="E14">
        <v>6.6950000000000003</v>
      </c>
      <c r="F14" t="s">
        <v>29</v>
      </c>
    </row>
    <row r="15" spans="1:10">
      <c r="A15" t="s">
        <v>701</v>
      </c>
    </row>
    <row r="16" spans="1:10">
      <c r="A16" t="s">
        <v>969</v>
      </c>
      <c r="D16" t="s">
        <v>696</v>
      </c>
      <c r="E16" s="2">
        <v>93.84375</v>
      </c>
      <c r="F16" s="19" t="s">
        <v>8</v>
      </c>
      <c r="G16">
        <v>6.6950000000000003</v>
      </c>
      <c r="H16" s="19" t="s">
        <v>2</v>
      </c>
      <c r="I16" s="2">
        <v>14.016990291262136</v>
      </c>
      <c r="J16" t="s">
        <v>660</v>
      </c>
    </row>
    <row r="17" spans="1:10">
      <c r="B17" t="s">
        <v>703</v>
      </c>
      <c r="D17" s="105"/>
    </row>
    <row r="18" spans="1:10">
      <c r="A18" t="s">
        <v>704</v>
      </c>
      <c r="D18" s="2">
        <v>18.63</v>
      </c>
      <c r="E18" s="19" t="s">
        <v>7</v>
      </c>
      <c r="F18" s="2">
        <v>14.016990291262136</v>
      </c>
      <c r="H18" s="19" t="s">
        <v>2</v>
      </c>
      <c r="I18" s="2">
        <v>32.646990291262135</v>
      </c>
      <c r="J18" t="s">
        <v>660</v>
      </c>
    </row>
    <row r="19" spans="1:10">
      <c r="A19" t="s">
        <v>970</v>
      </c>
      <c r="I19" t="s">
        <v>706</v>
      </c>
    </row>
    <row r="20" spans="1:10">
      <c r="A20" t="s">
        <v>707</v>
      </c>
      <c r="D20">
        <v>86.25</v>
      </c>
      <c r="E20" t="s">
        <v>708</v>
      </c>
    </row>
    <row r="21" spans="1:10">
      <c r="A21" t="s">
        <v>709</v>
      </c>
    </row>
    <row r="22" spans="1:10">
      <c r="A22" t="s">
        <v>710</v>
      </c>
      <c r="D22" s="19" t="s">
        <v>2</v>
      </c>
      <c r="E22">
        <v>33.75</v>
      </c>
      <c r="F22" t="s">
        <v>708</v>
      </c>
      <c r="G22" s="19" t="s">
        <v>2</v>
      </c>
      <c r="H22" s="2">
        <v>0.33750000000000002</v>
      </c>
      <c r="I22" t="s">
        <v>29</v>
      </c>
    </row>
    <row r="23" spans="1:10" ht="28.5" customHeight="1">
      <c r="A23" s="706" t="s">
        <v>711</v>
      </c>
      <c r="B23" s="706"/>
      <c r="C23" s="2">
        <v>32.646990291262135</v>
      </c>
      <c r="D23" s="19" t="s">
        <v>3</v>
      </c>
      <c r="E23" s="2">
        <v>0.33750000000000002</v>
      </c>
      <c r="H23" s="2">
        <v>11.02</v>
      </c>
      <c r="I23" t="s">
        <v>712</v>
      </c>
    </row>
    <row r="24" spans="1:10" ht="28.5" customHeight="1">
      <c r="A24" s="392"/>
      <c r="B24" s="401" t="s">
        <v>2</v>
      </c>
      <c r="C24" s="2">
        <v>11.02</v>
      </c>
      <c r="D24" s="19" t="s">
        <v>3</v>
      </c>
      <c r="E24" s="2">
        <v>10</v>
      </c>
      <c r="F24" s="19" t="s">
        <v>2</v>
      </c>
      <c r="G24" s="1">
        <v>110.2</v>
      </c>
      <c r="H24" s="1" t="s">
        <v>713</v>
      </c>
      <c r="I24" s="1"/>
    </row>
    <row r="25" spans="1:10">
      <c r="A25" t="s">
        <v>714</v>
      </c>
    </row>
    <row r="26" spans="1:10" s="429" customFormat="1">
      <c r="B26" s="394" t="s">
        <v>971</v>
      </c>
      <c r="C26" s="570"/>
      <c r="D26" s="187"/>
      <c r="E26" s="189">
        <v>110.2</v>
      </c>
      <c r="F26" s="42" t="s">
        <v>5</v>
      </c>
    </row>
    <row r="27" spans="1:10" s="429" customFormat="1">
      <c r="B27" s="465" t="s">
        <v>375</v>
      </c>
      <c r="C27" s="89"/>
      <c r="D27" s="89"/>
      <c r="E27" s="466" t="s">
        <v>716</v>
      </c>
      <c r="F27" s="89"/>
      <c r="G27" s="1"/>
      <c r="H27" s="1"/>
    </row>
    <row r="28" spans="1:10" s="429" customFormat="1">
      <c r="B28" s="465" t="s">
        <v>424</v>
      </c>
      <c r="C28" s="89"/>
      <c r="D28" s="89"/>
      <c r="E28" s="466">
        <v>10</v>
      </c>
      <c r="F28" s="17" t="s">
        <v>252</v>
      </c>
      <c r="G28" s="1"/>
      <c r="H28" s="1"/>
    </row>
    <row r="29" spans="1:10" s="429" customFormat="1">
      <c r="B29" s="465" t="s">
        <v>0</v>
      </c>
      <c r="C29" s="89"/>
      <c r="D29" s="89"/>
      <c r="E29" s="467">
        <v>9.3333333333333339</v>
      </c>
      <c r="F29" s="89"/>
      <c r="G29" s="1"/>
      <c r="H29" s="1"/>
    </row>
    <row r="30" spans="1:10" s="429" customFormat="1">
      <c r="B30" s="195" t="s">
        <v>376</v>
      </c>
      <c r="C30" s="89"/>
      <c r="D30" s="89"/>
      <c r="E30" s="466">
        <v>200</v>
      </c>
      <c r="F30" s="89"/>
      <c r="G30" s="1"/>
      <c r="H30" s="1"/>
    </row>
    <row r="31" spans="1:10" s="429" customFormat="1">
      <c r="B31" s="465" t="s">
        <v>377</v>
      </c>
      <c r="C31" s="17"/>
      <c r="D31" s="17"/>
      <c r="E31" s="196">
        <v>0.31818181818181818</v>
      </c>
      <c r="F31" s="17"/>
      <c r="G31"/>
      <c r="H31"/>
    </row>
    <row r="32" spans="1:10" s="429" customFormat="1">
      <c r="B32" s="465" t="s">
        <v>378</v>
      </c>
      <c r="C32" s="17"/>
      <c r="D32" s="17"/>
      <c r="E32" s="196">
        <v>0.89393939393939392</v>
      </c>
      <c r="F32" s="17"/>
      <c r="G32"/>
      <c r="H32"/>
    </row>
    <row r="33" spans="1:10" s="429" customFormat="1">
      <c r="B33" s="89" t="s">
        <v>18</v>
      </c>
      <c r="C33" s="17"/>
      <c r="D33" s="17"/>
      <c r="E33" s="196">
        <v>1.4221763085399448</v>
      </c>
      <c r="F33" s="17"/>
      <c r="G33"/>
      <c r="H33"/>
    </row>
    <row r="34" spans="1:10" s="429" customFormat="1">
      <c r="B34" s="89" t="s">
        <v>379</v>
      </c>
      <c r="C34" s="17"/>
      <c r="D34" s="17"/>
      <c r="E34" s="197">
        <v>278.36464666569498</v>
      </c>
      <c r="F34" s="17" t="s">
        <v>1</v>
      </c>
      <c r="G34"/>
      <c r="H34"/>
    </row>
    <row r="35" spans="1:10" s="429" customFormat="1">
      <c r="B35" s="89" t="s">
        <v>380</v>
      </c>
      <c r="C35" s="17"/>
      <c r="D35" s="17"/>
      <c r="E35" s="197">
        <v>1200</v>
      </c>
      <c r="F35" s="17" t="s">
        <v>1</v>
      </c>
      <c r="G35"/>
      <c r="H35"/>
    </row>
    <row r="36" spans="1:10" s="429" customFormat="1">
      <c r="B36" s="121" t="s">
        <v>381</v>
      </c>
      <c r="C36" s="20"/>
      <c r="D36" s="20"/>
      <c r="E36" s="197">
        <v>50</v>
      </c>
      <c r="F36" s="17" t="s">
        <v>1</v>
      </c>
    </row>
    <row r="37" spans="1:10" s="429" customFormat="1">
      <c r="B37" s="121" t="s">
        <v>382</v>
      </c>
      <c r="C37" s="20"/>
      <c r="D37" s="20"/>
      <c r="E37" s="198">
        <v>25</v>
      </c>
      <c r="F37" s="17" t="s">
        <v>1</v>
      </c>
    </row>
    <row r="38" spans="1:10" s="429" customFormat="1">
      <c r="B38" s="121" t="s">
        <v>427</v>
      </c>
      <c r="C38" s="20"/>
      <c r="D38" s="20"/>
      <c r="E38" s="197">
        <v>1137.5</v>
      </c>
      <c r="F38" s="17" t="s">
        <v>1</v>
      </c>
    </row>
    <row r="39" spans="1:10" s="429" customFormat="1">
      <c r="B39" s="89" t="s">
        <v>383</v>
      </c>
      <c r="C39" s="17"/>
      <c r="D39" s="17"/>
      <c r="E39" s="85">
        <v>1137.5</v>
      </c>
      <c r="F39" s="17" t="s">
        <v>1</v>
      </c>
    </row>
    <row r="40" spans="1:10" s="429" customFormat="1" ht="14.25">
      <c r="B40" s="89" t="s">
        <v>384</v>
      </c>
      <c r="C40" s="17"/>
      <c r="D40" s="17"/>
      <c r="E40" s="197">
        <v>541.8662693238964</v>
      </c>
      <c r="F40" s="17" t="s">
        <v>9</v>
      </c>
    </row>
    <row r="41" spans="1:10" s="429" customFormat="1" ht="14.25">
      <c r="B41" s="89" t="s">
        <v>385</v>
      </c>
      <c r="C41" s="17"/>
      <c r="D41" s="17"/>
      <c r="E41" s="197">
        <v>490.625</v>
      </c>
      <c r="F41" s="17" t="s">
        <v>9</v>
      </c>
    </row>
    <row r="42" spans="1:10" s="429" customFormat="1">
      <c r="B42" s="465" t="s">
        <v>386</v>
      </c>
      <c r="C42" s="17"/>
      <c r="D42" s="17"/>
      <c r="E42" s="197">
        <v>905.43558028103178</v>
      </c>
      <c r="F42" s="17" t="s">
        <v>1</v>
      </c>
    </row>
    <row r="43" spans="1:10" s="429" customFormat="1">
      <c r="B43" s="89" t="s">
        <v>387</v>
      </c>
      <c r="C43" s="200">
        <v>25</v>
      </c>
      <c r="D43" s="17" t="s">
        <v>1</v>
      </c>
      <c r="E43" s="410">
        <v>100</v>
      </c>
      <c r="F43" s="17" t="s">
        <v>1</v>
      </c>
      <c r="G43" s="203" t="s">
        <v>717</v>
      </c>
    </row>
    <row r="44" spans="1:10">
      <c r="B44" s="465" t="s">
        <v>392</v>
      </c>
      <c r="C44" s="3">
        <v>25</v>
      </c>
      <c r="D44" t="s">
        <v>1</v>
      </c>
      <c r="E44" s="411">
        <v>100</v>
      </c>
      <c r="F44" t="s">
        <v>1</v>
      </c>
    </row>
    <row r="45" spans="1:10">
      <c r="B45" s="465" t="s">
        <v>718</v>
      </c>
      <c r="C45">
        <v>16</v>
      </c>
      <c r="D45" t="s">
        <v>1</v>
      </c>
      <c r="E45" s="411">
        <v>100</v>
      </c>
      <c r="F45" t="s">
        <v>1</v>
      </c>
    </row>
    <row r="46" spans="1:10">
      <c r="A46" s="1" t="s">
        <v>972</v>
      </c>
    </row>
    <row r="47" spans="1:10">
      <c r="A47" t="s">
        <v>720</v>
      </c>
    </row>
    <row r="48" spans="1:10" s="469" customFormat="1">
      <c r="A48" s="469" t="s">
        <v>721</v>
      </c>
      <c r="C48" s="469">
        <v>0.97499999999999998</v>
      </c>
      <c r="D48" s="469" t="s">
        <v>154</v>
      </c>
      <c r="E48" s="469">
        <v>15</v>
      </c>
      <c r="F48" s="469" t="s">
        <v>692</v>
      </c>
      <c r="G48" s="469">
        <v>2.4</v>
      </c>
      <c r="H48" s="470" t="s">
        <v>2</v>
      </c>
      <c r="I48" s="471">
        <v>35.1</v>
      </c>
      <c r="J48" s="469" t="s">
        <v>660</v>
      </c>
    </row>
    <row r="49" spans="1:10" s="469" customFormat="1">
      <c r="A49" s="469" t="s">
        <v>693</v>
      </c>
      <c r="C49" s="469">
        <v>7.4999999999999997E-2</v>
      </c>
      <c r="D49" s="469" t="s">
        <v>154</v>
      </c>
      <c r="E49" s="469">
        <v>12</v>
      </c>
      <c r="F49" s="469" t="s">
        <v>692</v>
      </c>
      <c r="G49" s="469">
        <v>2.4</v>
      </c>
      <c r="H49" s="470" t="s">
        <v>2</v>
      </c>
      <c r="I49" s="471">
        <v>2.1599999999999997</v>
      </c>
      <c r="J49" s="469" t="s">
        <v>660</v>
      </c>
    </row>
    <row r="50" spans="1:10" s="469" customFormat="1">
      <c r="G50" s="469" t="s">
        <v>41</v>
      </c>
      <c r="I50" s="415">
        <v>37.26</v>
      </c>
      <c r="J50" s="469" t="s">
        <v>660</v>
      </c>
    </row>
    <row r="51" spans="1:10" s="469" customFormat="1">
      <c r="A51" s="469" t="s">
        <v>973</v>
      </c>
      <c r="E51" s="470" t="s">
        <v>2</v>
      </c>
      <c r="F51" s="472"/>
      <c r="G51" s="470"/>
    </row>
    <row r="52" spans="1:10" s="469" customFormat="1">
      <c r="E52" s="472">
        <v>37.26</v>
      </c>
      <c r="F52" s="470" t="s">
        <v>8</v>
      </c>
      <c r="G52" s="469">
        <v>2</v>
      </c>
      <c r="H52" s="470" t="s">
        <v>2</v>
      </c>
      <c r="I52" s="471">
        <v>18.63</v>
      </c>
      <c r="J52" s="469" t="s">
        <v>723</v>
      </c>
    </row>
    <row r="53" spans="1:10">
      <c r="A53" t="s">
        <v>974</v>
      </c>
      <c r="E53" t="s">
        <v>725</v>
      </c>
      <c r="I53">
        <v>64.69</v>
      </c>
      <c r="J53" t="s">
        <v>660</v>
      </c>
    </row>
    <row r="55" spans="1:10">
      <c r="A55" t="s">
        <v>726</v>
      </c>
    </row>
    <row r="56" spans="1:10">
      <c r="A56" t="s">
        <v>727</v>
      </c>
      <c r="C56" t="s">
        <v>725</v>
      </c>
      <c r="D56">
        <v>5.3</v>
      </c>
      <c r="E56" t="s">
        <v>29</v>
      </c>
    </row>
    <row r="58" spans="1:10" s="469" customFormat="1">
      <c r="A58" s="469" t="s">
        <v>975</v>
      </c>
      <c r="E58" s="472">
        <v>64.69</v>
      </c>
      <c r="F58" s="470" t="s">
        <v>8</v>
      </c>
      <c r="G58" s="469">
        <v>5.3</v>
      </c>
      <c r="H58" s="470" t="s">
        <v>2</v>
      </c>
      <c r="I58" s="471">
        <v>12.205660377358491</v>
      </c>
      <c r="J58" s="469" t="s">
        <v>723</v>
      </c>
    </row>
    <row r="59" spans="1:10">
      <c r="A59" t="s">
        <v>976</v>
      </c>
      <c r="D59" s="2">
        <v>18.63</v>
      </c>
      <c r="E59" s="19" t="s">
        <v>7</v>
      </c>
      <c r="F59" s="2">
        <v>12.205660377358491</v>
      </c>
      <c r="H59" s="19" t="s">
        <v>2</v>
      </c>
      <c r="I59" s="2">
        <v>30.84</v>
      </c>
      <c r="J59" t="s">
        <v>660</v>
      </c>
    </row>
    <row r="60" spans="1:10">
      <c r="A60" t="s">
        <v>730</v>
      </c>
      <c r="I60" t="s">
        <v>706</v>
      </c>
    </row>
    <row r="61" spans="1:10">
      <c r="A61" t="s">
        <v>977</v>
      </c>
    </row>
    <row r="62" spans="1:10">
      <c r="A62" t="s">
        <v>732</v>
      </c>
    </row>
    <row r="63" spans="1:10" ht="28.5" customHeight="1">
      <c r="A63" s="706" t="s">
        <v>733</v>
      </c>
      <c r="B63" s="706"/>
      <c r="C63" s="2">
        <v>30.84</v>
      </c>
      <c r="D63" s="19" t="s">
        <v>3</v>
      </c>
      <c r="E63">
        <v>0</v>
      </c>
      <c r="H63" s="2">
        <v>0</v>
      </c>
      <c r="I63" t="s">
        <v>712</v>
      </c>
    </row>
    <row r="64" spans="1:10">
      <c r="A64" t="s">
        <v>734</v>
      </c>
    </row>
    <row r="65" spans="1:11">
      <c r="A65" s="1" t="s">
        <v>978</v>
      </c>
    </row>
    <row r="66" spans="1:11">
      <c r="A66" t="s">
        <v>979</v>
      </c>
    </row>
    <row r="67" spans="1:11">
      <c r="A67" t="s">
        <v>737</v>
      </c>
    </row>
    <row r="68" spans="1:11">
      <c r="A68" t="s">
        <v>980</v>
      </c>
    </row>
    <row r="69" spans="1:11">
      <c r="A69" t="s">
        <v>739</v>
      </c>
    </row>
    <row r="70" spans="1:11">
      <c r="A70" t="s">
        <v>740</v>
      </c>
    </row>
    <row r="71" spans="1:11">
      <c r="A71" t="s">
        <v>741</v>
      </c>
    </row>
    <row r="72" spans="1:11" ht="14.25">
      <c r="A72" t="s">
        <v>742</v>
      </c>
      <c r="F72">
        <v>250</v>
      </c>
      <c r="G72" s="19" t="s">
        <v>3</v>
      </c>
      <c r="H72">
        <v>1.2</v>
      </c>
      <c r="I72" s="19" t="s">
        <v>2</v>
      </c>
      <c r="J72">
        <v>300</v>
      </c>
      <c r="K72" t="s">
        <v>9</v>
      </c>
    </row>
    <row r="73" spans="1:11">
      <c r="A73" s="1" t="s">
        <v>981</v>
      </c>
    </row>
    <row r="74" spans="1:11">
      <c r="A74" s="1" t="s">
        <v>982</v>
      </c>
    </row>
    <row r="75" spans="1:11">
      <c r="A75" t="s">
        <v>745</v>
      </c>
    </row>
    <row r="76" spans="1:11" ht="14.25">
      <c r="A76" s="19" t="s">
        <v>746</v>
      </c>
      <c r="C76" s="19" t="s">
        <v>2</v>
      </c>
      <c r="D76">
        <v>6874</v>
      </c>
      <c r="E76" t="s">
        <v>9</v>
      </c>
      <c r="F76" t="s">
        <v>747</v>
      </c>
      <c r="H76" t="s">
        <v>748</v>
      </c>
    </row>
    <row r="78" spans="1:11">
      <c r="A78" t="s">
        <v>749</v>
      </c>
    </row>
    <row r="79" spans="1:11" ht="14.25">
      <c r="A79" s="19" t="s">
        <v>750</v>
      </c>
      <c r="C79" s="19" t="s">
        <v>2</v>
      </c>
      <c r="D79">
        <v>2814</v>
      </c>
      <c r="E79" t="s">
        <v>9</v>
      </c>
      <c r="F79" t="s">
        <v>747</v>
      </c>
      <c r="H79" t="s">
        <v>748</v>
      </c>
    </row>
    <row r="80" spans="1:11">
      <c r="A80" s="1" t="s">
        <v>751</v>
      </c>
    </row>
    <row r="81" spans="1:14">
      <c r="B81" t="s">
        <v>752</v>
      </c>
      <c r="C81" s="2">
        <v>30.84</v>
      </c>
      <c r="D81" t="s">
        <v>660</v>
      </c>
    </row>
    <row r="82" spans="1:14">
      <c r="B82" s="17" t="s">
        <v>399</v>
      </c>
      <c r="C82" s="17"/>
      <c r="D82" s="17"/>
      <c r="E82" s="202">
        <v>308.39999999999998</v>
      </c>
      <c r="F82" s="17" t="s">
        <v>10</v>
      </c>
      <c r="G82" s="17"/>
      <c r="H82" s="17"/>
      <c r="I82" s="17"/>
      <c r="J82" s="17"/>
      <c r="K82" s="17"/>
      <c r="L82" s="17"/>
    </row>
    <row r="83" spans="1:14">
      <c r="B83" s="570" t="s">
        <v>400</v>
      </c>
      <c r="C83" t="s">
        <v>401</v>
      </c>
      <c r="D83" s="2"/>
      <c r="E83" s="5"/>
      <c r="F83" s="2"/>
      <c r="G83" s="2"/>
      <c r="H83" s="2"/>
      <c r="I83" s="2"/>
    </row>
    <row r="84" spans="1:14" ht="14.25">
      <c r="B84" s="570" t="s">
        <v>402</v>
      </c>
      <c r="D84" s="3"/>
      <c r="E84" s="47">
        <v>0.27112087912087912</v>
      </c>
      <c r="F84" s="42" t="s">
        <v>425</v>
      </c>
      <c r="G84" s="3"/>
      <c r="H84" s="3"/>
      <c r="I84" s="2"/>
      <c r="K84" s="2"/>
      <c r="L84" s="2"/>
      <c r="M84" s="2"/>
      <c r="N84" s="2"/>
    </row>
    <row r="85" spans="1:14">
      <c r="B85" s="570" t="s">
        <v>403</v>
      </c>
      <c r="C85" t="s">
        <v>404</v>
      </c>
      <c r="D85" s="2"/>
      <c r="E85" s="47">
        <v>0.2473846153846154</v>
      </c>
    </row>
    <row r="86" spans="1:14" ht="14.25">
      <c r="B86" s="570" t="s">
        <v>405</v>
      </c>
      <c r="D86" s="3"/>
      <c r="E86" s="47">
        <v>0.23</v>
      </c>
      <c r="F86" s="42" t="s">
        <v>425</v>
      </c>
      <c r="I86" s="88"/>
      <c r="J86" s="2"/>
      <c r="N86" s="88"/>
    </row>
    <row r="87" spans="1:14">
      <c r="B87" s="570" t="s">
        <v>406</v>
      </c>
      <c r="D87" s="87"/>
      <c r="E87" s="7"/>
    </row>
    <row r="88" spans="1:14" ht="14.25">
      <c r="B88" s="570" t="s">
        <v>407</v>
      </c>
      <c r="C88" s="19"/>
      <c r="D88" s="87"/>
      <c r="E88" s="47">
        <v>0.23</v>
      </c>
      <c r="F88" s="42" t="s">
        <v>425</v>
      </c>
      <c r="G88" s="2"/>
      <c r="H88" s="2"/>
      <c r="I88" s="2"/>
      <c r="J88" s="2"/>
      <c r="K88" s="2"/>
      <c r="L88" s="2"/>
      <c r="M88" s="2"/>
    </row>
    <row r="89" spans="1:14" ht="26.25" customHeight="1">
      <c r="B89" s="17"/>
      <c r="C89" s="17"/>
      <c r="D89" s="706" t="s">
        <v>408</v>
      </c>
      <c r="E89" s="706"/>
      <c r="F89" s="706"/>
      <c r="G89" s="706"/>
      <c r="H89" s="17"/>
      <c r="I89" s="17"/>
      <c r="J89" s="17"/>
      <c r="K89" s="17"/>
      <c r="L89" s="17"/>
    </row>
    <row r="90" spans="1:14" s="429" customFormat="1" ht="21" customHeight="1">
      <c r="B90" s="89" t="s">
        <v>409</v>
      </c>
      <c r="C90" s="17"/>
      <c r="D90" s="17"/>
      <c r="E90" s="85">
        <v>16</v>
      </c>
      <c r="F90" s="17" t="s">
        <v>1</v>
      </c>
      <c r="G90" s="201"/>
      <c r="H90" s="201"/>
      <c r="I90" s="201"/>
      <c r="J90" s="201"/>
    </row>
    <row r="91" spans="1:14" s="429" customFormat="1" ht="14.25">
      <c r="B91" s="89" t="s">
        <v>390</v>
      </c>
      <c r="C91" s="17"/>
      <c r="D91" s="17"/>
      <c r="E91" s="197">
        <v>200.96</v>
      </c>
      <c r="F91" s="17" t="s">
        <v>9</v>
      </c>
      <c r="G91" s="201"/>
      <c r="H91" s="201"/>
      <c r="I91" s="201"/>
      <c r="J91" s="201"/>
    </row>
    <row r="92" spans="1:14" s="429" customFormat="1">
      <c r="B92" s="121" t="s">
        <v>410</v>
      </c>
      <c r="C92" s="121"/>
      <c r="D92" s="121"/>
      <c r="E92" s="197">
        <v>296.48767833981844</v>
      </c>
      <c r="F92" s="17" t="s">
        <v>1</v>
      </c>
      <c r="G92" s="201"/>
      <c r="H92" s="201"/>
      <c r="I92" s="201"/>
      <c r="J92" s="201"/>
    </row>
    <row r="93" spans="1:14" s="429" customFormat="1">
      <c r="B93" s="89" t="s">
        <v>387</v>
      </c>
      <c r="C93" s="17">
        <v>16</v>
      </c>
      <c r="D93" s="17" t="s">
        <v>1</v>
      </c>
      <c r="E93" s="85">
        <v>100</v>
      </c>
      <c r="F93" s="17" t="s">
        <v>1</v>
      </c>
      <c r="G93" s="1" t="s">
        <v>717</v>
      </c>
      <c r="H93" s="201"/>
      <c r="I93" s="201"/>
      <c r="J93" s="201"/>
    </row>
    <row r="94" spans="1:14">
      <c r="A94" s="1" t="s">
        <v>753</v>
      </c>
    </row>
    <row r="95" spans="1:14">
      <c r="A95" s="1" t="s">
        <v>983</v>
      </c>
    </row>
    <row r="96" spans="1:14">
      <c r="A96" s="1" t="s">
        <v>984</v>
      </c>
    </row>
    <row r="97" spans="1:14">
      <c r="A97" s="1"/>
    </row>
    <row r="98" spans="1:14">
      <c r="A98" s="1" t="s">
        <v>756</v>
      </c>
    </row>
    <row r="99" spans="1:14">
      <c r="B99" t="s">
        <v>752</v>
      </c>
      <c r="C99">
        <v>20.3</v>
      </c>
      <c r="D99" t="s">
        <v>660</v>
      </c>
    </row>
    <row r="100" spans="1:14">
      <c r="B100" s="17" t="s">
        <v>399</v>
      </c>
      <c r="C100" s="17"/>
      <c r="D100" s="17"/>
      <c r="E100" s="202">
        <v>203</v>
      </c>
      <c r="F100" s="17" t="s">
        <v>10</v>
      </c>
      <c r="G100" s="17"/>
      <c r="H100" s="17"/>
      <c r="I100" s="17"/>
      <c r="J100" s="17"/>
      <c r="K100" s="17"/>
      <c r="L100" s="17"/>
    </row>
    <row r="101" spans="1:14">
      <c r="B101" s="570" t="s">
        <v>400</v>
      </c>
      <c r="C101" t="s">
        <v>401</v>
      </c>
      <c r="D101" s="2"/>
      <c r="E101" s="5"/>
      <c r="F101" s="2"/>
      <c r="G101" s="2"/>
      <c r="H101" s="2"/>
      <c r="I101" s="2"/>
    </row>
    <row r="102" spans="1:14" ht="14.25">
      <c r="B102" s="570" t="s">
        <v>402</v>
      </c>
      <c r="D102" s="3"/>
      <c r="E102" s="47">
        <v>0.17846153846153845</v>
      </c>
      <c r="F102" s="42" t="s">
        <v>425</v>
      </c>
      <c r="G102" s="3"/>
      <c r="H102" s="3"/>
      <c r="I102" s="2"/>
      <c r="K102" s="2"/>
      <c r="L102" s="2"/>
      <c r="M102" s="2"/>
      <c r="N102" s="2"/>
    </row>
    <row r="103" spans="1:14">
      <c r="B103" s="570" t="s">
        <v>403</v>
      </c>
      <c r="C103" t="s">
        <v>404</v>
      </c>
      <c r="D103" s="2"/>
      <c r="E103" s="47">
        <v>0.2473846153846154</v>
      </c>
    </row>
    <row r="104" spans="1:14" ht="14.25">
      <c r="B104" s="570" t="s">
        <v>405</v>
      </c>
      <c r="D104" s="3"/>
      <c r="E104" s="47">
        <v>0.23</v>
      </c>
      <c r="F104" s="42" t="s">
        <v>425</v>
      </c>
      <c r="I104" s="88"/>
      <c r="J104" s="2"/>
      <c r="N104" s="88"/>
    </row>
    <row r="105" spans="1:14">
      <c r="B105" s="570" t="s">
        <v>406</v>
      </c>
      <c r="D105" s="87"/>
      <c r="E105" s="7"/>
    </row>
    <row r="106" spans="1:14" ht="14.25">
      <c r="B106" s="570" t="s">
        <v>407</v>
      </c>
      <c r="C106" s="19"/>
      <c r="D106" s="87"/>
      <c r="E106" s="47">
        <v>0.23</v>
      </c>
      <c r="F106" s="42" t="s">
        <v>425</v>
      </c>
      <c r="G106" s="2"/>
      <c r="H106" s="2"/>
      <c r="I106" s="2"/>
      <c r="J106" s="2"/>
      <c r="K106" s="2"/>
      <c r="L106" s="2"/>
      <c r="M106" s="2"/>
    </row>
    <row r="107" spans="1:14" ht="26.25" customHeight="1">
      <c r="B107" s="17"/>
      <c r="C107" s="17"/>
      <c r="D107" s="706" t="s">
        <v>757</v>
      </c>
      <c r="E107" s="706"/>
      <c r="F107" s="706"/>
      <c r="G107" s="706"/>
      <c r="H107" s="17"/>
      <c r="I107" s="17"/>
      <c r="J107" s="17"/>
      <c r="K107" s="17"/>
      <c r="L107" s="17"/>
    </row>
    <row r="108" spans="1:14">
      <c r="A108" s="1" t="s">
        <v>753</v>
      </c>
    </row>
    <row r="109" spans="1:14">
      <c r="A109" s="1" t="s">
        <v>983</v>
      </c>
    </row>
    <row r="110" spans="1:14">
      <c r="A110" s="1" t="s">
        <v>984</v>
      </c>
    </row>
  </sheetData>
  <mergeCells count="4">
    <mergeCell ref="A23:B23"/>
    <mergeCell ref="A63:B63"/>
    <mergeCell ref="D89:G89"/>
    <mergeCell ref="D107:G107"/>
  </mergeCells>
  <pageMargins left="0.75" right="0.75" top="1" bottom="1" header="0.5" footer="0.5"/>
  <pageSetup paperSize="9" scale="75" fitToHeight="28" orientation="landscape" verticalDpi="1200" r:id="rId1"/>
  <headerFooter>
    <oddFooter>&amp;L&amp;P/{&amp;N}&amp;C&amp;F&amp;R&amp;A</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P50"/>
  <sheetViews>
    <sheetView workbookViewId="0">
      <selection sqref="A1:IV65536"/>
    </sheetView>
  </sheetViews>
  <sheetFormatPr defaultRowHeight="12.75"/>
  <cols>
    <col min="5" max="5" width="6.28515625" customWidth="1"/>
    <col min="6" max="6" width="10.42578125" customWidth="1"/>
    <col min="7" max="7" width="8.42578125" bestFit="1" customWidth="1"/>
    <col min="8" max="8" width="16.42578125" customWidth="1"/>
    <col min="9" max="9" width="4.5703125" bestFit="1" customWidth="1"/>
  </cols>
  <sheetData>
    <row r="1" spans="1:9" ht="18">
      <c r="A1" s="473" t="s">
        <v>985</v>
      </c>
    </row>
    <row r="2" spans="1:9">
      <c r="A2" t="s">
        <v>986</v>
      </c>
      <c r="F2" s="38">
        <v>31.6</v>
      </c>
      <c r="G2" t="s">
        <v>596</v>
      </c>
    </row>
    <row r="3" spans="1:9">
      <c r="A3" s="135" t="s">
        <v>987</v>
      </c>
      <c r="F3">
        <v>1000</v>
      </c>
      <c r="G3" t="s">
        <v>12</v>
      </c>
      <c r="H3" s="474" t="s">
        <v>988</v>
      </c>
      <c r="I3" s="475">
        <v>3.9333333333333338E-3</v>
      </c>
    </row>
    <row r="4" spans="1:9">
      <c r="A4" s="135" t="s">
        <v>989</v>
      </c>
      <c r="F4">
        <v>300</v>
      </c>
      <c r="G4" t="s">
        <v>12</v>
      </c>
      <c r="H4" s="476" t="s">
        <v>990</v>
      </c>
      <c r="I4" s="477">
        <v>5.333333333333334E-3</v>
      </c>
    </row>
    <row r="5" spans="1:9">
      <c r="A5" t="s">
        <v>991</v>
      </c>
      <c r="F5" s="2">
        <v>12.8</v>
      </c>
      <c r="G5" t="s">
        <v>992</v>
      </c>
    </row>
    <row r="6" spans="1:9">
      <c r="A6" t="s">
        <v>993</v>
      </c>
      <c r="F6" s="38">
        <v>47.400000000000006</v>
      </c>
      <c r="G6" t="s">
        <v>596</v>
      </c>
    </row>
    <row r="7" spans="1:9">
      <c r="A7" t="s">
        <v>994</v>
      </c>
      <c r="F7" s="2">
        <v>19.200000000000003</v>
      </c>
      <c r="G7" t="s">
        <v>992</v>
      </c>
    </row>
    <row r="8" spans="1:9">
      <c r="A8" t="s">
        <v>995</v>
      </c>
      <c r="F8" s="1">
        <v>10</v>
      </c>
      <c r="G8" t="s">
        <v>12</v>
      </c>
    </row>
    <row r="9" spans="1:9">
      <c r="A9" t="s">
        <v>996</v>
      </c>
      <c r="F9">
        <v>40</v>
      </c>
      <c r="G9" t="s">
        <v>12</v>
      </c>
    </row>
    <row r="10" spans="1:9">
      <c r="A10" t="s">
        <v>997</v>
      </c>
      <c r="F10">
        <v>45</v>
      </c>
      <c r="G10" t="s">
        <v>12</v>
      </c>
    </row>
    <row r="11" spans="1:9">
      <c r="A11" t="s">
        <v>998</v>
      </c>
      <c r="F11" s="2">
        <v>0.15</v>
      </c>
    </row>
    <row r="12" spans="1:9">
      <c r="A12" t="s">
        <v>999</v>
      </c>
      <c r="F12" s="2">
        <v>0.15</v>
      </c>
    </row>
    <row r="13" spans="1:9">
      <c r="A13" t="s">
        <v>1000</v>
      </c>
      <c r="F13" s="2">
        <v>5.2666666666666678E-3</v>
      </c>
    </row>
    <row r="14" spans="1:9" ht="14.25">
      <c r="A14" t="s">
        <v>1001</v>
      </c>
      <c r="F14" s="2">
        <v>7.1111111111111123E-3</v>
      </c>
    </row>
    <row r="15" spans="1:9">
      <c r="A15" s="135" t="s">
        <v>1002</v>
      </c>
    </row>
    <row r="16" spans="1:9">
      <c r="A16" s="135" t="s">
        <v>1003</v>
      </c>
      <c r="F16" s="1">
        <v>33</v>
      </c>
      <c r="H16" s="1" t="s">
        <v>1004</v>
      </c>
    </row>
    <row r="17" spans="1:16">
      <c r="A17" t="s">
        <v>1005</v>
      </c>
      <c r="F17">
        <v>0.01</v>
      </c>
    </row>
    <row r="18" spans="1:16">
      <c r="A18" t="s">
        <v>44</v>
      </c>
      <c r="F18">
        <v>0.3</v>
      </c>
      <c r="H18" t="s">
        <v>1006</v>
      </c>
    </row>
    <row r="19" spans="1:16">
      <c r="A19" t="s">
        <v>1007</v>
      </c>
      <c r="F19">
        <v>900</v>
      </c>
      <c r="G19" t="s">
        <v>1008</v>
      </c>
    </row>
    <row r="20" spans="1:16">
      <c r="A20" t="s">
        <v>1009</v>
      </c>
      <c r="F20" s="3">
        <v>12</v>
      </c>
    </row>
    <row r="21" spans="1:16">
      <c r="A21" t="s">
        <v>1010</v>
      </c>
      <c r="F21" s="3">
        <v>6</v>
      </c>
    </row>
    <row r="22" spans="1:16">
      <c r="A22" t="s">
        <v>1011</v>
      </c>
      <c r="F22" s="1">
        <v>200</v>
      </c>
      <c r="G22" t="s">
        <v>12</v>
      </c>
      <c r="H22" s="1"/>
    </row>
    <row r="24" spans="1:16" s="6" customFormat="1" ht="15.75">
      <c r="A24" s="391" t="s">
        <v>1012</v>
      </c>
    </row>
    <row r="25" spans="1:16" s="6" customFormat="1"/>
    <row r="26" spans="1:16" s="6" customFormat="1">
      <c r="B26" s="83"/>
      <c r="D26" s="6" t="s">
        <v>1013</v>
      </c>
      <c r="E26" s="6" t="s">
        <v>2</v>
      </c>
      <c r="F26" s="54">
        <v>12.8</v>
      </c>
      <c r="G26" s="6" t="s">
        <v>992</v>
      </c>
    </row>
    <row r="27" spans="1:16" s="6" customFormat="1" ht="14.25">
      <c r="C27" s="6" t="s">
        <v>1014</v>
      </c>
      <c r="D27" s="478"/>
      <c r="E27" s="479"/>
      <c r="F27" s="590">
        <v>12.8</v>
      </c>
      <c r="G27" s="591" t="s">
        <v>3</v>
      </c>
      <c r="H27" s="592" t="s">
        <v>1015</v>
      </c>
      <c r="I27" s="732" t="s">
        <v>2</v>
      </c>
      <c r="J27" s="732">
        <v>118.7</v>
      </c>
      <c r="K27" s="801" t="s">
        <v>1</v>
      </c>
    </row>
    <row r="28" spans="1:16" s="6" customFormat="1">
      <c r="D28" s="478"/>
      <c r="E28" s="479"/>
      <c r="F28" s="439">
        <v>1000</v>
      </c>
      <c r="G28" s="593" t="s">
        <v>3</v>
      </c>
      <c r="H28" s="593">
        <v>0.97199999999999998</v>
      </c>
      <c r="I28" s="732"/>
      <c r="J28" s="732"/>
      <c r="K28" s="801"/>
    </row>
    <row r="29" spans="1:16" s="6" customFormat="1">
      <c r="C29" s="6" t="s">
        <v>1016</v>
      </c>
      <c r="D29" s="105">
        <v>300</v>
      </c>
      <c r="E29" s="105" t="s">
        <v>16</v>
      </c>
      <c r="F29" s="594">
        <v>50</v>
      </c>
      <c r="G29" s="594" t="s">
        <v>16</v>
      </c>
      <c r="H29" s="595">
        <v>16</v>
      </c>
      <c r="I29" s="732" t="s">
        <v>2</v>
      </c>
      <c r="J29" s="732">
        <v>245</v>
      </c>
      <c r="K29" s="732" t="s">
        <v>1</v>
      </c>
      <c r="L29" s="732" t="s">
        <v>1017</v>
      </c>
      <c r="M29" s="801">
        <v>118.7</v>
      </c>
      <c r="N29" s="801"/>
      <c r="O29" s="732" t="s">
        <v>1</v>
      </c>
      <c r="P29" s="732" t="s">
        <v>1018</v>
      </c>
    </row>
    <row r="30" spans="1:16" s="6" customFormat="1">
      <c r="F30" s="439"/>
      <c r="G30" s="439"/>
      <c r="H30" s="439">
        <v>2</v>
      </c>
      <c r="I30" s="732"/>
      <c r="J30" s="732"/>
      <c r="K30" s="732"/>
      <c r="L30" s="732"/>
      <c r="M30" s="801"/>
      <c r="N30" s="801"/>
      <c r="O30" s="732"/>
      <c r="P30" s="732"/>
    </row>
    <row r="31" spans="1:16" s="6" customFormat="1" ht="14.25">
      <c r="C31" s="6" t="s">
        <v>1019</v>
      </c>
      <c r="D31" s="6" t="s">
        <v>2</v>
      </c>
      <c r="F31" s="488">
        <v>12.8</v>
      </c>
      <c r="G31" s="398" t="s">
        <v>244</v>
      </c>
      <c r="H31" s="489"/>
      <c r="I31" s="802" t="s">
        <v>1020</v>
      </c>
      <c r="J31" s="802"/>
      <c r="K31" s="732" t="s">
        <v>2</v>
      </c>
      <c r="L31" s="734">
        <v>284.86858211114327</v>
      </c>
      <c r="M31" s="6" t="s">
        <v>9</v>
      </c>
    </row>
    <row r="32" spans="1:16" s="6" customFormat="1">
      <c r="F32" s="7">
        <v>200</v>
      </c>
      <c r="G32" s="105" t="s">
        <v>244</v>
      </c>
      <c r="H32" s="6">
        <v>0.91700000000000004</v>
      </c>
      <c r="I32" s="6" t="s">
        <v>3</v>
      </c>
      <c r="J32" s="6">
        <v>245</v>
      </c>
      <c r="K32" s="732"/>
      <c r="L32" s="734"/>
    </row>
    <row r="33" spans="2:10" s="6" customFormat="1">
      <c r="B33" s="6" t="s">
        <v>1021</v>
      </c>
      <c r="F33" s="6" t="s">
        <v>1022</v>
      </c>
      <c r="G33" s="6" t="s">
        <v>1023</v>
      </c>
    </row>
    <row r="34" spans="2:10" s="6" customFormat="1"/>
    <row r="35" spans="2:10" s="6" customFormat="1">
      <c r="B35" s="83" t="s">
        <v>1024</v>
      </c>
    </row>
    <row r="36" spans="2:10" s="6" customFormat="1" ht="14.25">
      <c r="B36" s="6" t="s">
        <v>1025</v>
      </c>
      <c r="G36" s="6" t="s">
        <v>2</v>
      </c>
      <c r="H36" s="491">
        <v>524</v>
      </c>
      <c r="I36" s="6" t="s">
        <v>9</v>
      </c>
    </row>
    <row r="37" spans="2:10" s="6" customFormat="1" ht="14.25">
      <c r="B37" s="6" t="s">
        <v>1026</v>
      </c>
      <c r="D37" s="105"/>
      <c r="G37" s="6" t="s">
        <v>2</v>
      </c>
      <c r="H37" s="6">
        <v>524</v>
      </c>
      <c r="I37" s="6" t="s">
        <v>9</v>
      </c>
    </row>
    <row r="38" spans="2:10" s="6" customFormat="1">
      <c r="B38" s="83" t="s">
        <v>1027</v>
      </c>
    </row>
    <row r="39" spans="2:10" s="6" customFormat="1">
      <c r="B39" s="6" t="s">
        <v>2</v>
      </c>
      <c r="C39" s="6">
        <v>2E-3</v>
      </c>
      <c r="D39" s="105" t="s">
        <v>3</v>
      </c>
      <c r="E39" s="6">
        <v>1000</v>
      </c>
      <c r="F39" s="105" t="s">
        <v>3</v>
      </c>
      <c r="G39" s="6">
        <v>250</v>
      </c>
    </row>
    <row r="40" spans="2:10" s="6" customFormat="1" ht="14.25">
      <c r="B40" s="6" t="s">
        <v>2</v>
      </c>
      <c r="D40" s="411">
        <v>500</v>
      </c>
      <c r="E40" s="6" t="s">
        <v>9</v>
      </c>
    </row>
    <row r="41" spans="2:10" s="6" customFormat="1" ht="14.25">
      <c r="B41" s="6" t="s">
        <v>1028</v>
      </c>
      <c r="D41" s="6" t="s">
        <v>1029</v>
      </c>
    </row>
    <row r="42" spans="2:10" s="6" customFormat="1" ht="14.25">
      <c r="B42" s="6" t="s">
        <v>1030</v>
      </c>
      <c r="D42" s="135" t="s">
        <v>1031</v>
      </c>
      <c r="F42" s="6" t="s">
        <v>1032</v>
      </c>
      <c r="G42" s="6" t="s">
        <v>2</v>
      </c>
      <c r="H42" s="491">
        <v>314</v>
      </c>
      <c r="I42" s="6" t="s">
        <v>9</v>
      </c>
    </row>
    <row r="43" spans="2:10">
      <c r="C43" s="492" t="s">
        <v>11</v>
      </c>
      <c r="D43" s="1"/>
    </row>
    <row r="44" spans="2:10">
      <c r="C44" s="83" t="s">
        <v>1033</v>
      </c>
      <c r="D44" s="1"/>
      <c r="E44" s="1"/>
      <c r="F44" s="1"/>
      <c r="I44" s="11"/>
      <c r="J44" s="1"/>
    </row>
    <row r="45" spans="2:10">
      <c r="C45" s="1" t="s">
        <v>1034</v>
      </c>
      <c r="D45" s="1">
        <v>10</v>
      </c>
      <c r="E45" s="1" t="s">
        <v>1</v>
      </c>
      <c r="F45" s="1"/>
    </row>
    <row r="46" spans="2:10">
      <c r="C46" s="83" t="s">
        <v>166</v>
      </c>
      <c r="D46" s="1">
        <v>150</v>
      </c>
      <c r="E46" s="1" t="s">
        <v>1</v>
      </c>
      <c r="F46" s="1"/>
    </row>
    <row r="47" spans="2:10">
      <c r="C47" s="83"/>
      <c r="D47" s="1"/>
      <c r="E47" s="1"/>
      <c r="F47" s="1"/>
    </row>
    <row r="48" spans="2:10">
      <c r="C48" s="1" t="s">
        <v>1035</v>
      </c>
      <c r="D48" s="1"/>
      <c r="E48" s="1"/>
      <c r="F48" s="1"/>
    </row>
    <row r="49" spans="3:6">
      <c r="C49" s="1" t="s">
        <v>1034</v>
      </c>
      <c r="D49" s="1">
        <v>10</v>
      </c>
      <c r="E49" s="1" t="s">
        <v>1</v>
      </c>
      <c r="F49" s="1"/>
    </row>
    <row r="50" spans="3:6">
      <c r="C50" s="83" t="s">
        <v>166</v>
      </c>
      <c r="D50" s="1">
        <v>250</v>
      </c>
      <c r="E50" s="1" t="s">
        <v>1</v>
      </c>
    </row>
  </sheetData>
  <mergeCells count="13">
    <mergeCell ref="I27:I28"/>
    <mergeCell ref="J27:J28"/>
    <mergeCell ref="K27:K28"/>
    <mergeCell ref="I29:I30"/>
    <mergeCell ref="J29:J30"/>
    <mergeCell ref="K29:K30"/>
    <mergeCell ref="L29:L30"/>
    <mergeCell ref="M29:N30"/>
    <mergeCell ref="O29:O30"/>
    <mergeCell ref="P29:P30"/>
    <mergeCell ref="I31:J31"/>
    <mergeCell ref="K31:K32"/>
    <mergeCell ref="L31:L32"/>
  </mergeCells>
  <pageMargins left="0.75" right="0.75" top="1" bottom="1" header="0.5" footer="0.5"/>
  <pageSetup paperSize="9" scale="87" fitToHeight="28" orientation="landscape" horizontalDpi="300" verticalDpi="300" r:id="rId1"/>
  <headerFooter>
    <oddFooter>&amp;L&amp;P/{&amp;N}&amp;C&amp;F&amp;R&amp;A</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7"/>
    <pageSetUpPr fitToPage="1"/>
  </sheetPr>
  <dimension ref="A1:P97"/>
  <sheetViews>
    <sheetView workbookViewId="0"/>
  </sheetViews>
  <sheetFormatPr defaultRowHeight="12.75"/>
  <cols>
    <col min="1" max="1" width="3.7109375" style="6" customWidth="1"/>
    <col min="2" max="3" width="6" style="6" customWidth="1"/>
    <col min="4" max="4" width="12.42578125" style="6" customWidth="1"/>
    <col min="5" max="5" width="7.7109375" style="6" customWidth="1"/>
    <col min="6" max="6" width="7.140625" style="6" customWidth="1"/>
    <col min="7" max="7" width="6.42578125" style="6" customWidth="1"/>
    <col min="8" max="8" width="6" style="6" customWidth="1"/>
    <col min="9" max="9" width="1.85546875" style="6" customWidth="1"/>
    <col min="10" max="11" width="5.85546875" style="6" customWidth="1"/>
    <col min="12" max="12" width="7.28515625" style="6" customWidth="1"/>
    <col min="13" max="13" width="3.42578125" style="6" customWidth="1"/>
    <col min="14" max="14" width="5.5703125" style="6" customWidth="1"/>
    <col min="15" max="15" width="7" style="6" customWidth="1"/>
    <col min="16" max="16" width="6.140625" style="6" customWidth="1"/>
    <col min="17" max="16384" width="9.140625" style="6"/>
  </cols>
  <sheetData>
    <row r="1" spans="1:12">
      <c r="A1" s="83" t="s">
        <v>1036</v>
      </c>
    </row>
    <row r="2" spans="1:12">
      <c r="B2" s="6" t="s">
        <v>1037</v>
      </c>
    </row>
    <row r="3" spans="1:12">
      <c r="B3" s="135" t="s">
        <v>1038</v>
      </c>
      <c r="C3" s="6" t="s">
        <v>801</v>
      </c>
    </row>
    <row r="4" spans="1:12">
      <c r="B4" s="135" t="s">
        <v>1039</v>
      </c>
      <c r="C4" s="6" t="s">
        <v>1040</v>
      </c>
    </row>
    <row r="5" spans="1:12">
      <c r="B5" s="135" t="s">
        <v>1041</v>
      </c>
      <c r="C5" s="6" t="s">
        <v>1042</v>
      </c>
    </row>
    <row r="6" spans="1:12">
      <c r="B6" s="135" t="s">
        <v>1041</v>
      </c>
      <c r="C6" s="6" t="s">
        <v>1043</v>
      </c>
    </row>
    <row r="7" spans="1:12">
      <c r="B7" s="6" t="s">
        <v>1044</v>
      </c>
      <c r="C7" s="6" t="s">
        <v>1045</v>
      </c>
    </row>
    <row r="8" spans="1:12">
      <c r="C8" s="6" t="s">
        <v>1046</v>
      </c>
    </row>
    <row r="9" spans="1:12">
      <c r="C9" s="6" t="s">
        <v>1047</v>
      </c>
      <c r="L9" s="479"/>
    </row>
    <row r="11" spans="1:12">
      <c r="B11" s="6" t="s">
        <v>2</v>
      </c>
      <c r="C11" s="41">
        <v>2.9</v>
      </c>
      <c r="D11" s="105" t="s">
        <v>7</v>
      </c>
      <c r="E11" s="7" t="s">
        <v>441</v>
      </c>
      <c r="F11" s="6">
        <v>1.2</v>
      </c>
      <c r="G11" s="105" t="s">
        <v>7</v>
      </c>
      <c r="H11" s="6">
        <v>0.30499999999999999</v>
      </c>
      <c r="I11" s="6" t="s">
        <v>15</v>
      </c>
      <c r="J11" s="6" t="s">
        <v>7</v>
      </c>
      <c r="K11" s="6">
        <v>0.83</v>
      </c>
      <c r="L11" s="493"/>
    </row>
    <row r="13" spans="1:12">
      <c r="B13" s="6" t="s">
        <v>2</v>
      </c>
      <c r="C13" s="41">
        <v>2.9</v>
      </c>
      <c r="D13" s="105" t="s">
        <v>7</v>
      </c>
      <c r="E13" s="731">
        <v>1.53</v>
      </c>
      <c r="F13" s="731"/>
      <c r="G13" s="105" t="s">
        <v>7</v>
      </c>
      <c r="H13" s="6">
        <v>0.82499999999999996</v>
      </c>
    </row>
    <row r="15" spans="1:12">
      <c r="B15" s="6" t="s">
        <v>2</v>
      </c>
      <c r="C15" s="6">
        <v>5.2549999999999999</v>
      </c>
      <c r="D15" s="6" t="s">
        <v>29</v>
      </c>
      <c r="G15" s="54"/>
    </row>
    <row r="16" spans="1:12">
      <c r="B16" s="490" t="s">
        <v>1048</v>
      </c>
      <c r="C16" s="490"/>
      <c r="D16" s="731" t="s">
        <v>2</v>
      </c>
      <c r="E16" s="733">
        <v>14</v>
      </c>
      <c r="F16" s="733"/>
      <c r="G16" s="731" t="s">
        <v>2</v>
      </c>
      <c r="H16" s="731">
        <v>2.66</v>
      </c>
      <c r="I16" s="803" t="s">
        <v>655</v>
      </c>
      <c r="J16" s="803"/>
    </row>
    <row r="17" spans="2:15">
      <c r="B17" s="6" t="s">
        <v>1049</v>
      </c>
      <c r="D17" s="731"/>
      <c r="E17" s="731">
        <v>5.2549999999999999</v>
      </c>
      <c r="F17" s="731"/>
      <c r="G17" s="731"/>
      <c r="H17" s="731"/>
      <c r="I17" s="803"/>
      <c r="J17" s="803"/>
    </row>
    <row r="18" spans="2:15">
      <c r="B18" s="6" t="s">
        <v>1050</v>
      </c>
      <c r="C18" s="6" t="s">
        <v>1051</v>
      </c>
    </row>
    <row r="19" spans="2:15">
      <c r="B19" s="6" t="s">
        <v>2</v>
      </c>
      <c r="C19" s="6">
        <v>0.6</v>
      </c>
      <c r="D19" s="6" t="s">
        <v>3</v>
      </c>
      <c r="E19" s="6">
        <v>0.3</v>
      </c>
      <c r="F19" s="105" t="s">
        <v>3</v>
      </c>
      <c r="G19" s="6">
        <v>2.4</v>
      </c>
      <c r="H19" s="105"/>
    </row>
    <row r="21" spans="2:15">
      <c r="B21" s="6" t="s">
        <v>2</v>
      </c>
      <c r="C21" s="6">
        <v>0.495</v>
      </c>
      <c r="D21" s="6" t="s">
        <v>655</v>
      </c>
    </row>
    <row r="23" spans="2:15">
      <c r="B23" s="6" t="s">
        <v>1052</v>
      </c>
      <c r="C23" s="105">
        <v>0.5</v>
      </c>
      <c r="D23" s="6" t="s">
        <v>655</v>
      </c>
    </row>
    <row r="25" spans="2:15">
      <c r="B25" s="6" t="s">
        <v>1053</v>
      </c>
      <c r="E25" s="804">
        <v>2.66</v>
      </c>
      <c r="F25" s="804"/>
      <c r="G25" s="105" t="s">
        <v>7</v>
      </c>
      <c r="H25" s="6">
        <v>0.5</v>
      </c>
      <c r="I25" s="6" t="s">
        <v>2</v>
      </c>
      <c r="J25" s="731">
        <v>3.16</v>
      </c>
      <c r="K25" s="731"/>
      <c r="L25" s="6" t="s">
        <v>655</v>
      </c>
      <c r="M25" s="135" t="s">
        <v>2</v>
      </c>
      <c r="N25" s="83">
        <f>J25*10</f>
        <v>31.6</v>
      </c>
      <c r="O25" s="83" t="s">
        <v>10</v>
      </c>
    </row>
    <row r="27" spans="2:15">
      <c r="B27" s="6" t="s">
        <v>1054</v>
      </c>
    </row>
    <row r="28" spans="2:15">
      <c r="B28" s="6" t="s">
        <v>1055</v>
      </c>
    </row>
    <row r="29" spans="2:15">
      <c r="B29" s="6" t="s">
        <v>1056</v>
      </c>
    </row>
    <row r="31" spans="2:15">
      <c r="B31" s="135" t="s">
        <v>1057</v>
      </c>
      <c r="E31" s="6" t="s">
        <v>2</v>
      </c>
      <c r="G31" s="494">
        <v>0.2</v>
      </c>
      <c r="H31" s="398" t="s">
        <v>3</v>
      </c>
      <c r="I31" s="733">
        <v>14</v>
      </c>
      <c r="J31" s="733"/>
      <c r="K31" s="490" t="s">
        <v>3</v>
      </c>
      <c r="L31" s="490">
        <v>1</v>
      </c>
      <c r="M31" s="6" t="s">
        <v>2</v>
      </c>
      <c r="N31" s="6">
        <v>0.53</v>
      </c>
      <c r="O31" s="6" t="s">
        <v>660</v>
      </c>
    </row>
    <row r="32" spans="2:15">
      <c r="H32" s="805">
        <v>5.2549999999999999</v>
      </c>
      <c r="I32" s="805"/>
      <c r="J32" s="805"/>
    </row>
    <row r="33" spans="2:13">
      <c r="B33" s="135" t="s">
        <v>1058</v>
      </c>
    </row>
    <row r="35" spans="2:13">
      <c r="B35" s="6" t="s">
        <v>2</v>
      </c>
      <c r="C35" s="6">
        <v>0.53</v>
      </c>
      <c r="D35" s="6" t="s">
        <v>1059</v>
      </c>
      <c r="E35" s="495">
        <v>1.2</v>
      </c>
      <c r="F35" s="135" t="s">
        <v>1060</v>
      </c>
      <c r="G35" s="731">
        <v>0.83</v>
      </c>
      <c r="H35" s="731"/>
      <c r="K35" s="719"/>
      <c r="L35" s="719"/>
      <c r="M35" s="6" t="s">
        <v>1061</v>
      </c>
    </row>
    <row r="36" spans="2:13">
      <c r="B36" s="6" t="s">
        <v>2</v>
      </c>
      <c r="C36" s="6">
        <v>1.07</v>
      </c>
      <c r="D36" s="6" t="s">
        <v>597</v>
      </c>
    </row>
    <row r="37" spans="2:13">
      <c r="B37" s="6" t="s">
        <v>1062</v>
      </c>
      <c r="H37" s="806"/>
      <c r="I37" s="806"/>
    </row>
    <row r="39" spans="2:13">
      <c r="B39" s="6" t="s">
        <v>2</v>
      </c>
      <c r="C39" s="6">
        <v>0.224</v>
      </c>
      <c r="D39" s="6" t="s">
        <v>3</v>
      </c>
      <c r="E39" s="495">
        <v>1.8</v>
      </c>
      <c r="F39" s="6" t="s">
        <v>3</v>
      </c>
      <c r="G39" s="6">
        <v>1.2</v>
      </c>
    </row>
    <row r="41" spans="2:13" ht="14.25">
      <c r="B41" s="83" t="s">
        <v>2</v>
      </c>
      <c r="C41" s="6">
        <v>0.48299999999999998</v>
      </c>
      <c r="D41" s="6" t="s">
        <v>1063</v>
      </c>
    </row>
    <row r="43" spans="2:13">
      <c r="B43" s="6" t="s">
        <v>1064</v>
      </c>
      <c r="G43" s="6" t="s">
        <v>2</v>
      </c>
      <c r="H43" s="731"/>
      <c r="I43" s="731"/>
    </row>
    <row r="45" spans="2:13">
      <c r="B45" s="6" t="s">
        <v>2</v>
      </c>
      <c r="C45" s="6">
        <v>0.224</v>
      </c>
      <c r="D45" s="105" t="s">
        <v>3</v>
      </c>
      <c r="E45" s="495">
        <v>1.8</v>
      </c>
      <c r="F45" s="6" t="s">
        <v>1065</v>
      </c>
      <c r="G45" s="6">
        <v>1.2</v>
      </c>
      <c r="H45" s="6" t="s">
        <v>7</v>
      </c>
      <c r="I45" s="731">
        <v>0.82499999999999996</v>
      </c>
      <c r="J45" s="731"/>
      <c r="K45" s="6" t="s">
        <v>15</v>
      </c>
    </row>
    <row r="47" spans="2:13" ht="14.25">
      <c r="B47" s="83" t="s">
        <v>2</v>
      </c>
      <c r="C47" s="6">
        <v>0.81599999999999995</v>
      </c>
      <c r="D47" s="6" t="s">
        <v>1063</v>
      </c>
    </row>
    <row r="48" spans="2:13">
      <c r="B48" s="6" t="s">
        <v>1066</v>
      </c>
    </row>
    <row r="49" spans="2:16">
      <c r="B49" s="6" t="s">
        <v>1067</v>
      </c>
    </row>
    <row r="50" spans="2:16">
      <c r="C50" s="398">
        <v>1</v>
      </c>
      <c r="D50" s="807" t="s">
        <v>1068</v>
      </c>
      <c r="E50" s="732">
        <v>0.81599999999999995</v>
      </c>
      <c r="F50" s="732"/>
      <c r="G50" s="732" t="s">
        <v>16</v>
      </c>
      <c r="H50" s="732">
        <v>0.48299999999999998</v>
      </c>
      <c r="I50" s="732"/>
      <c r="J50" s="732" t="s">
        <v>1069</v>
      </c>
      <c r="K50" s="732">
        <v>0.82499999999999996</v>
      </c>
      <c r="L50" s="732" t="s">
        <v>244</v>
      </c>
      <c r="M50" s="732">
        <v>0.42</v>
      </c>
      <c r="N50" s="732"/>
      <c r="O50" s="732" t="s">
        <v>244</v>
      </c>
      <c r="P50" s="801">
        <v>0.875</v>
      </c>
    </row>
    <row r="51" spans="2:16">
      <c r="B51" s="6" t="s">
        <v>2</v>
      </c>
      <c r="C51" s="105">
        <v>2</v>
      </c>
      <c r="D51" s="732"/>
      <c r="E51" s="732"/>
      <c r="F51" s="732"/>
      <c r="G51" s="732"/>
      <c r="H51" s="732"/>
      <c r="I51" s="732"/>
      <c r="J51" s="732"/>
      <c r="K51" s="732"/>
      <c r="L51" s="732"/>
      <c r="M51" s="732"/>
      <c r="N51" s="732"/>
      <c r="O51" s="732"/>
      <c r="P51" s="801"/>
    </row>
    <row r="53" spans="2:16">
      <c r="D53" s="6" t="s">
        <v>7</v>
      </c>
      <c r="E53" s="732">
        <v>0.48299999999999998</v>
      </c>
      <c r="F53" s="732"/>
      <c r="G53" s="732" t="s">
        <v>244</v>
      </c>
      <c r="H53" s="732">
        <v>0.82499999999999996</v>
      </c>
      <c r="I53" s="732"/>
      <c r="J53" s="732" t="s">
        <v>1070</v>
      </c>
      <c r="K53" s="398">
        <v>0.52800000000000002</v>
      </c>
    </row>
    <row r="54" spans="2:16">
      <c r="E54" s="732"/>
      <c r="F54" s="732"/>
      <c r="G54" s="732"/>
      <c r="H54" s="732"/>
      <c r="I54" s="732"/>
      <c r="J54" s="732"/>
      <c r="K54" s="105">
        <v>2</v>
      </c>
    </row>
    <row r="55" spans="2:16">
      <c r="B55" s="6" t="s">
        <v>2</v>
      </c>
      <c r="C55" s="6">
        <v>4.8000000000000001E-2</v>
      </c>
      <c r="D55" s="6" t="s">
        <v>7</v>
      </c>
      <c r="E55" s="731">
        <v>0.16400000000000001</v>
      </c>
      <c r="F55" s="731"/>
    </row>
    <row r="57" spans="2:16">
      <c r="B57" s="6" t="s">
        <v>2</v>
      </c>
      <c r="C57" s="6">
        <v>0.21</v>
      </c>
      <c r="D57" s="6" t="s">
        <v>597</v>
      </c>
      <c r="E57" s="135"/>
    </row>
    <row r="58" spans="2:16">
      <c r="C58" s="6" t="s">
        <v>1071</v>
      </c>
      <c r="F58" s="163"/>
      <c r="G58" s="163"/>
    </row>
    <row r="60" spans="2:16">
      <c r="B60" s="6" t="s">
        <v>2</v>
      </c>
      <c r="D60" s="6">
        <v>1.07</v>
      </c>
      <c r="E60" s="6" t="s">
        <v>7</v>
      </c>
      <c r="F60" s="483">
        <v>0.21</v>
      </c>
      <c r="G60" s="483"/>
    </row>
    <row r="61" spans="2:16">
      <c r="F61" s="483"/>
      <c r="G61" s="483"/>
    </row>
    <row r="62" spans="2:16">
      <c r="B62" s="6" t="s">
        <v>2</v>
      </c>
      <c r="D62" s="6">
        <v>1.28</v>
      </c>
      <c r="E62" s="6" t="s">
        <v>597</v>
      </c>
      <c r="F62" s="135" t="s">
        <v>2</v>
      </c>
      <c r="G62" s="83">
        <f>D62*10</f>
        <v>12.8</v>
      </c>
      <c r="H62" s="83" t="s">
        <v>5</v>
      </c>
    </row>
    <row r="63" spans="2:16" ht="21" customHeight="1">
      <c r="B63" s="6" t="s">
        <v>1072</v>
      </c>
      <c r="D63" s="6" t="s">
        <v>2</v>
      </c>
      <c r="E63" s="808">
        <v>3.16</v>
      </c>
      <c r="F63" s="808"/>
      <c r="G63" s="398" t="s">
        <v>244</v>
      </c>
      <c r="H63" s="490" t="s">
        <v>1073</v>
      </c>
    </row>
    <row r="64" spans="2:16">
      <c r="F64" s="7">
        <v>30</v>
      </c>
      <c r="G64" s="105" t="s">
        <v>244</v>
      </c>
      <c r="H64" s="6">
        <v>100</v>
      </c>
    </row>
    <row r="65" spans="2:10" ht="14.25">
      <c r="D65" s="6" t="s">
        <v>2</v>
      </c>
      <c r="E65" s="731">
        <f>1.26*25/30</f>
        <v>1.05</v>
      </c>
      <c r="F65" s="731"/>
      <c r="G65" s="6" t="s">
        <v>1074</v>
      </c>
    </row>
    <row r="68" spans="2:10" ht="14.25">
      <c r="B68" s="6" t="s">
        <v>1075</v>
      </c>
      <c r="D68" s="6" t="s">
        <v>2</v>
      </c>
      <c r="E68" s="808">
        <v>1.28</v>
      </c>
      <c r="F68" s="808"/>
      <c r="G68" s="398" t="s">
        <v>244</v>
      </c>
      <c r="H68" s="490" t="s">
        <v>1073</v>
      </c>
      <c r="I68" s="490"/>
      <c r="J68" s="490"/>
    </row>
    <row r="69" spans="2:10" ht="14.25" customHeight="1">
      <c r="E69" s="496">
        <v>1</v>
      </c>
      <c r="F69" s="105" t="s">
        <v>244</v>
      </c>
      <c r="G69" s="105">
        <v>100</v>
      </c>
      <c r="H69" s="105" t="s">
        <v>244</v>
      </c>
      <c r="I69" s="809" t="s">
        <v>1076</v>
      </c>
      <c r="J69" s="809"/>
    </row>
    <row r="70" spans="2:10">
      <c r="E70" s="105">
        <v>6</v>
      </c>
    </row>
    <row r="72" spans="2:10" ht="14.25">
      <c r="D72" s="6" t="s">
        <v>2</v>
      </c>
      <c r="E72" s="719">
        <f>1280/(100*900/6)</f>
        <v>8.533333333333333E-2</v>
      </c>
      <c r="F72" s="719"/>
      <c r="G72" s="6" t="s">
        <v>1074</v>
      </c>
    </row>
    <row r="74" spans="2:10">
      <c r="B74" s="6" t="s">
        <v>1077</v>
      </c>
      <c r="F74" s="483"/>
      <c r="G74" s="483"/>
    </row>
    <row r="75" spans="2:10">
      <c r="F75" s="483"/>
      <c r="G75" s="483"/>
    </row>
    <row r="76" spans="2:10" ht="14.25">
      <c r="B76" s="6" t="s">
        <v>1078</v>
      </c>
      <c r="G76" s="6">
        <v>67</v>
      </c>
      <c r="H76" s="6" t="s">
        <v>1074</v>
      </c>
    </row>
    <row r="79" spans="2:10">
      <c r="B79" s="6" t="s">
        <v>1079</v>
      </c>
    </row>
    <row r="80" spans="2:10" ht="14.25">
      <c r="C80" s="6" t="s">
        <v>605</v>
      </c>
      <c r="D80" s="6" t="s">
        <v>2</v>
      </c>
      <c r="E80" s="6">
        <v>50</v>
      </c>
      <c r="F80" s="6" t="s">
        <v>1074</v>
      </c>
    </row>
    <row r="83" spans="2:11">
      <c r="B83" s="6" t="s">
        <v>2</v>
      </c>
      <c r="D83" s="398">
        <v>1.05</v>
      </c>
      <c r="E83" s="732" t="s">
        <v>7</v>
      </c>
      <c r="F83" s="731">
        <v>0.09</v>
      </c>
      <c r="G83" s="731"/>
      <c r="H83" s="811" t="s">
        <v>883</v>
      </c>
      <c r="I83" s="732">
        <v>1</v>
      </c>
      <c r="J83" s="732"/>
    </row>
    <row r="84" spans="2:11">
      <c r="D84" s="105">
        <v>50</v>
      </c>
      <c r="E84" s="732"/>
      <c r="F84" s="731">
        <v>67</v>
      </c>
      <c r="G84" s="731"/>
      <c r="H84" s="812"/>
      <c r="I84" s="732"/>
      <c r="J84" s="732"/>
    </row>
    <row r="86" spans="2:11">
      <c r="B86" s="6" t="s">
        <v>2</v>
      </c>
      <c r="D86" s="6">
        <f>1.05/50</f>
        <v>2.1000000000000001E-2</v>
      </c>
      <c r="E86" s="6" t="s">
        <v>7</v>
      </c>
      <c r="F86" s="810">
        <f>0.09/67</f>
        <v>1.3432835820895521E-3</v>
      </c>
      <c r="G86" s="810"/>
      <c r="H86" s="497" t="s">
        <v>883</v>
      </c>
      <c r="I86" s="498">
        <v>1</v>
      </c>
    </row>
    <row r="87" spans="2:11">
      <c r="H87" s="498"/>
      <c r="I87" s="498"/>
    </row>
    <row r="88" spans="2:11">
      <c r="B88" s="6" t="s">
        <v>2</v>
      </c>
      <c r="D88" s="6">
        <v>2.1999999999999999E-2</v>
      </c>
      <c r="H88" s="497" t="s">
        <v>883</v>
      </c>
      <c r="I88" s="498">
        <v>1</v>
      </c>
      <c r="K88" s="83" t="s">
        <v>1080</v>
      </c>
    </row>
    <row r="94" spans="2:11">
      <c r="E94" s="483"/>
      <c r="F94" s="483"/>
      <c r="G94" s="483"/>
    </row>
    <row r="95" spans="2:11">
      <c r="E95" s="483"/>
      <c r="F95" s="483"/>
      <c r="G95" s="483"/>
    </row>
    <row r="97" spans="2:2">
      <c r="B97" s="479"/>
    </row>
  </sheetData>
  <mergeCells count="43">
    <mergeCell ref="E13:F13"/>
    <mergeCell ref="D16:D17"/>
    <mergeCell ref="E16:F16"/>
    <mergeCell ref="G16:G17"/>
    <mergeCell ref="H16:H17"/>
    <mergeCell ref="I16:J17"/>
    <mergeCell ref="E17:F17"/>
    <mergeCell ref="E25:F25"/>
    <mergeCell ref="J25:K25"/>
    <mergeCell ref="I31:J31"/>
    <mergeCell ref="H32:J32"/>
    <mergeCell ref="G35:H35"/>
    <mergeCell ref="K35:L35"/>
    <mergeCell ref="H37:I37"/>
    <mergeCell ref="H43:I43"/>
    <mergeCell ref="I45:J45"/>
    <mergeCell ref="D50:D51"/>
    <mergeCell ref="E50:F51"/>
    <mergeCell ref="G50:G51"/>
    <mergeCell ref="H50:I51"/>
    <mergeCell ref="J50:J51"/>
    <mergeCell ref="K50:K51"/>
    <mergeCell ref="L50:L51"/>
    <mergeCell ref="M50:N51"/>
    <mergeCell ref="O50:O51"/>
    <mergeCell ref="P50:P51"/>
    <mergeCell ref="E53:F54"/>
    <mergeCell ref="G53:G54"/>
    <mergeCell ref="H53:I54"/>
    <mergeCell ref="J53:J54"/>
    <mergeCell ref="E55:F55"/>
    <mergeCell ref="E63:F63"/>
    <mergeCell ref="E65:F65"/>
    <mergeCell ref="E68:F68"/>
    <mergeCell ref="I69:J69"/>
    <mergeCell ref="E72:F72"/>
    <mergeCell ref="F86:G86"/>
    <mergeCell ref="E83:E84"/>
    <mergeCell ref="F83:G83"/>
    <mergeCell ref="H83:H84"/>
    <mergeCell ref="I83:I84"/>
    <mergeCell ref="J83:J84"/>
    <mergeCell ref="F84:G84"/>
  </mergeCells>
  <pageMargins left="0.75" right="0.75" top="1" bottom="1" header="0.5" footer="0.5"/>
  <pageSetup paperSize="9" scale="89" fitToHeight="28" orientation="portrait" verticalDpi="300" r:id="rId1"/>
  <headerFooter>
    <oddFooter>&amp;L&amp;P/{&amp;N}&amp;C&amp;F&amp;R&amp;A</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7"/>
    <pageSetUpPr fitToPage="1"/>
  </sheetPr>
  <dimension ref="A1:J144"/>
  <sheetViews>
    <sheetView workbookViewId="0"/>
  </sheetViews>
  <sheetFormatPr defaultRowHeight="12.75"/>
  <cols>
    <col min="1" max="1" width="49" customWidth="1"/>
  </cols>
  <sheetData>
    <row r="1" spans="1:9">
      <c r="A1" t="s">
        <v>1081</v>
      </c>
    </row>
    <row r="2" spans="1:9">
      <c r="A2" t="s">
        <v>1082</v>
      </c>
      <c r="B2">
        <v>925</v>
      </c>
      <c r="C2" t="s">
        <v>1</v>
      </c>
    </row>
    <row r="3" spans="1:9">
      <c r="A3" t="s">
        <v>1083</v>
      </c>
      <c r="B3">
        <v>75</v>
      </c>
      <c r="C3" t="s">
        <v>1</v>
      </c>
    </row>
    <row r="4" spans="1:9">
      <c r="A4" t="s">
        <v>1084</v>
      </c>
      <c r="B4">
        <v>25</v>
      </c>
      <c r="C4" t="s">
        <v>1</v>
      </c>
    </row>
    <row r="5" spans="1:9">
      <c r="A5" t="s">
        <v>1085</v>
      </c>
      <c r="B5">
        <v>25</v>
      </c>
      <c r="C5" t="s">
        <v>1</v>
      </c>
    </row>
    <row r="6" spans="1:9">
      <c r="A6" s="163" t="s">
        <v>1086</v>
      </c>
      <c r="B6">
        <f>B2</f>
        <v>925</v>
      </c>
      <c r="C6" s="19" t="s">
        <v>16</v>
      </c>
      <c r="D6">
        <f>B5</f>
        <v>25</v>
      </c>
      <c r="E6" s="19" t="s">
        <v>16</v>
      </c>
      <c r="F6">
        <f>B5</f>
        <v>25</v>
      </c>
      <c r="G6" s="19" t="s">
        <v>825</v>
      </c>
      <c r="H6">
        <f>B2-B5-B4/2</f>
        <v>887.5</v>
      </c>
      <c r="I6" t="s">
        <v>1</v>
      </c>
    </row>
    <row r="7" spans="1:9">
      <c r="A7" s="163" t="s">
        <v>1087</v>
      </c>
      <c r="B7" s="163">
        <v>10</v>
      </c>
      <c r="C7" t="s">
        <v>0</v>
      </c>
    </row>
    <row r="8" spans="1:9">
      <c r="A8" t="s">
        <v>1088</v>
      </c>
    </row>
    <row r="9" spans="1:9">
      <c r="A9" t="s">
        <v>1089</v>
      </c>
      <c r="B9">
        <f>B2/1000</f>
        <v>0.92500000000000004</v>
      </c>
      <c r="C9" s="19" t="s">
        <v>3</v>
      </c>
      <c r="D9">
        <v>2.4</v>
      </c>
      <c r="E9" s="19" t="s">
        <v>2</v>
      </c>
      <c r="F9">
        <f>B9*D9</f>
        <v>2.2200000000000002</v>
      </c>
      <c r="G9" t="s">
        <v>1090</v>
      </c>
    </row>
    <row r="10" spans="1:9">
      <c r="A10" t="s">
        <v>1091</v>
      </c>
      <c r="B10">
        <v>7.4999999999999997E-2</v>
      </c>
      <c r="C10" s="19" t="s">
        <v>3</v>
      </c>
      <c r="D10">
        <v>2.4</v>
      </c>
      <c r="E10" s="19" t="s">
        <v>2</v>
      </c>
      <c r="F10">
        <f>B10*D10</f>
        <v>0.18</v>
      </c>
      <c r="G10" t="s">
        <v>1090</v>
      </c>
    </row>
    <row r="11" spans="1:9">
      <c r="A11" s="7" t="s">
        <v>1092</v>
      </c>
      <c r="D11" s="731"/>
      <c r="E11" s="731"/>
      <c r="F11" s="1">
        <f>SUM(F9:F10)</f>
        <v>2.4000000000000004</v>
      </c>
      <c r="G11" t="s">
        <v>1090</v>
      </c>
    </row>
    <row r="12" spans="1:9">
      <c r="A12" t="s">
        <v>1093</v>
      </c>
      <c r="B12" s="731" t="str">
        <f>CONCATENATE(F11,"x",B7,"x",B7,"/8 =")</f>
        <v>2.4x10x10/8 =</v>
      </c>
      <c r="C12" s="731"/>
      <c r="D12" s="731"/>
      <c r="E12" s="731"/>
      <c r="F12" s="2">
        <f>F11*B7^2/8</f>
        <v>30.000000000000004</v>
      </c>
      <c r="G12" t="s">
        <v>597</v>
      </c>
    </row>
    <row r="13" spans="1:9">
      <c r="B13" s="105"/>
      <c r="C13" s="105"/>
      <c r="D13" s="105"/>
      <c r="E13" s="105"/>
    </row>
    <row r="14" spans="1:9">
      <c r="A14" s="1" t="s">
        <v>611</v>
      </c>
    </row>
    <row r="15" spans="1:9">
      <c r="A15" t="s">
        <v>612</v>
      </c>
    </row>
    <row r="16" spans="1:9">
      <c r="A16" s="1" t="s">
        <v>613</v>
      </c>
    </row>
    <row r="17" spans="1:4">
      <c r="A17" t="s">
        <v>615</v>
      </c>
      <c r="B17" s="19"/>
    </row>
    <row r="18" spans="1:4">
      <c r="A18" t="str">
        <f>CONCATENATE("= ",3.6,"+2(",B3/1000,"+",B2/1000,")=")</f>
        <v>= 3.6+2(0.075+0.925)=</v>
      </c>
      <c r="B18" s="177" t="s">
        <v>2</v>
      </c>
      <c r="C18" s="38">
        <f>3.6+(B2+B3)/500</f>
        <v>5.6</v>
      </c>
      <c r="D18" t="s">
        <v>0</v>
      </c>
    </row>
    <row r="19" spans="1:4">
      <c r="B19" s="177"/>
    </row>
    <row r="20" spans="1:4">
      <c r="A20" s="1" t="s">
        <v>618</v>
      </c>
    </row>
    <row r="21" spans="1:4">
      <c r="A21" t="s">
        <v>1094</v>
      </c>
    </row>
    <row r="22" spans="1:4">
      <c r="A22" t="s">
        <v>1095</v>
      </c>
    </row>
    <row r="23" spans="1:4">
      <c r="B23" t="s">
        <v>622</v>
      </c>
    </row>
    <row r="24" spans="1:4">
      <c r="B24" t="s">
        <v>623</v>
      </c>
    </row>
    <row r="25" spans="1:4">
      <c r="B25" t="s">
        <v>624</v>
      </c>
    </row>
    <row r="26" spans="1:4">
      <c r="B26" t="s">
        <v>625</v>
      </c>
    </row>
    <row r="27" spans="1:4">
      <c r="B27" t="s">
        <v>626</v>
      </c>
    </row>
    <row r="28" spans="1:4">
      <c r="A28" s="7" t="s">
        <v>1096</v>
      </c>
    </row>
    <row r="29" spans="1:4">
      <c r="A29" s="7" t="s">
        <v>1097</v>
      </c>
      <c r="B29" s="19" t="s">
        <v>2</v>
      </c>
      <c r="C29" s="2">
        <v>7.5</v>
      </c>
      <c r="D29" t="s">
        <v>0</v>
      </c>
    </row>
    <row r="30" spans="1:4">
      <c r="A30" s="7" t="s">
        <v>1098</v>
      </c>
      <c r="B30" s="19" t="s">
        <v>2</v>
      </c>
      <c r="C30" s="180">
        <v>10</v>
      </c>
      <c r="D30" t="s">
        <v>0</v>
      </c>
    </row>
    <row r="31" spans="1:4">
      <c r="A31" s="7" t="s">
        <v>1099</v>
      </c>
      <c r="B31" s="19" t="s">
        <v>2</v>
      </c>
      <c r="C31">
        <f>ROUND(C29/C30,2)</f>
        <v>0.75</v>
      </c>
    </row>
    <row r="32" spans="1:4">
      <c r="A32" s="7" t="s">
        <v>1100</v>
      </c>
      <c r="B32" t="s">
        <v>616</v>
      </c>
      <c r="C32">
        <v>2.4</v>
      </c>
    </row>
    <row r="33" spans="1:8">
      <c r="A33" s="7" t="s">
        <v>1101</v>
      </c>
      <c r="B33" t="s">
        <v>1102</v>
      </c>
      <c r="D33" s="2">
        <v>1</v>
      </c>
      <c r="E33" t="s">
        <v>0</v>
      </c>
    </row>
    <row r="34" spans="1:8">
      <c r="A34" s="7" t="s">
        <v>3</v>
      </c>
      <c r="B34" s="19" t="s">
        <v>2</v>
      </c>
      <c r="C34" t="s">
        <v>1103</v>
      </c>
      <c r="D34" s="19" t="s">
        <v>2</v>
      </c>
      <c r="E34" s="180">
        <f>C30</f>
        <v>10</v>
      </c>
      <c r="F34" s="19" t="s">
        <v>825</v>
      </c>
      <c r="G34" s="2">
        <f>E34/2</f>
        <v>5</v>
      </c>
      <c r="H34" t="s">
        <v>0</v>
      </c>
    </row>
    <row r="35" spans="1:8">
      <c r="A35" s="99" t="s">
        <v>1104</v>
      </c>
      <c r="B35" s="206" t="s">
        <v>2</v>
      </c>
      <c r="C35" s="38">
        <f>C32*(1-G34/C30)+D33</f>
        <v>2.2000000000000002</v>
      </c>
      <c r="D35" s="1" t="s">
        <v>0</v>
      </c>
    </row>
    <row r="36" spans="1:8">
      <c r="A36" t="s">
        <v>640</v>
      </c>
    </row>
    <row r="37" spans="1:8">
      <c r="A37" t="s">
        <v>641</v>
      </c>
    </row>
    <row r="38" spans="1:8">
      <c r="A38" t="s">
        <v>1105</v>
      </c>
    </row>
    <row r="39" spans="1:8">
      <c r="A39" t="s">
        <v>1106</v>
      </c>
    </row>
    <row r="40" spans="1:8">
      <c r="B40" t="s">
        <v>1107</v>
      </c>
    </row>
    <row r="41" spans="1:8">
      <c r="A41" s="7" t="s">
        <v>1108</v>
      </c>
      <c r="H41">
        <f>1.925+3.825</f>
        <v>5.75</v>
      </c>
    </row>
    <row r="43" spans="1:8">
      <c r="A43" s="7" t="s">
        <v>1109</v>
      </c>
      <c r="B43" s="19" t="s">
        <v>2</v>
      </c>
      <c r="C43">
        <f>2.05+1.93+2.8</f>
        <v>6.7799999999999994</v>
      </c>
      <c r="D43" t="s">
        <v>29</v>
      </c>
    </row>
    <row r="44" spans="1:8">
      <c r="A44" s="7" t="s">
        <v>650</v>
      </c>
    </row>
    <row r="45" spans="1:8">
      <c r="A45" s="83" t="s">
        <v>1110</v>
      </c>
      <c r="B45" s="19" t="s">
        <v>1111</v>
      </c>
    </row>
    <row r="46" spans="1:8">
      <c r="B46" s="19" t="s">
        <v>2</v>
      </c>
      <c r="C46">
        <f>ROUNDUP(70*1.1375,2)</f>
        <v>79.63000000000001</v>
      </c>
      <c r="D46" t="s">
        <v>660</v>
      </c>
    </row>
    <row r="47" spans="1:8">
      <c r="A47" s="1" t="s">
        <v>1112</v>
      </c>
      <c r="B47" s="19" t="s">
        <v>2</v>
      </c>
      <c r="C47">
        <f>C46</f>
        <v>79.63000000000001</v>
      </c>
      <c r="D47" s="19" t="s">
        <v>1113</v>
      </c>
      <c r="E47" s="2">
        <f>C35</f>
        <v>2.2000000000000002</v>
      </c>
      <c r="F47" s="19" t="s">
        <v>3</v>
      </c>
      <c r="G47" s="2">
        <f>C43</f>
        <v>6.7799999999999994</v>
      </c>
      <c r="H47" s="19" t="s">
        <v>1114</v>
      </c>
    </row>
    <row r="48" spans="1:8">
      <c r="A48" s="19"/>
      <c r="B48" s="19" t="s">
        <v>2</v>
      </c>
      <c r="C48">
        <f>ROUND(C46/(E47*G47),2)</f>
        <v>5.34</v>
      </c>
      <c r="D48" t="s">
        <v>660</v>
      </c>
    </row>
    <row r="49" spans="1:5">
      <c r="A49" s="1" t="s">
        <v>662</v>
      </c>
    </row>
    <row r="51" spans="1:5">
      <c r="A51" t="s">
        <v>1115</v>
      </c>
    </row>
    <row r="53" spans="1:5">
      <c r="A53" s="7" t="s">
        <v>1116</v>
      </c>
      <c r="B53" s="398">
        <v>5.6</v>
      </c>
      <c r="C53" s="812" t="s">
        <v>1117</v>
      </c>
      <c r="D53" s="398">
        <v>5.6</v>
      </c>
      <c r="E53" s="801" t="s">
        <v>15</v>
      </c>
    </row>
    <row r="54" spans="1:5">
      <c r="A54" s="7"/>
      <c r="B54" s="105">
        <v>2</v>
      </c>
      <c r="C54" s="812"/>
      <c r="D54" s="105">
        <v>5</v>
      </c>
      <c r="E54" s="801"/>
    </row>
    <row r="55" spans="1:5">
      <c r="A55" s="7"/>
    </row>
    <row r="56" spans="1:5">
      <c r="A56" s="7" t="s">
        <v>1118</v>
      </c>
      <c r="B56" s="499">
        <f>ROUND(C48*C18/2*(C30-C18/5),2)</f>
        <v>132.77000000000001</v>
      </c>
      <c r="C56" t="s">
        <v>1119</v>
      </c>
    </row>
    <row r="57" spans="1:5">
      <c r="A57" t="s">
        <v>1120</v>
      </c>
    </row>
    <row r="59" spans="1:5">
      <c r="A59" t="s">
        <v>1121</v>
      </c>
    </row>
    <row r="60" spans="1:5">
      <c r="A60" t="s">
        <v>1122</v>
      </c>
    </row>
    <row r="62" spans="1:5">
      <c r="A62" s="1" t="s">
        <v>663</v>
      </c>
    </row>
    <row r="63" spans="1:5">
      <c r="A63" s="7" t="s">
        <v>664</v>
      </c>
      <c r="B63" t="s">
        <v>665</v>
      </c>
    </row>
    <row r="64" spans="1:5">
      <c r="A64" s="7"/>
    </row>
    <row r="65" spans="1:4">
      <c r="A65" s="7" t="s">
        <v>1123</v>
      </c>
      <c r="B65" t="s">
        <v>667</v>
      </c>
    </row>
    <row r="66" spans="1:4">
      <c r="A66" s="7"/>
    </row>
    <row r="67" spans="1:4">
      <c r="A67" s="7" t="s">
        <v>1124</v>
      </c>
      <c r="B67" t="s">
        <v>669</v>
      </c>
    </row>
    <row r="68" spans="1:4">
      <c r="A68" s="7"/>
    </row>
    <row r="69" spans="1:4">
      <c r="A69" s="7" t="s">
        <v>670</v>
      </c>
      <c r="B69" t="s">
        <v>671</v>
      </c>
    </row>
    <row r="70" spans="1:4">
      <c r="A70" s="7"/>
    </row>
    <row r="71" spans="1:4">
      <c r="A71" s="7" t="s">
        <v>672</v>
      </c>
      <c r="B71" t="s">
        <v>673</v>
      </c>
      <c r="C71" t="s">
        <v>674</v>
      </c>
    </row>
    <row r="72" spans="1:4">
      <c r="A72" t="s">
        <v>675</v>
      </c>
    </row>
    <row r="73" spans="1:4">
      <c r="A73" s="7" t="s">
        <v>1125</v>
      </c>
      <c r="B73" s="19" t="s">
        <v>2</v>
      </c>
      <c r="C73">
        <v>1.8</v>
      </c>
      <c r="D73" t="s">
        <v>0</v>
      </c>
    </row>
    <row r="75" spans="1:4">
      <c r="A75" t="s">
        <v>1126</v>
      </c>
    </row>
    <row r="76" spans="1:4">
      <c r="A76" t="s">
        <v>678</v>
      </c>
    </row>
    <row r="78" spans="1:4">
      <c r="A78" s="7" t="s">
        <v>679</v>
      </c>
      <c r="D78" s="163" t="s">
        <v>680</v>
      </c>
    </row>
    <row r="79" spans="1:4">
      <c r="A79" s="7" t="s">
        <v>681</v>
      </c>
      <c r="D79" t="s">
        <v>682</v>
      </c>
    </row>
    <row r="80" spans="1:4">
      <c r="A80" s="7"/>
    </row>
    <row r="81" spans="1:10">
      <c r="A81" s="7" t="s">
        <v>1127</v>
      </c>
      <c r="C81" t="s">
        <v>7</v>
      </c>
      <c r="D81">
        <v>1.8</v>
      </c>
    </row>
    <row r="82" spans="1:10">
      <c r="A82" s="7"/>
    </row>
    <row r="83" spans="1:10">
      <c r="A83" s="7" t="s">
        <v>1128</v>
      </c>
      <c r="B83" t="s">
        <v>685</v>
      </c>
    </row>
    <row r="84" spans="1:10">
      <c r="A84" t="s">
        <v>1129</v>
      </c>
    </row>
    <row r="86" spans="1:10">
      <c r="A86" t="s">
        <v>1130</v>
      </c>
    </row>
    <row r="88" spans="1:10">
      <c r="A88" s="7" t="s">
        <v>1131</v>
      </c>
    </row>
    <row r="89" spans="1:10">
      <c r="A89" s="7"/>
    </row>
    <row r="90" spans="1:10">
      <c r="A90" s="7" t="s">
        <v>1132</v>
      </c>
    </row>
    <row r="91" spans="1:10">
      <c r="A91" s="7"/>
    </row>
    <row r="92" spans="1:10">
      <c r="A92" s="7" t="s">
        <v>1133</v>
      </c>
      <c r="B92" t="s">
        <v>1134</v>
      </c>
      <c r="C92" t="s">
        <v>1135</v>
      </c>
    </row>
    <row r="93" spans="1:10">
      <c r="A93" s="7"/>
      <c r="J93">
        <f>(2.4*4)*(1-4/8)</f>
        <v>4.8</v>
      </c>
    </row>
    <row r="94" spans="1:10">
      <c r="A94" s="7" t="s">
        <v>1136</v>
      </c>
      <c r="B94" t="s">
        <v>1137</v>
      </c>
      <c r="D94" t="s">
        <v>1138</v>
      </c>
    </row>
    <row r="95" spans="1:10">
      <c r="A95" s="7"/>
    </row>
    <row r="96" spans="1:10">
      <c r="A96" s="7" t="s">
        <v>1139</v>
      </c>
      <c r="B96" t="s">
        <v>1140</v>
      </c>
      <c r="E96">
        <v>0.45</v>
      </c>
      <c r="F96" t="s">
        <v>29</v>
      </c>
    </row>
    <row r="98" spans="1:6">
      <c r="A98" s="7" t="s">
        <v>1141</v>
      </c>
      <c r="B98" t="s">
        <v>288</v>
      </c>
      <c r="C98">
        <f>2.4*G34*(1-G34/C30)+E96</f>
        <v>6.45</v>
      </c>
      <c r="D98" t="s">
        <v>29</v>
      </c>
      <c r="F98" t="s">
        <v>1142</v>
      </c>
    </row>
    <row r="100" spans="1:6">
      <c r="A100" t="s">
        <v>1143</v>
      </c>
    </row>
    <row r="102" spans="1:6">
      <c r="A102" t="s">
        <v>1144</v>
      </c>
    </row>
    <row r="104" spans="1:6">
      <c r="A104" t="s">
        <v>1145</v>
      </c>
    </row>
    <row r="106" spans="1:6">
      <c r="A106" t="s">
        <v>1146</v>
      </c>
    </row>
    <row r="107" spans="1:6">
      <c r="A107" t="s">
        <v>1147</v>
      </c>
    </row>
    <row r="108" spans="1:6">
      <c r="A108" t="s">
        <v>1148</v>
      </c>
    </row>
    <row r="109" spans="1:6">
      <c r="A109" t="s">
        <v>1149</v>
      </c>
    </row>
    <row r="111" spans="1:6">
      <c r="A111" s="7" t="s">
        <v>1150</v>
      </c>
      <c r="B111" s="19" t="s">
        <v>1151</v>
      </c>
      <c r="C111" t="s">
        <v>1152</v>
      </c>
      <c r="E111" s="500">
        <v>6.45</v>
      </c>
    </row>
    <row r="112" spans="1:6">
      <c r="B112" s="105">
        <v>2</v>
      </c>
      <c r="E112" s="105">
        <v>2</v>
      </c>
    </row>
    <row r="114" spans="1:5">
      <c r="A114" s="7" t="s">
        <v>1150</v>
      </c>
      <c r="B114" t="s">
        <v>1153</v>
      </c>
    </row>
    <row r="116" spans="1:5">
      <c r="A116" s="501" t="s">
        <v>2</v>
      </c>
      <c r="B116" s="203">
        <f>2.2+3.225+1.655</f>
        <v>7.080000000000001</v>
      </c>
      <c r="C116" t="s">
        <v>0</v>
      </c>
    </row>
    <row r="117" spans="1:5">
      <c r="A117" t="s">
        <v>1154</v>
      </c>
    </row>
    <row r="118" spans="1:5">
      <c r="A118" s="6" t="s">
        <v>1155</v>
      </c>
      <c r="B118" t="s">
        <v>639</v>
      </c>
      <c r="C118" s="6">
        <v>1.25</v>
      </c>
    </row>
    <row r="119" spans="1:5">
      <c r="A119" s="6" t="s">
        <v>1156</v>
      </c>
    </row>
    <row r="120" spans="1:5">
      <c r="A120" s="6" t="s">
        <v>1157</v>
      </c>
    </row>
    <row r="121" spans="1:5">
      <c r="A121" s="6" t="s">
        <v>1158</v>
      </c>
    </row>
    <row r="122" spans="1:5">
      <c r="A122" s="6"/>
    </row>
    <row r="123" spans="1:5">
      <c r="A123" s="7" t="s">
        <v>1159</v>
      </c>
      <c r="C123" s="398" t="s">
        <v>1160</v>
      </c>
      <c r="D123" s="489"/>
      <c r="E123" s="489"/>
    </row>
    <row r="124" spans="1:5">
      <c r="A124" s="7"/>
      <c r="C124" t="s">
        <v>1161</v>
      </c>
    </row>
    <row r="125" spans="1:5">
      <c r="A125" s="7" t="s">
        <v>1118</v>
      </c>
      <c r="B125" s="733" t="s">
        <v>1162</v>
      </c>
      <c r="C125" s="733"/>
    </row>
    <row r="126" spans="1:5">
      <c r="A126" s="7"/>
      <c r="B126" s="731" t="s">
        <v>1163</v>
      </c>
      <c r="C126" s="731"/>
    </row>
    <row r="127" spans="1:5">
      <c r="A127" s="7"/>
    </row>
    <row r="128" spans="1:5">
      <c r="A128" s="7" t="s">
        <v>1118</v>
      </c>
      <c r="B128">
        <f>ROUND(50/(3*B116),2)</f>
        <v>2.35</v>
      </c>
      <c r="C128" t="s">
        <v>655</v>
      </c>
    </row>
    <row r="129" spans="1:5">
      <c r="A129" t="s">
        <v>1143</v>
      </c>
    </row>
    <row r="130" spans="1:5">
      <c r="A130" t="s">
        <v>1164</v>
      </c>
    </row>
    <row r="131" spans="1:5">
      <c r="A131" s="7" t="s">
        <v>1165</v>
      </c>
      <c r="B131" s="398">
        <v>7.08</v>
      </c>
      <c r="C131" s="812" t="s">
        <v>1117</v>
      </c>
      <c r="D131" s="398">
        <v>7.08</v>
      </c>
      <c r="E131" s="801" t="s">
        <v>15</v>
      </c>
    </row>
    <row r="132" spans="1:5">
      <c r="A132" s="7"/>
      <c r="B132" s="105">
        <v>2</v>
      </c>
      <c r="C132" s="812"/>
      <c r="D132" s="105">
        <v>5</v>
      </c>
      <c r="E132" s="801"/>
    </row>
    <row r="133" spans="1:5">
      <c r="A133" s="7"/>
    </row>
    <row r="134" spans="1:5">
      <c r="A134" s="7" t="s">
        <v>1118</v>
      </c>
      <c r="B134" s="499">
        <f>B128*B116/2*(C30-B116/G34)</f>
        <v>71.410296000000002</v>
      </c>
      <c r="C134" t="s">
        <v>1119</v>
      </c>
    </row>
    <row r="136" spans="1:5">
      <c r="A136" s="7" t="s">
        <v>1166</v>
      </c>
      <c r="B136" t="s">
        <v>1167</v>
      </c>
    </row>
    <row r="137" spans="1:5">
      <c r="A137">
        <v>2</v>
      </c>
      <c r="B137" s="105">
        <v>2</v>
      </c>
    </row>
    <row r="139" spans="1:5">
      <c r="A139" s="501" t="s">
        <v>2</v>
      </c>
    </row>
    <row r="140" spans="1:5">
      <c r="A140" t="s">
        <v>1168</v>
      </c>
    </row>
    <row r="141" spans="1:5">
      <c r="A141" t="s">
        <v>1169</v>
      </c>
      <c r="C141" s="499">
        <f>B56</f>
        <v>132.77000000000001</v>
      </c>
      <c r="D141" t="s">
        <v>1119</v>
      </c>
    </row>
    <row r="142" spans="1:5">
      <c r="A142" s="7" t="s">
        <v>1170</v>
      </c>
      <c r="C142" t="s">
        <v>1171</v>
      </c>
    </row>
    <row r="143" spans="1:5">
      <c r="B143" t="s">
        <v>1133</v>
      </c>
      <c r="C143" s="38">
        <f>F12</f>
        <v>30.000000000000004</v>
      </c>
      <c r="D143" s="19" t="s">
        <v>7</v>
      </c>
      <c r="E143" s="2">
        <f>C141</f>
        <v>132.77000000000001</v>
      </c>
    </row>
    <row r="144" spans="1:5">
      <c r="B144" t="s">
        <v>1133</v>
      </c>
      <c r="C144">
        <f>C143+E143</f>
        <v>162.77000000000001</v>
      </c>
      <c r="D144" t="s">
        <v>597</v>
      </c>
    </row>
  </sheetData>
  <mergeCells count="8">
    <mergeCell ref="C131:C132"/>
    <mergeCell ref="E131:E132"/>
    <mergeCell ref="D11:E11"/>
    <mergeCell ref="B12:E12"/>
    <mergeCell ref="C53:C54"/>
    <mergeCell ref="E53:E54"/>
    <mergeCell ref="B125:C125"/>
    <mergeCell ref="B126:C126"/>
  </mergeCells>
  <pageMargins left="0.75" right="0.75" top="1" bottom="1" header="0.5" footer="0.5"/>
  <pageSetup paperSize="9" fitToHeight="28" orientation="landscape" r:id="rId1"/>
  <headerFooter>
    <oddFooter>&amp;L&amp;P/{&amp;N}&amp;C&amp;F&amp;R&amp;A</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A3"/>
  <sheetViews>
    <sheetView workbookViewId="0"/>
  </sheetViews>
  <sheetFormatPr defaultRowHeight="12.75"/>
  <sheetData>
    <row r="1" spans="1:1" ht="30">
      <c r="A1" s="539" t="s">
        <v>1269</v>
      </c>
    </row>
    <row r="2" spans="1:1" ht="30">
      <c r="A2" s="539"/>
    </row>
    <row r="3" spans="1:1" ht="30">
      <c r="A3" s="539" t="s">
        <v>1336</v>
      </c>
    </row>
  </sheetData>
  <printOptions horizontalCentered="1" verticalCentered="1"/>
  <pageMargins left="0.70866141732283472" right="0.70866141732283472" top="0.74803149606299213" bottom="0.74803149606299213"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K44"/>
  <sheetViews>
    <sheetView zoomScale="115" zoomScaleNormal="115" workbookViewId="0">
      <selection sqref="A1:IV65536"/>
    </sheetView>
  </sheetViews>
  <sheetFormatPr defaultRowHeight="15"/>
  <cols>
    <col min="1" max="1" width="3.7109375" style="433" customWidth="1"/>
    <col min="2" max="2" width="22.7109375" style="172" customWidth="1"/>
    <col min="3" max="3" width="2.28515625" style="172" customWidth="1"/>
    <col min="4" max="4" width="57.7109375" style="172" customWidth="1"/>
    <col min="5" max="5" width="20.7109375" style="172" customWidth="1"/>
    <col min="6" max="16384" width="9.140625" style="172"/>
  </cols>
  <sheetData>
    <row r="1" spans="1:11" ht="23.25">
      <c r="A1" s="818" t="s">
        <v>1337</v>
      </c>
      <c r="B1" s="818"/>
      <c r="C1" s="818"/>
      <c r="D1" s="818"/>
      <c r="E1" s="596"/>
      <c r="F1" s="596"/>
      <c r="G1" s="596"/>
      <c r="H1" s="596"/>
    </row>
    <row r="2" spans="1:11" s="429" customFormat="1" ht="12.75"/>
    <row r="3" spans="1:11" s="598" customFormat="1" ht="25.5">
      <c r="A3" s="597">
        <v>1</v>
      </c>
      <c r="B3" s="598" t="s">
        <v>1338</v>
      </c>
      <c r="C3" s="598" t="s">
        <v>1339</v>
      </c>
      <c r="D3" s="599" t="s">
        <v>1187</v>
      </c>
      <c r="E3" s="598">
        <v>0</v>
      </c>
      <c r="F3" s="598">
        <v>0</v>
      </c>
      <c r="G3" s="598">
        <v>0</v>
      </c>
      <c r="H3" s="598">
        <v>0</v>
      </c>
      <c r="I3" s="598">
        <v>0</v>
      </c>
      <c r="J3" s="598">
        <v>0</v>
      </c>
      <c r="K3" s="598">
        <v>0</v>
      </c>
    </row>
    <row r="4" spans="1:11" s="598" customFormat="1" ht="12.75">
      <c r="A4" s="597"/>
      <c r="D4" s="599"/>
    </row>
    <row r="5" spans="1:11" s="429" customFormat="1" ht="9.9499999999999993" customHeight="1"/>
    <row r="6" spans="1:11" s="429" customFormat="1" ht="59.25" customHeight="1">
      <c r="A6" s="597">
        <v>2</v>
      </c>
      <c r="B6" s="598" t="s">
        <v>1340</v>
      </c>
      <c r="C6" s="600" t="s">
        <v>1339</v>
      </c>
      <c r="D6" s="599"/>
    </row>
    <row r="7" spans="1:11" s="429" customFormat="1" ht="9.9499999999999993" customHeight="1"/>
    <row r="8" spans="1:11" s="598" customFormat="1" ht="12.75">
      <c r="A8" s="597">
        <v>3</v>
      </c>
      <c r="B8" s="598" t="s">
        <v>1341</v>
      </c>
      <c r="C8" s="598" t="s">
        <v>1339</v>
      </c>
      <c r="D8" s="599"/>
    </row>
    <row r="9" spans="1:11" s="429" customFormat="1" ht="12.75">
      <c r="D9" s="599"/>
    </row>
    <row r="10" spans="1:11" s="429" customFormat="1" ht="9.9499999999999993" customHeight="1">
      <c r="D10" s="599"/>
    </row>
    <row r="11" spans="1:11" s="598" customFormat="1" ht="12.75">
      <c r="A11" s="597">
        <v>4</v>
      </c>
      <c r="B11" s="598" t="s">
        <v>1342</v>
      </c>
      <c r="C11" s="598" t="s">
        <v>1339</v>
      </c>
      <c r="D11" s="599" t="s">
        <v>1343</v>
      </c>
    </row>
    <row r="12" spans="1:11" s="598" customFormat="1" ht="102">
      <c r="A12" s="597"/>
      <c r="D12" s="599" t="s">
        <v>1344</v>
      </c>
    </row>
    <row r="13" spans="1:11" s="598" customFormat="1" ht="12.75">
      <c r="A13" s="597"/>
      <c r="D13" s="599"/>
    </row>
    <row r="14" spans="1:11" s="598" customFormat="1" ht="25.5">
      <c r="A14" s="597"/>
      <c r="D14" s="599" t="s">
        <v>1345</v>
      </c>
    </row>
    <row r="15" spans="1:11" s="598" customFormat="1" ht="12.75">
      <c r="A15" s="597"/>
      <c r="D15" s="599"/>
    </row>
    <row r="16" spans="1:11" s="598" customFormat="1" ht="38.25">
      <c r="A16" s="597"/>
      <c r="D16" s="599" t="s">
        <v>1346</v>
      </c>
    </row>
    <row r="17" spans="1:4" s="598" customFormat="1" ht="12.75">
      <c r="A17" s="597"/>
      <c r="D17" s="599"/>
    </row>
    <row r="18" spans="1:4" s="598" customFormat="1" ht="51">
      <c r="A18" s="597"/>
      <c r="D18" s="599" t="s">
        <v>1347</v>
      </c>
    </row>
    <row r="19" spans="1:4" s="598" customFormat="1" ht="12.75">
      <c r="A19" s="597"/>
      <c r="D19" s="599"/>
    </row>
    <row r="20" spans="1:4" s="598" customFormat="1" ht="12.75">
      <c r="A20" s="597"/>
      <c r="D20" s="599" t="s">
        <v>1348</v>
      </c>
    </row>
    <row r="21" spans="1:4" s="598" customFormat="1" ht="12.75">
      <c r="A21" s="597"/>
      <c r="D21" s="599"/>
    </row>
    <row r="22" spans="1:4" s="598" customFormat="1" ht="25.5">
      <c r="A22" s="597"/>
      <c r="D22" s="599" t="s">
        <v>1349</v>
      </c>
    </row>
    <row r="23" spans="1:4" s="598" customFormat="1" ht="12.75">
      <c r="A23" s="597"/>
      <c r="D23" s="599"/>
    </row>
    <row r="24" spans="1:4" s="598" customFormat="1" ht="51">
      <c r="A24" s="597"/>
      <c r="D24" s="599" t="s">
        <v>1350</v>
      </c>
    </row>
    <row r="25" spans="1:4" s="598" customFormat="1" ht="12.75">
      <c r="A25" s="597"/>
      <c r="D25" s="599"/>
    </row>
    <row r="26" spans="1:4" s="598" customFormat="1" ht="38.25">
      <c r="A26" s="597"/>
      <c r="D26" s="599" t="s">
        <v>1351</v>
      </c>
    </row>
    <row r="27" spans="1:4" s="598" customFormat="1" ht="12.75">
      <c r="A27" s="597"/>
      <c r="D27" s="599"/>
    </row>
    <row r="28" spans="1:4" s="598" customFormat="1" ht="38.25">
      <c r="A28" s="597"/>
      <c r="D28" s="599" t="s">
        <v>1352</v>
      </c>
    </row>
    <row r="29" spans="1:4" s="598" customFormat="1" ht="12.75">
      <c r="A29" s="597"/>
      <c r="D29" s="599"/>
    </row>
    <row r="30" spans="1:4" s="598" customFormat="1" ht="51">
      <c r="A30" s="597"/>
      <c r="D30" s="599" t="s">
        <v>1353</v>
      </c>
    </row>
    <row r="31" spans="1:4" s="598" customFormat="1" ht="12.75">
      <c r="A31" s="597"/>
      <c r="D31" s="599"/>
    </row>
    <row r="32" spans="1:4" s="598" customFormat="1" ht="38.25">
      <c r="A32" s="597"/>
      <c r="D32" s="599" t="s">
        <v>1354</v>
      </c>
    </row>
    <row r="33" spans="1:4" s="598" customFormat="1" ht="12.75">
      <c r="A33" s="597"/>
      <c r="D33" s="599"/>
    </row>
    <row r="34" spans="1:4" s="598" customFormat="1" ht="25.5">
      <c r="A34" s="597"/>
      <c r="D34" s="599" t="s">
        <v>1355</v>
      </c>
    </row>
    <row r="35" spans="1:4" s="598" customFormat="1" ht="12.75">
      <c r="A35" s="597"/>
      <c r="D35" s="599"/>
    </row>
    <row r="36" spans="1:4" s="598" customFormat="1" ht="12.75">
      <c r="A36" s="597"/>
      <c r="D36" s="599"/>
    </row>
    <row r="37" spans="1:4" s="598" customFormat="1" ht="12.75">
      <c r="A37" s="597"/>
      <c r="D37" s="599"/>
    </row>
    <row r="38" spans="1:4" s="598" customFormat="1" ht="12.75">
      <c r="A38" s="597">
        <v>5</v>
      </c>
      <c r="B38" s="465" t="s">
        <v>1356</v>
      </c>
      <c r="C38" s="598" t="s">
        <v>1339</v>
      </c>
      <c r="D38" s="601" t="s">
        <v>1357</v>
      </c>
    </row>
    <row r="39" spans="1:4" s="429" customFormat="1" ht="9.9499999999999993" customHeight="1"/>
    <row r="40" spans="1:4" s="429" customFormat="1" ht="9.9499999999999993" customHeight="1"/>
    <row r="41" spans="1:4" s="598" customFormat="1" ht="12.75">
      <c r="A41" s="597">
        <v>6</v>
      </c>
      <c r="B41" s="598" t="s">
        <v>1358</v>
      </c>
      <c r="C41" s="598" t="s">
        <v>1339</v>
      </c>
      <c r="D41" s="599" t="s">
        <v>1359</v>
      </c>
    </row>
    <row r="42" spans="1:4" s="429" customFormat="1" ht="9.9499999999999993" customHeight="1"/>
    <row r="43" spans="1:4" s="429" customFormat="1" ht="12.75">
      <c r="A43" s="594">
        <v>7</v>
      </c>
      <c r="B43" s="429" t="s">
        <v>1360</v>
      </c>
      <c r="C43" s="429" t="s">
        <v>1339</v>
      </c>
      <c r="D43" s="1"/>
    </row>
    <row r="44" spans="1:4" s="429" customFormat="1" ht="12.75">
      <c r="A44" s="594"/>
    </row>
  </sheetData>
  <mergeCells count="1">
    <mergeCell ref="A1:D1"/>
  </mergeCells>
  <pageMargins left="1.2" right="0.2" top="0.9" bottom="0.9" header="0.5" footer="0.2"/>
  <pageSetup paperSize="9" orientation="portrait" r:id="rId1"/>
  <headerFooter alignWithMargins="0">
    <oddFooter>&amp;L&amp;"Bookman Old Style,Bold Italic"&amp;7         PS-2 &amp;F</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G28"/>
  <sheetViews>
    <sheetView workbookViewId="0">
      <selection sqref="A1:IV65536"/>
    </sheetView>
  </sheetViews>
  <sheetFormatPr defaultRowHeight="12.75"/>
  <cols>
    <col min="1" max="1" width="9.7109375" customWidth="1"/>
    <col min="2" max="2" width="7.7109375" customWidth="1"/>
    <col min="3" max="3" width="12.140625" customWidth="1"/>
    <col min="4" max="5" width="13.7109375" customWidth="1"/>
    <col min="6" max="6" width="15.140625" customWidth="1"/>
    <col min="7" max="7" width="19.140625" customWidth="1"/>
    <col min="13" max="13" width="10.7109375" bestFit="1" customWidth="1"/>
  </cols>
  <sheetData>
    <row r="1" spans="1:7" ht="18.75">
      <c r="A1" s="819" t="s">
        <v>1361</v>
      </c>
      <c r="B1" s="819"/>
      <c r="C1" s="819"/>
      <c r="D1" s="819"/>
      <c r="E1" s="819"/>
      <c r="F1" s="819"/>
      <c r="G1" s="819"/>
    </row>
    <row r="3" spans="1:7" ht="20.25">
      <c r="A3" s="820" t="s">
        <v>1362</v>
      </c>
      <c r="B3" s="820"/>
      <c r="C3" s="820"/>
      <c r="D3" s="820"/>
      <c r="E3" s="820"/>
      <c r="F3" s="820"/>
      <c r="G3" s="820"/>
    </row>
    <row r="4" spans="1:7" ht="18.75">
      <c r="A4" s="602"/>
      <c r="B4" s="602"/>
      <c r="C4" s="602"/>
      <c r="D4" s="602"/>
      <c r="E4" s="602"/>
      <c r="F4" s="602"/>
      <c r="G4" s="602"/>
    </row>
    <row r="5" spans="1:7" s="604" customFormat="1" ht="15.75">
      <c r="A5" s="821" t="s">
        <v>1363</v>
      </c>
      <c r="B5" s="821"/>
      <c r="C5" s="821"/>
      <c r="D5" s="603"/>
      <c r="E5" s="603"/>
      <c r="F5" s="603"/>
      <c r="G5" s="603"/>
    </row>
    <row r="6" spans="1:7" s="604" customFormat="1" ht="38.25" customHeight="1">
      <c r="A6" s="603"/>
      <c r="B6" s="822" t="s">
        <v>1187</v>
      </c>
      <c r="C6" s="822"/>
      <c r="D6" s="822"/>
      <c r="E6" s="822"/>
      <c r="F6" s="822"/>
      <c r="G6" s="822"/>
    </row>
    <row r="7" spans="1:7" ht="15">
      <c r="A7" s="605" t="s">
        <v>1364</v>
      </c>
      <c r="B7" s="823" t="s">
        <v>1365</v>
      </c>
      <c r="C7" s="823"/>
      <c r="D7" s="823"/>
      <c r="E7" s="606"/>
      <c r="F7" s="606"/>
      <c r="G7" s="607" t="s">
        <v>1366</v>
      </c>
    </row>
    <row r="8" spans="1:7" ht="9.9499999999999993" customHeight="1">
      <c r="A8" s="608"/>
      <c r="B8" s="609"/>
      <c r="C8" s="604"/>
      <c r="D8" s="604"/>
      <c r="E8" s="604"/>
      <c r="F8" s="604"/>
      <c r="G8" s="604"/>
    </row>
    <row r="9" spans="1:7" ht="21.95" customHeight="1">
      <c r="A9" s="610">
        <v>1</v>
      </c>
      <c r="B9" s="611" t="s">
        <v>1367</v>
      </c>
      <c r="C9" s="498"/>
      <c r="D9" s="612"/>
      <c r="E9" s="612"/>
      <c r="F9" s="612"/>
      <c r="G9" s="613">
        <v>100003890</v>
      </c>
    </row>
    <row r="10" spans="1:7" ht="9.9499999999999993" customHeight="1">
      <c r="A10" s="610"/>
      <c r="B10" s="614"/>
      <c r="C10" s="498"/>
      <c r="D10" s="612"/>
      <c r="E10" s="612"/>
      <c r="F10" s="612"/>
      <c r="G10" s="615"/>
    </row>
    <row r="11" spans="1:7" ht="18.75" customHeight="1">
      <c r="A11" s="616"/>
      <c r="B11" s="616"/>
      <c r="C11" s="616"/>
      <c r="D11" s="616"/>
      <c r="E11" s="606" t="s">
        <v>1368</v>
      </c>
      <c r="F11" s="617"/>
      <c r="G11" s="618">
        <v>100003890</v>
      </c>
    </row>
    <row r="12" spans="1:7" ht="8.1" customHeight="1">
      <c r="G12" s="2"/>
    </row>
    <row r="13" spans="1:7" ht="15">
      <c r="A13" s="429"/>
      <c r="B13" s="619" t="s">
        <v>1369</v>
      </c>
      <c r="C13" s="620"/>
      <c r="D13" s="620"/>
      <c r="E13" s="620"/>
      <c r="F13" s="621"/>
      <c r="G13" s="622">
        <v>1000039</v>
      </c>
    </row>
    <row r="14" spans="1:7" ht="9.9499999999999993" customHeight="1">
      <c r="A14" s="429"/>
      <c r="B14" s="619"/>
      <c r="C14" s="620"/>
      <c r="D14" s="620"/>
      <c r="E14" s="620"/>
      <c r="F14" s="623"/>
      <c r="G14" s="624"/>
    </row>
    <row r="15" spans="1:7" ht="15" hidden="1">
      <c r="A15" s="429"/>
      <c r="B15" s="619" t="s">
        <v>1370</v>
      </c>
      <c r="C15" s="620"/>
      <c r="D15" s="620"/>
      <c r="E15" s="620"/>
      <c r="F15" s="621"/>
      <c r="G15" s="622">
        <v>0</v>
      </c>
    </row>
    <row r="16" spans="1:7" ht="9.9499999999999993" hidden="1" customHeight="1">
      <c r="A16" s="429"/>
      <c r="B16" s="619"/>
      <c r="C16" s="620"/>
      <c r="D16" s="620"/>
      <c r="E16" s="620"/>
      <c r="F16" s="623"/>
      <c r="G16" s="624"/>
    </row>
    <row r="17" spans="1:7" ht="15">
      <c r="A17" s="429"/>
      <c r="B17" s="619" t="s">
        <v>1371</v>
      </c>
      <c r="C17" s="620"/>
      <c r="D17" s="620"/>
      <c r="E17" s="620"/>
      <c r="F17" s="621"/>
      <c r="G17" s="622">
        <v>1500058</v>
      </c>
    </row>
    <row r="18" spans="1:7" ht="9.9499999999999993" customHeight="1">
      <c r="A18" s="429"/>
      <c r="B18" s="619"/>
      <c r="C18" s="620"/>
      <c r="D18" s="620"/>
      <c r="E18" s="620"/>
      <c r="F18" s="623"/>
      <c r="G18" s="624"/>
    </row>
    <row r="19" spans="1:7" ht="15.75">
      <c r="A19" s="429"/>
      <c r="B19" s="619"/>
      <c r="C19" s="620"/>
      <c r="D19" s="620"/>
      <c r="E19" s="620"/>
      <c r="F19" s="625" t="s">
        <v>1372</v>
      </c>
      <c r="G19" s="626">
        <v>102503987</v>
      </c>
    </row>
    <row r="20" spans="1:7" ht="8.1" customHeight="1">
      <c r="A20" s="429"/>
      <c r="B20" s="619"/>
      <c r="C20" s="620"/>
      <c r="D20" s="620"/>
      <c r="E20" s="620"/>
      <c r="F20" s="625"/>
      <c r="G20" s="627"/>
    </row>
    <row r="21" spans="1:7" ht="15">
      <c r="A21" s="429"/>
      <c r="B21" s="619" t="s">
        <v>1373</v>
      </c>
      <c r="C21" s="620"/>
      <c r="D21" s="620"/>
      <c r="E21" s="620"/>
      <c r="F21" s="621"/>
      <c r="G21" s="622">
        <v>13325518</v>
      </c>
    </row>
    <row r="22" spans="1:7" ht="9.9499999999999993" customHeight="1">
      <c r="A22" s="429"/>
      <c r="B22" s="619"/>
      <c r="C22" s="620"/>
      <c r="D22" s="620"/>
      <c r="E22" s="620"/>
      <c r="F22" s="623"/>
      <c r="G22" s="624"/>
    </row>
    <row r="23" spans="1:7" ht="15.75">
      <c r="A23" s="429"/>
      <c r="B23" s="619"/>
      <c r="C23" s="620"/>
      <c r="D23" s="620"/>
      <c r="E23" s="620"/>
      <c r="F23" s="625" t="s">
        <v>1372</v>
      </c>
      <c r="G23" s="626">
        <v>115829505</v>
      </c>
    </row>
    <row r="24" spans="1:7" ht="15.75">
      <c r="A24" s="429"/>
      <c r="B24" s="619"/>
      <c r="C24" s="620"/>
      <c r="D24" s="620"/>
      <c r="E24" s="620"/>
      <c r="F24" s="625"/>
      <c r="G24" s="627"/>
    </row>
    <row r="25" spans="1:7" ht="15.75">
      <c r="F25" s="628" t="s">
        <v>1374</v>
      </c>
      <c r="G25" s="629">
        <v>1158.3</v>
      </c>
    </row>
    <row r="26" spans="1:7" ht="15.75">
      <c r="G26" s="628" t="s">
        <v>1375</v>
      </c>
    </row>
    <row r="27" spans="1:7">
      <c r="G27" s="2"/>
    </row>
    <row r="28" spans="1:7">
      <c r="G28" s="2"/>
    </row>
  </sheetData>
  <mergeCells count="5">
    <mergeCell ref="A1:G1"/>
    <mergeCell ref="A3:G3"/>
    <mergeCell ref="A5:C5"/>
    <mergeCell ref="B6:G6"/>
    <mergeCell ref="B7:D7"/>
  </mergeCells>
  <pageMargins left="1" right="0.2" top="1" bottom="0.3" header="0.5" footer="0.3"/>
  <pageSetup paperSize="9" orientation="portrait" r:id="rId1"/>
  <headerFooter alignWithMargins="0">
    <oddFooter>&amp;L&amp;"Times New Roman,Bold Italic"&amp;6      &amp;F</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12"/>
  </sheetPr>
  <dimension ref="A1:J113"/>
  <sheetViews>
    <sheetView zoomScaleNormal="100" workbookViewId="0">
      <selection sqref="A1:IV65536"/>
    </sheetView>
  </sheetViews>
  <sheetFormatPr defaultRowHeight="15"/>
  <cols>
    <col min="1" max="1" width="9.140625" style="172" bestFit="1" customWidth="1"/>
    <col min="2" max="2" width="64.85546875" style="437" bestFit="1" customWidth="1"/>
    <col min="3" max="3" width="9.85546875" style="172" customWidth="1"/>
    <col min="4" max="4" width="11.5703125" style="429" customWidth="1"/>
    <col min="5" max="5" width="12.28515625" style="172" customWidth="1"/>
    <col min="6" max="6" width="10.42578125" style="172" bestFit="1" customWidth="1"/>
    <col min="7" max="7" width="15.85546875" style="172" customWidth="1"/>
    <col min="8" max="8" width="10.5703125" style="172" bestFit="1" customWidth="1"/>
    <col min="9" max="9" width="10.5703125" style="172" hidden="1" customWidth="1"/>
    <col min="10" max="10" width="0" style="172" hidden="1" customWidth="1"/>
    <col min="11" max="12" width="9.140625" style="172"/>
    <col min="13" max="13" width="10.7109375" style="172" bestFit="1" customWidth="1"/>
    <col min="14" max="14" width="9.7109375" style="172" bestFit="1" customWidth="1"/>
    <col min="15" max="15" width="14.140625" style="172" customWidth="1"/>
    <col min="16" max="16384" width="9.140625" style="172"/>
  </cols>
  <sheetData>
    <row r="1" spans="1:10" ht="15.75">
      <c r="A1" s="824" t="s">
        <v>1376</v>
      </c>
      <c r="B1" s="824"/>
      <c r="C1" s="824"/>
      <c r="D1" s="824"/>
      <c r="E1" s="824"/>
      <c r="F1" s="824"/>
      <c r="G1" s="824"/>
    </row>
    <row r="2" spans="1:10" s="245" customFormat="1" ht="16.5">
      <c r="A2" s="825" t="s">
        <v>1363</v>
      </c>
      <c r="B2" s="825"/>
      <c r="C2" s="825"/>
      <c r="D2" s="630"/>
      <c r="E2" s="630"/>
      <c r="F2" s="630"/>
      <c r="G2" s="630"/>
    </row>
    <row r="3" spans="1:10" s="245" customFormat="1" ht="38.25" customHeight="1">
      <c r="A3" s="630"/>
      <c r="B3" s="826" t="s">
        <v>1187</v>
      </c>
      <c r="C3" s="826"/>
      <c r="D3" s="826"/>
      <c r="E3" s="826"/>
      <c r="F3" s="826"/>
      <c r="G3" s="826"/>
    </row>
    <row r="4" spans="1:10" s="245" customFormat="1" ht="15.75">
      <c r="A4" s="631" t="s">
        <v>1377</v>
      </c>
      <c r="B4" s="632" t="s">
        <v>1190</v>
      </c>
      <c r="C4" s="633" t="s">
        <v>1378</v>
      </c>
      <c r="D4" s="634"/>
      <c r="E4" s="633" t="s">
        <v>1379</v>
      </c>
      <c r="F4" s="635" t="s">
        <v>1380</v>
      </c>
      <c r="G4" s="631" t="s">
        <v>1366</v>
      </c>
    </row>
    <row r="5" spans="1:10" s="245" customFormat="1" ht="15.75">
      <c r="A5" s="631"/>
      <c r="B5" s="632"/>
      <c r="C5" s="633"/>
      <c r="D5" s="634"/>
      <c r="E5" s="633"/>
      <c r="F5" s="635"/>
      <c r="G5" s="631"/>
    </row>
    <row r="6" spans="1:10" s="643" customFormat="1" ht="90">
      <c r="A6" s="636" t="s">
        <v>1381</v>
      </c>
      <c r="B6" s="637" t="s">
        <v>1382</v>
      </c>
      <c r="C6" s="638"/>
      <c r="D6" s="639"/>
      <c r="E6" s="640"/>
      <c r="F6" s="641"/>
      <c r="G6" s="642"/>
      <c r="J6" s="644">
        <v>116</v>
      </c>
    </row>
    <row r="7" spans="1:10" s="643" customFormat="1" ht="15.75">
      <c r="A7" s="636"/>
      <c r="B7" s="645" t="s">
        <v>1383</v>
      </c>
      <c r="C7" s="640">
        <v>787.91764103664445</v>
      </c>
      <c r="D7" s="639" t="s">
        <v>1384</v>
      </c>
      <c r="E7" s="640"/>
      <c r="F7" s="641"/>
      <c r="G7" s="642"/>
      <c r="J7" s="644"/>
    </row>
    <row r="8" spans="1:10" s="643" customFormat="1" ht="15.75">
      <c r="A8" s="636"/>
      <c r="B8" s="645" t="s">
        <v>1385</v>
      </c>
      <c r="C8" s="640">
        <v>2100</v>
      </c>
      <c r="D8" s="639" t="s">
        <v>1384</v>
      </c>
      <c r="E8" s="640"/>
      <c r="F8" s="641"/>
      <c r="G8" s="642"/>
      <c r="J8" s="644"/>
    </row>
    <row r="9" spans="1:10" s="643" customFormat="1" ht="15.75">
      <c r="A9" s="636"/>
      <c r="B9" s="645"/>
      <c r="C9" s="646">
        <v>2887.9176410366445</v>
      </c>
      <c r="D9" s="647" t="s">
        <v>1386</v>
      </c>
      <c r="E9" s="640">
        <v>68</v>
      </c>
      <c r="F9" s="641" t="s">
        <v>1386</v>
      </c>
      <c r="G9" s="648">
        <v>196378.39959049181</v>
      </c>
      <c r="J9" s="644"/>
    </row>
    <row r="10" spans="1:10" s="643" customFormat="1" ht="15.75">
      <c r="A10" s="636"/>
      <c r="B10" s="645"/>
      <c r="C10" s="640"/>
      <c r="D10" s="639"/>
      <c r="E10" s="640"/>
      <c r="F10" s="641"/>
      <c r="G10" s="642"/>
      <c r="J10" s="644"/>
    </row>
    <row r="11" spans="1:10" s="643" customFormat="1" ht="15.75">
      <c r="A11" s="636" t="s">
        <v>1387</v>
      </c>
      <c r="B11" s="645" t="s">
        <v>1388</v>
      </c>
      <c r="C11" s="638"/>
      <c r="D11" s="639"/>
      <c r="E11" s="640"/>
      <c r="F11" s="641"/>
      <c r="G11" s="642"/>
      <c r="J11" s="644">
        <v>116</v>
      </c>
    </row>
    <row r="12" spans="1:10" s="643" customFormat="1" ht="15.75">
      <c r="A12" s="636"/>
      <c r="B12" s="645" t="s">
        <v>1383</v>
      </c>
      <c r="C12" s="649">
        <v>984.89705129580557</v>
      </c>
      <c r="D12" s="639" t="s">
        <v>1384</v>
      </c>
      <c r="E12" s="640">
        <v>80</v>
      </c>
      <c r="F12" s="641" t="s">
        <v>1386</v>
      </c>
      <c r="G12" s="648">
        <v>78791.764103664449</v>
      </c>
      <c r="J12" s="644"/>
    </row>
    <row r="13" spans="1:10" s="643" customFormat="1" ht="15.75">
      <c r="A13" s="636"/>
      <c r="B13" s="645"/>
      <c r="C13" s="640"/>
      <c r="D13" s="639"/>
      <c r="E13" s="640"/>
      <c r="F13" s="641"/>
      <c r="G13" s="642"/>
      <c r="J13" s="644"/>
    </row>
    <row r="14" spans="1:10" s="643" customFormat="1" ht="30">
      <c r="A14" s="650" t="s">
        <v>1389</v>
      </c>
      <c r="B14" s="645" t="s">
        <v>1390</v>
      </c>
      <c r="C14" s="638"/>
      <c r="D14" s="651"/>
      <c r="E14" s="640"/>
      <c r="F14" s="641"/>
      <c r="G14" s="642"/>
      <c r="J14" s="644">
        <v>146</v>
      </c>
    </row>
    <row r="15" spans="1:10" s="643" customFormat="1" ht="15.75">
      <c r="A15" s="636"/>
      <c r="B15" s="645" t="s">
        <v>1383</v>
      </c>
      <c r="C15" s="640">
        <v>2072.8146923324502</v>
      </c>
      <c r="D15" s="639" t="s">
        <v>1386</v>
      </c>
      <c r="E15" s="640"/>
      <c r="F15" s="641"/>
      <c r="G15" s="642"/>
      <c r="J15" s="644"/>
    </row>
    <row r="16" spans="1:10" s="643" customFormat="1" ht="15.75">
      <c r="A16" s="636"/>
      <c r="B16" s="645" t="s">
        <v>1385</v>
      </c>
      <c r="C16" s="640">
        <v>1610</v>
      </c>
      <c r="D16" s="639" t="s">
        <v>1386</v>
      </c>
      <c r="E16" s="640"/>
      <c r="F16" s="641"/>
      <c r="G16" s="642"/>
      <c r="J16" s="644"/>
    </row>
    <row r="17" spans="1:10" s="643" customFormat="1" ht="15.75">
      <c r="A17" s="636"/>
      <c r="B17" s="645"/>
      <c r="C17" s="646">
        <v>3682.8146923324502</v>
      </c>
      <c r="D17" s="647" t="s">
        <v>1386</v>
      </c>
      <c r="E17" s="640">
        <v>103</v>
      </c>
      <c r="F17" s="641" t="s">
        <v>1386</v>
      </c>
      <c r="G17" s="648">
        <v>379329.91331024235</v>
      </c>
      <c r="J17" s="644"/>
    </row>
    <row r="18" spans="1:10" s="643" customFormat="1" ht="15.75">
      <c r="A18" s="636"/>
      <c r="B18" s="645"/>
      <c r="C18" s="640"/>
      <c r="D18" s="639"/>
      <c r="E18" s="640"/>
      <c r="F18" s="641"/>
      <c r="G18" s="642"/>
      <c r="J18" s="644"/>
    </row>
    <row r="19" spans="1:10" s="643" customFormat="1" ht="15.75">
      <c r="A19" s="636" t="s">
        <v>1391</v>
      </c>
      <c r="B19" s="637" t="s">
        <v>1392</v>
      </c>
      <c r="C19" s="638"/>
      <c r="D19" s="651"/>
      <c r="E19" s="638"/>
      <c r="F19" s="638"/>
      <c r="G19" s="638"/>
      <c r="J19" s="644">
        <v>273</v>
      </c>
    </row>
    <row r="20" spans="1:10" s="643" customFormat="1" ht="15.75">
      <c r="A20" s="636"/>
      <c r="B20" s="645" t="s">
        <v>1383</v>
      </c>
      <c r="C20" s="649">
        <v>2072.8146923324502</v>
      </c>
      <c r="D20" s="639" t="s">
        <v>1386</v>
      </c>
      <c r="E20" s="640">
        <v>364</v>
      </c>
      <c r="F20" s="641" t="s">
        <v>1386</v>
      </c>
      <c r="G20" s="648">
        <v>754504.54800901189</v>
      </c>
      <c r="J20" s="644"/>
    </row>
    <row r="21" spans="1:10" s="643" customFormat="1" ht="15.75">
      <c r="A21" s="636"/>
      <c r="B21" s="645"/>
      <c r="C21" s="640"/>
      <c r="D21" s="639"/>
      <c r="E21" s="640"/>
      <c r="F21" s="641"/>
      <c r="G21" s="642"/>
      <c r="J21" s="644"/>
    </row>
    <row r="22" spans="1:10" s="643" customFormat="1" ht="30">
      <c r="A22" s="636">
        <v>5</v>
      </c>
      <c r="B22" s="637" t="s">
        <v>1393</v>
      </c>
      <c r="C22" s="638"/>
      <c r="D22" s="651"/>
      <c r="E22" s="638"/>
      <c r="F22" s="638"/>
      <c r="G22" s="638"/>
      <c r="J22" s="644">
        <v>3005</v>
      </c>
    </row>
    <row r="23" spans="1:10" s="643" customFormat="1" ht="15.75">
      <c r="A23" s="636"/>
      <c r="B23" s="637" t="s">
        <v>1394</v>
      </c>
      <c r="C23" s="638"/>
      <c r="D23" s="651"/>
      <c r="E23" s="638"/>
      <c r="F23" s="638"/>
      <c r="G23" s="638"/>
      <c r="J23" s="644"/>
    </row>
    <row r="24" spans="1:10" s="643" customFormat="1" ht="15.75">
      <c r="A24" s="636"/>
      <c r="B24" s="645" t="s">
        <v>1383</v>
      </c>
      <c r="C24" s="649">
        <v>1185.3472797620166</v>
      </c>
      <c r="D24" s="639" t="s">
        <v>1386</v>
      </c>
      <c r="E24" s="640">
        <v>3863</v>
      </c>
      <c r="F24" s="641" t="s">
        <v>1386</v>
      </c>
      <c r="G24" s="648">
        <v>4578996.5417206697</v>
      </c>
      <c r="J24" s="644"/>
    </row>
    <row r="25" spans="1:10" s="643" customFormat="1" ht="15.75">
      <c r="A25" s="636"/>
      <c r="B25" s="652"/>
      <c r="C25" s="640"/>
      <c r="D25" s="639"/>
      <c r="E25" s="640"/>
      <c r="F25" s="641"/>
      <c r="G25" s="642"/>
      <c r="J25" s="644"/>
    </row>
    <row r="26" spans="1:10" s="643" customFormat="1" ht="15.75">
      <c r="A26" s="636">
        <v>6</v>
      </c>
      <c r="B26" s="645" t="s">
        <v>1395</v>
      </c>
      <c r="C26" s="638"/>
      <c r="D26" s="651"/>
      <c r="E26" s="638"/>
      <c r="F26" s="638"/>
      <c r="G26" s="638"/>
      <c r="J26" s="644">
        <v>3455</v>
      </c>
    </row>
    <row r="27" spans="1:10" s="643" customFormat="1" ht="15.75">
      <c r="A27" s="636"/>
      <c r="B27" s="637" t="s">
        <v>1396</v>
      </c>
      <c r="C27" s="638"/>
      <c r="D27" s="651"/>
      <c r="E27" s="638"/>
      <c r="F27" s="638"/>
      <c r="G27" s="638"/>
      <c r="J27" s="644"/>
    </row>
    <row r="28" spans="1:10" s="643" customFormat="1" ht="15.75">
      <c r="A28" s="636"/>
      <c r="B28" s="645" t="s">
        <v>1383</v>
      </c>
      <c r="C28" s="640">
        <v>282.50358335460896</v>
      </c>
      <c r="D28" s="639" t="s">
        <v>1386</v>
      </c>
      <c r="E28" s="640"/>
      <c r="F28" s="641"/>
      <c r="G28" s="642"/>
      <c r="J28" s="644"/>
    </row>
    <row r="29" spans="1:10" s="643" customFormat="1" ht="15.75">
      <c r="A29" s="636"/>
      <c r="B29" s="652" t="s">
        <v>1385</v>
      </c>
      <c r="C29" s="640">
        <v>394.5</v>
      </c>
      <c r="D29" s="639" t="s">
        <v>1386</v>
      </c>
      <c r="E29" s="640"/>
      <c r="F29" s="641"/>
      <c r="G29" s="642"/>
      <c r="J29" s="644"/>
    </row>
    <row r="30" spans="1:10" s="643" customFormat="1" ht="15.75">
      <c r="A30" s="636"/>
      <c r="B30" s="645"/>
      <c r="C30" s="646">
        <v>677.00358335460896</v>
      </c>
      <c r="D30" s="639" t="s">
        <v>1386</v>
      </c>
      <c r="E30" s="640">
        <v>4356</v>
      </c>
      <c r="F30" s="641" t="s">
        <v>1386</v>
      </c>
      <c r="G30" s="648">
        <v>2949027.6090926765</v>
      </c>
      <c r="J30" s="644"/>
    </row>
    <row r="31" spans="1:10" s="643" customFormat="1" ht="15.75">
      <c r="A31" s="636"/>
      <c r="B31" s="652"/>
      <c r="C31" s="640"/>
      <c r="D31" s="639"/>
      <c r="E31" s="640"/>
      <c r="F31" s="641"/>
      <c r="G31" s="642"/>
      <c r="J31" s="644"/>
    </row>
    <row r="32" spans="1:10" s="643" customFormat="1" ht="15.75">
      <c r="A32" s="636">
        <v>7</v>
      </c>
      <c r="B32" s="645" t="s">
        <v>1397</v>
      </c>
      <c r="C32" s="638"/>
      <c r="D32" s="651"/>
      <c r="E32" s="638"/>
      <c r="F32" s="638"/>
      <c r="G32" s="638"/>
      <c r="J32" s="644">
        <v>3995</v>
      </c>
    </row>
    <row r="33" spans="1:10" s="643" customFormat="1" ht="15.75">
      <c r="A33" s="636"/>
      <c r="B33" s="645" t="s">
        <v>1396</v>
      </c>
      <c r="C33" s="638"/>
      <c r="D33" s="651"/>
      <c r="E33" s="638"/>
      <c r="F33" s="638"/>
      <c r="G33" s="638"/>
      <c r="J33" s="644"/>
    </row>
    <row r="34" spans="1:10" s="643" customFormat="1" ht="15.75">
      <c r="A34" s="636"/>
      <c r="B34" s="645" t="s">
        <v>1383</v>
      </c>
      <c r="C34" s="640">
        <v>1191.9603888751612</v>
      </c>
      <c r="D34" s="639" t="s">
        <v>1386</v>
      </c>
      <c r="E34" s="640"/>
      <c r="F34" s="641"/>
      <c r="G34" s="642"/>
      <c r="J34" s="644"/>
    </row>
    <row r="35" spans="1:10" s="643" customFormat="1" ht="15.75">
      <c r="A35" s="636"/>
      <c r="B35" s="652" t="s">
        <v>1385</v>
      </c>
      <c r="C35" s="640">
        <v>372</v>
      </c>
      <c r="D35" s="639" t="s">
        <v>1386</v>
      </c>
      <c r="E35" s="640"/>
      <c r="F35" s="641"/>
      <c r="G35" s="642"/>
      <c r="J35" s="644"/>
    </row>
    <row r="36" spans="1:10" s="643" customFormat="1" ht="15.75">
      <c r="A36" s="636"/>
      <c r="B36" s="645"/>
      <c r="C36" s="646">
        <v>1563.9603888751612</v>
      </c>
      <c r="D36" s="639" t="s">
        <v>1386</v>
      </c>
      <c r="E36" s="640">
        <v>4708</v>
      </c>
      <c r="F36" s="641" t="s">
        <v>1386</v>
      </c>
      <c r="G36" s="648">
        <v>7363125.5108242594</v>
      </c>
      <c r="J36" s="644"/>
    </row>
    <row r="37" spans="1:10" s="643" customFormat="1" ht="15.75">
      <c r="A37" s="636"/>
      <c r="B37" s="645"/>
      <c r="C37" s="640"/>
      <c r="D37" s="639"/>
      <c r="E37" s="640"/>
      <c r="F37" s="641"/>
      <c r="G37" s="642"/>
      <c r="J37" s="644"/>
    </row>
    <row r="38" spans="1:10" s="643" customFormat="1" ht="60">
      <c r="A38" s="636">
        <v>8</v>
      </c>
      <c r="B38" s="645" t="s">
        <v>1398</v>
      </c>
      <c r="C38" s="638"/>
      <c r="D38" s="651"/>
      <c r="E38" s="638"/>
      <c r="F38" s="638"/>
      <c r="G38" s="638"/>
      <c r="J38" s="644">
        <v>64397</v>
      </c>
    </row>
    <row r="39" spans="1:10" s="643" customFormat="1" ht="15.75">
      <c r="A39" s="636"/>
      <c r="B39" s="645" t="s">
        <v>1383</v>
      </c>
      <c r="C39" s="640">
        <v>140.35333579005024</v>
      </c>
      <c r="D39" s="639" t="s">
        <v>595</v>
      </c>
      <c r="E39" s="640"/>
      <c r="F39" s="641"/>
      <c r="G39" s="642"/>
      <c r="J39" s="644"/>
    </row>
    <row r="40" spans="1:10" s="643" customFormat="1" ht="15.75">
      <c r="A40" s="636"/>
      <c r="B40" s="652" t="s">
        <v>1385</v>
      </c>
      <c r="C40" s="640">
        <v>43.802999999999997</v>
      </c>
      <c r="D40" s="639" t="s">
        <v>595</v>
      </c>
      <c r="E40" s="640"/>
      <c r="F40" s="641"/>
      <c r="G40" s="642"/>
      <c r="J40" s="644"/>
    </row>
    <row r="41" spans="1:10" s="643" customFormat="1" ht="15.75">
      <c r="A41" s="636"/>
      <c r="B41" s="645"/>
      <c r="C41" s="646">
        <v>184.15633579005024</v>
      </c>
      <c r="D41" s="639" t="s">
        <v>595</v>
      </c>
      <c r="E41" s="640">
        <v>85000</v>
      </c>
      <c r="F41" s="641" t="s">
        <v>595</v>
      </c>
      <c r="G41" s="648">
        <v>15653288.542154269</v>
      </c>
      <c r="J41" s="644"/>
    </row>
    <row r="42" spans="1:10" s="643" customFormat="1" ht="15.75">
      <c r="A42" s="636"/>
      <c r="B42" s="645"/>
      <c r="C42" s="640"/>
      <c r="D42" s="639"/>
      <c r="E42" s="640"/>
      <c r="F42" s="641"/>
      <c r="G42" s="642"/>
      <c r="J42" s="644"/>
    </row>
    <row r="43" spans="1:10" s="643" customFormat="1" ht="105">
      <c r="A43" s="636">
        <v>9</v>
      </c>
      <c r="B43" s="652" t="s">
        <v>1399</v>
      </c>
      <c r="C43" s="638"/>
      <c r="D43" s="651"/>
      <c r="E43" s="638"/>
      <c r="F43" s="638"/>
      <c r="G43" s="638"/>
      <c r="J43" s="644">
        <v>4380</v>
      </c>
    </row>
    <row r="44" spans="1:10" s="643" customFormat="1" ht="15.75">
      <c r="A44" s="636"/>
      <c r="B44" s="652" t="s">
        <v>1400</v>
      </c>
      <c r="C44" s="640">
        <v>1448.8565456000026</v>
      </c>
      <c r="D44" s="639" t="s">
        <v>1386</v>
      </c>
      <c r="E44" s="640"/>
      <c r="F44" s="641"/>
      <c r="G44" s="642"/>
      <c r="J44" s="644"/>
    </row>
    <row r="45" spans="1:10" s="643" customFormat="1" ht="15.75">
      <c r="A45" s="636"/>
      <c r="B45" s="652" t="s">
        <v>1385</v>
      </c>
      <c r="C45" s="640">
        <v>810</v>
      </c>
      <c r="D45" s="639" t="s">
        <v>1386</v>
      </c>
      <c r="E45" s="640"/>
      <c r="F45" s="641"/>
      <c r="G45" s="642"/>
      <c r="J45" s="644"/>
    </row>
    <row r="46" spans="1:10" s="643" customFormat="1" ht="15.75">
      <c r="A46" s="636"/>
      <c r="B46" s="645"/>
      <c r="C46" s="646">
        <v>2258.8565456000024</v>
      </c>
      <c r="D46" s="639" t="s">
        <v>1386</v>
      </c>
      <c r="E46" s="640">
        <v>4596</v>
      </c>
      <c r="F46" s="641" t="s">
        <v>1386</v>
      </c>
      <c r="G46" s="648">
        <v>10381704.68357761</v>
      </c>
      <c r="J46" s="644"/>
    </row>
    <row r="47" spans="1:10" s="643" customFormat="1" ht="15.75">
      <c r="A47" s="636"/>
      <c r="B47" s="652"/>
      <c r="C47" s="640"/>
      <c r="D47" s="639"/>
      <c r="E47" s="640"/>
      <c r="F47" s="641"/>
      <c r="G47" s="642"/>
      <c r="J47" s="644"/>
    </row>
    <row r="48" spans="1:10" s="643" customFormat="1" ht="30">
      <c r="A48" s="636">
        <v>10</v>
      </c>
      <c r="B48" s="637" t="s">
        <v>1401</v>
      </c>
      <c r="C48" s="638"/>
      <c r="D48" s="651"/>
      <c r="E48" s="638"/>
      <c r="F48" s="638"/>
      <c r="G48" s="638"/>
      <c r="J48" s="644">
        <v>64478</v>
      </c>
    </row>
    <row r="49" spans="1:10" s="643" customFormat="1" ht="15.75">
      <c r="A49" s="636"/>
      <c r="B49" s="652" t="s">
        <v>1400</v>
      </c>
      <c r="C49" s="640">
        <v>164.91609630292032</v>
      </c>
      <c r="D49" s="639" t="s">
        <v>595</v>
      </c>
      <c r="E49" s="640"/>
      <c r="F49" s="641"/>
      <c r="G49" s="642"/>
      <c r="J49" s="644"/>
    </row>
    <row r="50" spans="1:10" s="643" customFormat="1" ht="15.75">
      <c r="A50" s="636"/>
      <c r="B50" s="652" t="s">
        <v>1385</v>
      </c>
      <c r="C50" s="640">
        <v>95.377499999999998</v>
      </c>
      <c r="D50" s="639" t="s">
        <v>595</v>
      </c>
      <c r="E50" s="640"/>
      <c r="F50" s="641"/>
      <c r="G50" s="642"/>
      <c r="J50" s="644"/>
    </row>
    <row r="51" spans="1:10" s="643" customFormat="1" ht="15.75">
      <c r="A51" s="636"/>
      <c r="B51" s="645"/>
      <c r="C51" s="646">
        <v>260.29359630292032</v>
      </c>
      <c r="D51" s="639" t="s">
        <v>595</v>
      </c>
      <c r="E51" s="640">
        <v>85000</v>
      </c>
      <c r="F51" s="641" t="s">
        <v>595</v>
      </c>
      <c r="G51" s="648">
        <v>22124955.685748227</v>
      </c>
      <c r="J51" s="644"/>
    </row>
    <row r="52" spans="1:10" s="643" customFormat="1" ht="15.75">
      <c r="A52" s="636"/>
      <c r="B52" s="652"/>
      <c r="C52" s="640"/>
      <c r="D52" s="639"/>
      <c r="E52" s="640"/>
      <c r="F52" s="641"/>
      <c r="G52" s="642"/>
      <c r="J52" s="644"/>
    </row>
    <row r="53" spans="1:10" s="643" customFormat="1" ht="75">
      <c r="A53" s="636">
        <v>11</v>
      </c>
      <c r="B53" s="637" t="s">
        <v>1402</v>
      </c>
      <c r="C53" s="638"/>
      <c r="D53" s="651"/>
      <c r="E53" s="638"/>
      <c r="F53" s="638"/>
      <c r="G53" s="638"/>
      <c r="H53" s="653"/>
      <c r="J53" s="644">
        <v>90</v>
      </c>
    </row>
    <row r="54" spans="1:10" s="643" customFormat="1" ht="15.75">
      <c r="A54" s="636"/>
      <c r="B54" s="652" t="s">
        <v>1400</v>
      </c>
      <c r="C54" s="640">
        <v>200.39999999999998</v>
      </c>
      <c r="D54" s="639" t="s">
        <v>1403</v>
      </c>
      <c r="E54" s="640"/>
      <c r="F54" s="641"/>
      <c r="G54" s="642"/>
      <c r="J54" s="644"/>
    </row>
    <row r="55" spans="1:10" s="643" customFormat="1" ht="15.75">
      <c r="A55" s="636"/>
      <c r="B55" s="652" t="s">
        <v>1385</v>
      </c>
      <c r="C55" s="640">
        <v>390</v>
      </c>
      <c r="D55" s="639" t="s">
        <v>1403</v>
      </c>
      <c r="E55" s="640"/>
      <c r="F55" s="641"/>
      <c r="G55" s="642"/>
      <c r="J55" s="644"/>
    </row>
    <row r="56" spans="1:10" s="643" customFormat="1" ht="15.75">
      <c r="A56" s="636"/>
      <c r="B56" s="645"/>
      <c r="C56" s="646">
        <v>590.4</v>
      </c>
      <c r="D56" s="639" t="s">
        <v>1403</v>
      </c>
      <c r="E56" s="640">
        <v>129</v>
      </c>
      <c r="F56" s="641" t="s">
        <v>1403</v>
      </c>
      <c r="G56" s="648">
        <v>76161.599999999991</v>
      </c>
      <c r="J56" s="644"/>
    </row>
    <row r="57" spans="1:10" s="643" customFormat="1" ht="15.75">
      <c r="A57" s="636"/>
      <c r="B57" s="652"/>
      <c r="C57" s="640"/>
      <c r="D57" s="639"/>
      <c r="E57" s="640"/>
      <c r="F57" s="641"/>
      <c r="G57" s="642"/>
      <c r="J57" s="644"/>
    </row>
    <row r="58" spans="1:10" s="643" customFormat="1" ht="60">
      <c r="A58" s="636">
        <v>12</v>
      </c>
      <c r="B58" s="652" t="s">
        <v>1404</v>
      </c>
      <c r="C58" s="638"/>
      <c r="D58" s="651"/>
      <c r="E58" s="638"/>
      <c r="F58" s="638"/>
      <c r="G58" s="638"/>
      <c r="J58" s="644">
        <v>320</v>
      </c>
    </row>
    <row r="59" spans="1:10" s="643" customFormat="1" ht="15.75">
      <c r="A59" s="636"/>
      <c r="B59" s="652" t="s">
        <v>1400</v>
      </c>
      <c r="C59" s="640">
        <v>487.2</v>
      </c>
      <c r="D59" s="639" t="s">
        <v>1386</v>
      </c>
      <c r="E59" s="640"/>
      <c r="F59" s="641"/>
      <c r="G59" s="642"/>
      <c r="J59" s="644"/>
    </row>
    <row r="60" spans="1:10" s="643" customFormat="1" ht="15.75">
      <c r="A60" s="636"/>
      <c r="B60" s="652" t="s">
        <v>1385</v>
      </c>
      <c r="C60" s="640">
        <v>975</v>
      </c>
      <c r="D60" s="639" t="s">
        <v>1386</v>
      </c>
      <c r="E60" s="640"/>
      <c r="F60" s="641"/>
      <c r="G60" s="642"/>
      <c r="J60" s="644"/>
    </row>
    <row r="61" spans="1:10" s="643" customFormat="1" ht="15.75">
      <c r="A61" s="636"/>
      <c r="B61" s="645"/>
      <c r="C61" s="646">
        <v>1462.2</v>
      </c>
      <c r="D61" s="639" t="s">
        <v>1386</v>
      </c>
      <c r="E61" s="640">
        <v>548</v>
      </c>
      <c r="F61" s="641" t="s">
        <v>1386</v>
      </c>
      <c r="G61" s="648">
        <v>801285.6</v>
      </c>
      <c r="J61" s="644"/>
    </row>
    <row r="62" spans="1:10" s="643" customFormat="1" ht="15.75">
      <c r="A62" s="636"/>
      <c r="B62" s="652"/>
      <c r="C62" s="640"/>
      <c r="D62" s="639"/>
      <c r="E62" s="640"/>
      <c r="F62" s="641"/>
      <c r="G62" s="642"/>
      <c r="J62" s="644"/>
    </row>
    <row r="63" spans="1:10" s="643" customFormat="1" ht="120">
      <c r="A63" s="636">
        <v>13</v>
      </c>
      <c r="B63" s="637" t="s">
        <v>1405</v>
      </c>
      <c r="C63" s="638"/>
      <c r="D63" s="651"/>
      <c r="E63" s="638"/>
      <c r="F63" s="638"/>
      <c r="G63" s="638"/>
      <c r="J63" s="644">
        <v>516</v>
      </c>
    </row>
    <row r="64" spans="1:10" s="643" customFormat="1" ht="15.75">
      <c r="A64" s="636"/>
      <c r="B64" s="652" t="s">
        <v>1400</v>
      </c>
      <c r="C64" s="640">
        <v>83.52</v>
      </c>
      <c r="D64" s="639" t="s">
        <v>1386</v>
      </c>
      <c r="E64" s="640"/>
      <c r="F64" s="641"/>
      <c r="G64" s="642"/>
      <c r="J64" s="644"/>
    </row>
    <row r="65" spans="1:10" s="643" customFormat="1" ht="15.75">
      <c r="A65" s="636"/>
      <c r="B65" s="652" t="s">
        <v>1385</v>
      </c>
      <c r="C65" s="640">
        <v>487.5</v>
      </c>
      <c r="D65" s="639" t="s">
        <v>1386</v>
      </c>
      <c r="E65" s="640"/>
      <c r="F65" s="641"/>
      <c r="G65" s="642"/>
      <c r="J65" s="644"/>
    </row>
    <row r="66" spans="1:10" s="643" customFormat="1" ht="15.75">
      <c r="A66" s="636"/>
      <c r="B66" s="645"/>
      <c r="C66" s="646">
        <v>571.02</v>
      </c>
      <c r="D66" s="639" t="s">
        <v>1386</v>
      </c>
      <c r="E66" s="640">
        <v>793</v>
      </c>
      <c r="F66" s="641" t="s">
        <v>1386</v>
      </c>
      <c r="G66" s="648">
        <v>452818.86</v>
      </c>
      <c r="J66" s="644"/>
    </row>
    <row r="67" spans="1:10" s="643" customFormat="1" ht="15.75">
      <c r="A67" s="636"/>
      <c r="B67" s="652"/>
      <c r="C67" s="640"/>
      <c r="D67" s="639"/>
      <c r="E67" s="640"/>
      <c r="F67" s="641"/>
      <c r="G67" s="642"/>
      <c r="J67" s="644"/>
    </row>
    <row r="68" spans="1:10" s="643" customFormat="1" ht="75">
      <c r="A68" s="636">
        <v>14</v>
      </c>
      <c r="B68" s="652" t="s">
        <v>1406</v>
      </c>
      <c r="C68" s="638"/>
      <c r="D68" s="651"/>
      <c r="E68" s="638"/>
      <c r="F68" s="638"/>
      <c r="G68" s="638"/>
      <c r="J68" s="644">
        <v>5190</v>
      </c>
    </row>
    <row r="69" spans="1:10" s="643" customFormat="1" ht="15.75">
      <c r="A69" s="636"/>
      <c r="B69" s="652" t="s">
        <v>1407</v>
      </c>
      <c r="C69" s="649">
        <v>1700.1633739839742</v>
      </c>
      <c r="D69" s="639" t="s">
        <v>1386</v>
      </c>
      <c r="E69" s="640">
        <v>5625</v>
      </c>
      <c r="F69" s="641" t="s">
        <v>1386</v>
      </c>
      <c r="G69" s="648">
        <v>9563418.9786598552</v>
      </c>
      <c r="J69" s="644"/>
    </row>
    <row r="70" spans="1:10" s="643" customFormat="1" ht="15.75">
      <c r="A70" s="636"/>
      <c r="B70" s="654"/>
      <c r="C70" s="640"/>
      <c r="D70" s="639"/>
      <c r="E70" s="640"/>
      <c r="F70" s="641"/>
      <c r="G70" s="642"/>
      <c r="J70" s="644"/>
    </row>
    <row r="71" spans="1:10" s="643" customFormat="1" ht="45">
      <c r="A71" s="636">
        <v>15</v>
      </c>
      <c r="B71" s="637" t="s">
        <v>1408</v>
      </c>
      <c r="C71" s="638"/>
      <c r="D71" s="651"/>
      <c r="E71" s="638"/>
      <c r="F71" s="638"/>
      <c r="G71" s="638"/>
      <c r="J71" s="644">
        <v>65429</v>
      </c>
    </row>
    <row r="72" spans="1:10" s="643" customFormat="1" ht="15.75">
      <c r="A72" s="636"/>
      <c r="B72" s="652" t="s">
        <v>1407</v>
      </c>
      <c r="C72" s="649">
        <v>203.72423728661298</v>
      </c>
      <c r="D72" s="639" t="s">
        <v>595</v>
      </c>
      <c r="E72" s="640">
        <v>85000</v>
      </c>
      <c r="F72" s="641" t="s">
        <v>595</v>
      </c>
      <c r="G72" s="648">
        <v>17316560.169362102</v>
      </c>
      <c r="J72" s="644"/>
    </row>
    <row r="73" spans="1:10" s="643" customFormat="1" ht="15.75">
      <c r="A73" s="636"/>
      <c r="B73" s="652"/>
      <c r="C73" s="640"/>
      <c r="D73" s="639"/>
      <c r="E73" s="640"/>
      <c r="F73" s="641"/>
      <c r="G73" s="642"/>
      <c r="J73" s="644"/>
    </row>
    <row r="74" spans="1:10" s="643" customFormat="1" ht="45">
      <c r="A74" s="636">
        <v>16</v>
      </c>
      <c r="B74" s="652" t="s">
        <v>1409</v>
      </c>
      <c r="C74" s="638"/>
      <c r="D74" s="651"/>
      <c r="E74" s="638"/>
      <c r="F74" s="638"/>
      <c r="G74" s="638"/>
      <c r="J74" s="644">
        <v>8395</v>
      </c>
    </row>
    <row r="75" spans="1:10" s="643" customFormat="1" ht="15.75">
      <c r="A75" s="636"/>
      <c r="B75" s="652" t="s">
        <v>1407</v>
      </c>
      <c r="C75" s="649">
        <v>139.65118005740948</v>
      </c>
      <c r="D75" s="639" t="s">
        <v>1386</v>
      </c>
      <c r="E75" s="640">
        <v>8743</v>
      </c>
      <c r="F75" s="641" t="s">
        <v>1386</v>
      </c>
      <c r="G75" s="648">
        <v>1220970.2672419311</v>
      </c>
      <c r="J75" s="644"/>
    </row>
    <row r="76" spans="1:10" s="643" customFormat="1" ht="15.75">
      <c r="A76" s="636"/>
      <c r="B76" s="652"/>
      <c r="C76" s="640"/>
      <c r="D76" s="639"/>
      <c r="E76" s="640"/>
      <c r="F76" s="641"/>
      <c r="G76" s="642"/>
      <c r="J76" s="644"/>
    </row>
    <row r="77" spans="1:10" s="643" customFormat="1" ht="30">
      <c r="A77" s="636">
        <v>17</v>
      </c>
      <c r="B77" s="637" t="s">
        <v>1410</v>
      </c>
      <c r="C77" s="638"/>
      <c r="D77" s="651"/>
      <c r="E77" s="638"/>
      <c r="F77" s="638"/>
      <c r="G77" s="638"/>
      <c r="J77" s="644">
        <v>3010</v>
      </c>
    </row>
    <row r="78" spans="1:10" s="643" customFormat="1" ht="15.75">
      <c r="A78" s="636"/>
      <c r="B78" s="652" t="s">
        <v>1407</v>
      </c>
      <c r="C78" s="640">
        <v>7.56</v>
      </c>
      <c r="D78" s="639" t="s">
        <v>1386</v>
      </c>
      <c r="E78" s="640"/>
      <c r="F78" s="641"/>
      <c r="G78" s="642"/>
      <c r="J78" s="644"/>
    </row>
    <row r="79" spans="1:10" s="643" customFormat="1" ht="15.75">
      <c r="A79" s="636"/>
      <c r="B79" s="652" t="s">
        <v>1385</v>
      </c>
      <c r="C79" s="640">
        <v>123.75</v>
      </c>
      <c r="D79" s="639" t="s">
        <v>1386</v>
      </c>
      <c r="E79" s="640"/>
      <c r="F79" s="641"/>
      <c r="G79" s="642"/>
      <c r="J79" s="644"/>
    </row>
    <row r="80" spans="1:10" s="643" customFormat="1" ht="15.75">
      <c r="A80" s="636"/>
      <c r="B80" s="645"/>
      <c r="C80" s="646">
        <v>131.31</v>
      </c>
      <c r="D80" s="639" t="s">
        <v>1386</v>
      </c>
      <c r="E80" s="640">
        <v>2949</v>
      </c>
      <c r="F80" s="641" t="s">
        <v>1386</v>
      </c>
      <c r="G80" s="648">
        <v>387233.19</v>
      </c>
      <c r="J80" s="644"/>
    </row>
    <row r="81" spans="1:10" s="643" customFormat="1" ht="15.75">
      <c r="A81" s="636"/>
      <c r="B81" s="652"/>
      <c r="C81" s="640"/>
      <c r="D81" s="639"/>
      <c r="E81" s="640"/>
      <c r="F81" s="641"/>
      <c r="G81" s="642"/>
      <c r="J81" s="644"/>
    </row>
    <row r="82" spans="1:10" s="643" customFormat="1" ht="45">
      <c r="A82" s="636">
        <v>18</v>
      </c>
      <c r="B82" s="652" t="s">
        <v>1411</v>
      </c>
      <c r="C82" s="638"/>
      <c r="D82" s="651"/>
      <c r="E82" s="638"/>
      <c r="F82" s="638"/>
      <c r="G82" s="638"/>
      <c r="J82" s="644">
        <v>7075</v>
      </c>
    </row>
    <row r="83" spans="1:10" s="643" customFormat="1" ht="15.75">
      <c r="A83" s="636"/>
      <c r="B83" s="652" t="s">
        <v>1407</v>
      </c>
      <c r="C83" s="649">
        <v>27.152999999999995</v>
      </c>
      <c r="D83" s="639" t="s">
        <v>1386</v>
      </c>
      <c r="E83" s="640">
        <v>7863</v>
      </c>
      <c r="F83" s="641" t="s">
        <v>1386</v>
      </c>
      <c r="G83" s="648">
        <v>213504.03899999996</v>
      </c>
      <c r="J83" s="644"/>
    </row>
    <row r="84" spans="1:10" s="643" customFormat="1" ht="15.75">
      <c r="A84" s="636"/>
      <c r="B84" s="652"/>
      <c r="C84" s="640"/>
      <c r="D84" s="639"/>
      <c r="E84" s="640"/>
      <c r="F84" s="641"/>
      <c r="G84" s="642"/>
      <c r="J84" s="644"/>
    </row>
    <row r="85" spans="1:10" s="643" customFormat="1" ht="45">
      <c r="A85" s="636">
        <v>19</v>
      </c>
      <c r="B85" s="637" t="s">
        <v>1412</v>
      </c>
      <c r="C85" s="638"/>
      <c r="D85" s="651"/>
      <c r="E85" s="638"/>
      <c r="F85" s="638"/>
      <c r="G85" s="638"/>
      <c r="J85" s="644">
        <v>795.6</v>
      </c>
    </row>
    <row r="86" spans="1:10" s="643" customFormat="1" ht="15.75">
      <c r="A86" s="636"/>
      <c r="B86" s="652" t="s">
        <v>1407</v>
      </c>
      <c r="C86" s="649">
        <v>157.49278116533117</v>
      </c>
      <c r="D86" s="655" t="s">
        <v>72</v>
      </c>
      <c r="E86" s="640">
        <v>1263</v>
      </c>
      <c r="F86" s="656" t="s">
        <v>72</v>
      </c>
      <c r="G86" s="648">
        <v>198913.38261181326</v>
      </c>
      <c r="J86" s="644"/>
    </row>
    <row r="87" spans="1:10" s="643" customFormat="1" ht="15.75">
      <c r="A87" s="636"/>
      <c r="B87" s="652"/>
      <c r="C87" s="640"/>
      <c r="D87" s="655"/>
      <c r="E87" s="640"/>
      <c r="F87" s="656"/>
      <c r="G87" s="642"/>
      <c r="J87" s="644"/>
    </row>
    <row r="88" spans="1:10" s="643" customFormat="1" ht="75">
      <c r="A88" s="636">
        <v>20</v>
      </c>
      <c r="B88" s="652" t="s">
        <v>1413</v>
      </c>
      <c r="C88" s="638"/>
      <c r="D88" s="651"/>
      <c r="E88" s="638"/>
      <c r="F88" s="638"/>
      <c r="G88" s="638"/>
      <c r="J88" s="644">
        <v>590</v>
      </c>
    </row>
    <row r="89" spans="1:10" s="643" customFormat="1" ht="15.75">
      <c r="A89" s="636"/>
      <c r="B89" s="652" t="s">
        <v>1407</v>
      </c>
      <c r="C89" s="649">
        <v>182.39999999999998</v>
      </c>
      <c r="D89" s="639" t="s">
        <v>72</v>
      </c>
      <c r="E89" s="640">
        <v>248</v>
      </c>
      <c r="F89" s="641" t="s">
        <v>72</v>
      </c>
      <c r="G89" s="648">
        <v>45235.199999999997</v>
      </c>
      <c r="J89" s="644"/>
    </row>
    <row r="90" spans="1:10" s="643" customFormat="1" ht="15.75">
      <c r="A90" s="636"/>
      <c r="B90" s="652"/>
      <c r="C90" s="640"/>
      <c r="D90" s="639"/>
      <c r="E90" s="640"/>
      <c r="F90" s="641"/>
      <c r="G90" s="642"/>
      <c r="J90" s="644"/>
    </row>
    <row r="91" spans="1:10" s="643" customFormat="1" ht="105">
      <c r="A91" s="636">
        <v>21</v>
      </c>
      <c r="B91" s="637" t="s">
        <v>1414</v>
      </c>
      <c r="C91" s="638"/>
      <c r="D91" s="651"/>
      <c r="E91" s="638"/>
      <c r="F91" s="638"/>
      <c r="G91" s="638"/>
      <c r="J91" s="644">
        <v>3005</v>
      </c>
    </row>
    <row r="92" spans="1:10" s="643" customFormat="1" ht="15.75">
      <c r="A92" s="636"/>
      <c r="B92" s="645" t="s">
        <v>1385</v>
      </c>
      <c r="C92" s="649">
        <v>2033.3999999999999</v>
      </c>
      <c r="D92" s="639" t="s">
        <v>1386</v>
      </c>
      <c r="E92" s="640">
        <v>33</v>
      </c>
      <c r="F92" s="641" t="s">
        <v>1386</v>
      </c>
      <c r="G92" s="648">
        <v>67102.2</v>
      </c>
      <c r="J92" s="644"/>
    </row>
    <row r="93" spans="1:10" ht="15.75">
      <c r="A93" s="631"/>
      <c r="B93" s="657"/>
      <c r="C93" s="633"/>
      <c r="D93" s="634"/>
      <c r="E93" s="633"/>
      <c r="F93" s="635"/>
      <c r="G93" s="631"/>
    </row>
    <row r="94" spans="1:10" s="643" customFormat="1" ht="105">
      <c r="A94" s="636">
        <v>22</v>
      </c>
      <c r="B94" s="637" t="s">
        <v>1415</v>
      </c>
      <c r="C94" s="638"/>
      <c r="D94" s="651"/>
      <c r="E94" s="638"/>
      <c r="F94" s="638"/>
      <c r="G94" s="638"/>
      <c r="J94" s="644">
        <v>3005</v>
      </c>
    </row>
    <row r="95" spans="1:10" s="643" customFormat="1" ht="15.75">
      <c r="A95" s="636"/>
      <c r="B95" s="645" t="s">
        <v>1385</v>
      </c>
      <c r="C95" s="649">
        <v>1355.6000000000001</v>
      </c>
      <c r="D95" s="639" t="s">
        <v>1386</v>
      </c>
      <c r="E95" s="640">
        <v>44</v>
      </c>
      <c r="F95" s="641" t="s">
        <v>1386</v>
      </c>
      <c r="G95" s="648">
        <v>59646.400000000009</v>
      </c>
      <c r="J95" s="644"/>
    </row>
    <row r="96" spans="1:10" ht="15.75">
      <c r="A96" s="631"/>
      <c r="B96" s="657"/>
      <c r="C96" s="633"/>
      <c r="D96" s="634"/>
      <c r="E96" s="633"/>
      <c r="F96" s="635"/>
      <c r="G96" s="631"/>
    </row>
    <row r="97" spans="1:10" s="658" customFormat="1" ht="225">
      <c r="A97" s="636">
        <v>23</v>
      </c>
      <c r="B97" s="645" t="s">
        <v>1416</v>
      </c>
      <c r="C97" s="638"/>
      <c r="D97" s="651"/>
      <c r="E97" s="638"/>
      <c r="F97" s="638"/>
      <c r="G97" s="638"/>
      <c r="I97" s="658">
        <v>6.4</v>
      </c>
      <c r="J97" s="659"/>
    </row>
    <row r="98" spans="1:10" s="643" customFormat="1" ht="15.75">
      <c r="A98" s="636"/>
      <c r="B98" s="652"/>
      <c r="C98" s="649">
        <v>360</v>
      </c>
      <c r="D98" s="639" t="s">
        <v>1386</v>
      </c>
      <c r="E98" s="640">
        <v>5454</v>
      </c>
      <c r="F98" s="641" t="s">
        <v>1386</v>
      </c>
      <c r="G98" s="648">
        <v>1963440</v>
      </c>
      <c r="J98" s="644"/>
    </row>
    <row r="99" spans="1:10" s="643" customFormat="1" ht="15.75">
      <c r="A99" s="636"/>
      <c r="B99" s="652"/>
      <c r="C99" s="640"/>
      <c r="D99" s="639"/>
      <c r="E99" s="640"/>
      <c r="F99" s="641"/>
      <c r="G99" s="642"/>
      <c r="J99" s="644"/>
    </row>
    <row r="100" spans="1:10" s="658" customFormat="1" ht="105">
      <c r="A100" s="636">
        <v>24</v>
      </c>
      <c r="B100" s="645" t="s">
        <v>1417</v>
      </c>
      <c r="C100" s="638"/>
      <c r="D100" s="651"/>
      <c r="E100" s="638"/>
      <c r="F100" s="638"/>
      <c r="G100" s="638"/>
      <c r="I100" s="658">
        <v>6.4</v>
      </c>
      <c r="J100" s="659"/>
    </row>
    <row r="101" spans="1:10" s="643" customFormat="1" ht="15.75">
      <c r="A101" s="636"/>
      <c r="B101" s="652"/>
      <c r="C101" s="649">
        <v>0</v>
      </c>
      <c r="D101" s="639" t="s">
        <v>29</v>
      </c>
      <c r="E101" s="640">
        <v>1747</v>
      </c>
      <c r="F101" s="641" t="s">
        <v>29</v>
      </c>
      <c r="G101" s="648" t="s">
        <v>265</v>
      </c>
      <c r="J101" s="644"/>
    </row>
    <row r="102" spans="1:10" ht="255">
      <c r="A102" s="660">
        <v>25</v>
      </c>
      <c r="B102" s="645" t="s">
        <v>1418</v>
      </c>
      <c r="C102" s="661">
        <v>2</v>
      </c>
      <c r="D102" s="662" t="s">
        <v>171</v>
      </c>
      <c r="E102" s="663">
        <v>8300</v>
      </c>
      <c r="F102" s="664" t="s">
        <v>1419</v>
      </c>
      <c r="G102" s="665">
        <v>16600</v>
      </c>
    </row>
    <row r="103" spans="1:10" ht="121.5" customHeight="1">
      <c r="A103" s="660">
        <v>26</v>
      </c>
      <c r="B103" s="645" t="s">
        <v>1420</v>
      </c>
      <c r="C103" s="661">
        <v>3</v>
      </c>
      <c r="D103" s="662" t="s">
        <v>171</v>
      </c>
      <c r="E103" s="663">
        <v>3300</v>
      </c>
      <c r="F103" s="664" t="s">
        <v>1419</v>
      </c>
      <c r="G103" s="665">
        <v>9900</v>
      </c>
    </row>
    <row r="104" spans="1:10" ht="135">
      <c r="A104" s="666">
        <v>27</v>
      </c>
      <c r="B104" s="645" t="s">
        <v>1421</v>
      </c>
      <c r="C104" s="661">
        <v>6</v>
      </c>
      <c r="D104" s="662" t="s">
        <v>171</v>
      </c>
      <c r="E104" s="663">
        <v>2269</v>
      </c>
      <c r="F104" s="664" t="s">
        <v>1419</v>
      </c>
      <c r="G104" s="665">
        <v>13614</v>
      </c>
    </row>
    <row r="105" spans="1:10" ht="135">
      <c r="A105" s="660">
        <v>28</v>
      </c>
      <c r="B105" s="645" t="s">
        <v>1422</v>
      </c>
      <c r="C105" s="661">
        <v>6</v>
      </c>
      <c r="D105" s="662" t="s">
        <v>171</v>
      </c>
      <c r="E105" s="663">
        <v>1894</v>
      </c>
      <c r="F105" s="664" t="s">
        <v>1419</v>
      </c>
      <c r="G105" s="665">
        <v>11364</v>
      </c>
    </row>
    <row r="106" spans="1:10" ht="330">
      <c r="A106" s="660">
        <v>29</v>
      </c>
      <c r="B106" s="645" t="s">
        <v>1423</v>
      </c>
      <c r="C106" s="661">
        <v>400</v>
      </c>
      <c r="D106" s="662" t="s">
        <v>171</v>
      </c>
      <c r="E106" s="663">
        <v>185.61</v>
      </c>
      <c r="F106" s="664" t="s">
        <v>1419</v>
      </c>
      <c r="G106" s="665">
        <v>74244</v>
      </c>
    </row>
    <row r="107" spans="1:10" ht="120">
      <c r="A107" s="660">
        <v>30</v>
      </c>
      <c r="B107" s="645" t="s">
        <v>1424</v>
      </c>
      <c r="C107" s="667">
        <v>500.17499999999995</v>
      </c>
      <c r="D107" s="664" t="s">
        <v>1425</v>
      </c>
      <c r="E107" s="663">
        <v>559</v>
      </c>
      <c r="F107" s="664" t="s">
        <v>1426</v>
      </c>
      <c r="G107" s="665">
        <v>279597.82499999995</v>
      </c>
    </row>
    <row r="108" spans="1:10" ht="60">
      <c r="A108" s="660">
        <v>31</v>
      </c>
      <c r="B108" s="645" t="s">
        <v>1427</v>
      </c>
      <c r="C108" s="667">
        <v>160.99689437998487</v>
      </c>
      <c r="D108" s="664" t="s">
        <v>1428</v>
      </c>
      <c r="E108" s="663">
        <v>908</v>
      </c>
      <c r="F108" s="664" t="s">
        <v>1429</v>
      </c>
      <c r="G108" s="665">
        <v>146185.18009702626</v>
      </c>
    </row>
    <row r="109" spans="1:10" ht="105">
      <c r="A109" s="660">
        <v>32</v>
      </c>
      <c r="B109" s="645" t="s">
        <v>1430</v>
      </c>
      <c r="C109" s="667">
        <v>2641.4953415699774</v>
      </c>
      <c r="D109" s="664" t="s">
        <v>1428</v>
      </c>
      <c r="E109" s="663">
        <v>844</v>
      </c>
      <c r="F109" s="664" t="s">
        <v>1429</v>
      </c>
      <c r="G109" s="665">
        <v>2229422.068285061</v>
      </c>
    </row>
    <row r="110" spans="1:10" ht="60">
      <c r="A110" s="660">
        <v>33</v>
      </c>
      <c r="B110" s="645" t="s">
        <v>1431</v>
      </c>
      <c r="C110" s="667">
        <v>30</v>
      </c>
      <c r="D110" s="664" t="s">
        <v>1432</v>
      </c>
      <c r="E110" s="663">
        <v>5087</v>
      </c>
      <c r="F110" s="664" t="s">
        <v>1433</v>
      </c>
      <c r="G110" s="665">
        <v>152610</v>
      </c>
    </row>
    <row r="111" spans="1:10" ht="60">
      <c r="A111" s="660">
        <v>34</v>
      </c>
      <c r="B111" s="645" t="s">
        <v>1434</v>
      </c>
      <c r="C111" s="667">
        <v>30</v>
      </c>
      <c r="D111" s="664" t="s">
        <v>1432</v>
      </c>
      <c r="E111" s="663">
        <v>3272</v>
      </c>
      <c r="F111" s="664" t="s">
        <v>1433</v>
      </c>
      <c r="G111" s="665">
        <v>98160</v>
      </c>
    </row>
    <row r="112" spans="1:10" ht="60">
      <c r="A112" s="660">
        <v>35</v>
      </c>
      <c r="B112" s="645" t="s">
        <v>1435</v>
      </c>
      <c r="C112" s="667">
        <v>120</v>
      </c>
      <c r="D112" s="664" t="s">
        <v>1432</v>
      </c>
      <c r="E112" s="663">
        <v>1215</v>
      </c>
      <c r="F112" s="664" t="s">
        <v>1433</v>
      </c>
      <c r="G112" s="665">
        <v>145800</v>
      </c>
    </row>
    <row r="113" spans="1:10" s="643" customFormat="1" ht="15.75">
      <c r="A113" s="636"/>
      <c r="B113" s="652"/>
      <c r="C113" s="640"/>
      <c r="D113" s="639"/>
      <c r="E113" s="640"/>
      <c r="F113" s="633" t="s">
        <v>1436</v>
      </c>
      <c r="G113" s="668">
        <v>100003890.15838893</v>
      </c>
      <c r="J113" s="644"/>
    </row>
  </sheetData>
  <mergeCells count="3">
    <mergeCell ref="A1:G1"/>
    <mergeCell ref="A2:C2"/>
    <mergeCell ref="B3:G3"/>
  </mergeCells>
  <pageMargins left="0.9" right="0.2" top="0.74" bottom="0.55000000000000004" header="0.5" footer="0.3"/>
  <pageSetup paperSize="9" orientation="portrait" r:id="rId1"/>
  <headerFooter alignWithMargins="0">
    <oddFooter>&amp;L&amp;"Times New Roman,Bold Italic"&amp;6          &amp;F</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R236"/>
  <sheetViews>
    <sheetView workbookViewId="0">
      <selection activeCell="M10" sqref="M10"/>
    </sheetView>
  </sheetViews>
  <sheetFormatPr defaultRowHeight="15.75"/>
  <cols>
    <col min="1" max="1" width="4.42578125" style="569" customWidth="1"/>
    <col min="2" max="2" width="6.5703125" style="569" hidden="1" customWidth="1"/>
    <col min="3" max="3" width="47" style="555" customWidth="1"/>
    <col min="4" max="4" width="8.42578125" style="556" bestFit="1" customWidth="1"/>
    <col min="5" max="5" width="10" style="556" customWidth="1"/>
    <col min="6" max="6" width="10.140625" style="556" customWidth="1"/>
    <col min="7" max="7" width="9.28515625" style="556" customWidth="1"/>
    <col min="8" max="8" width="10.7109375" style="556" customWidth="1"/>
    <col min="9" max="9" width="5.7109375" style="556" customWidth="1"/>
    <col min="10" max="11" width="9.140625" style="245"/>
    <col min="12" max="12" width="16.140625" style="245" bestFit="1" customWidth="1"/>
    <col min="13" max="16384" width="9.140625" style="245"/>
  </cols>
  <sheetData>
    <row r="1" spans="1:18">
      <c r="A1" s="827" t="s">
        <v>1437</v>
      </c>
      <c r="B1" s="827"/>
      <c r="C1" s="827"/>
      <c r="D1" s="827"/>
      <c r="E1" s="827"/>
      <c r="F1" s="827"/>
      <c r="G1" s="827"/>
      <c r="H1" s="827"/>
      <c r="I1" s="827"/>
    </row>
    <row r="2" spans="1:18" ht="16.5">
      <c r="A2" s="825" t="s">
        <v>1363</v>
      </c>
      <c r="B2" s="825"/>
      <c r="C2" s="825"/>
      <c r="D2" s="669"/>
      <c r="E2" s="630"/>
      <c r="F2" s="630"/>
      <c r="G2" s="630"/>
      <c r="H2" s="245"/>
      <c r="I2" s="245"/>
    </row>
    <row r="3" spans="1:18" ht="16.5">
      <c r="A3" s="630"/>
      <c r="B3" s="826" t="s">
        <v>1187</v>
      </c>
      <c r="C3" s="826"/>
      <c r="D3" s="826"/>
      <c r="E3" s="826"/>
      <c r="F3" s="826"/>
      <c r="G3" s="826"/>
      <c r="H3" s="826"/>
      <c r="I3" s="826"/>
    </row>
    <row r="4" spans="1:18">
      <c r="A4" s="670"/>
      <c r="B4" s="670"/>
      <c r="C4" s="437"/>
      <c r="D4" s="549"/>
      <c r="E4" s="671"/>
      <c r="G4" s="671"/>
      <c r="H4" s="671"/>
      <c r="I4" s="671"/>
    </row>
    <row r="5" spans="1:18">
      <c r="A5" s="672" t="s">
        <v>1377</v>
      </c>
      <c r="B5" s="673" t="s">
        <v>1190</v>
      </c>
      <c r="C5" s="674" t="s">
        <v>1190</v>
      </c>
      <c r="D5" s="828" t="s">
        <v>1438</v>
      </c>
      <c r="E5" s="828"/>
      <c r="F5" s="828"/>
      <c r="G5" s="828"/>
      <c r="H5" s="828"/>
      <c r="I5" s="829"/>
      <c r="J5" s="172"/>
      <c r="K5" s="172"/>
      <c r="L5" s="172"/>
      <c r="M5" s="172"/>
      <c r="N5" s="172"/>
      <c r="O5" s="172"/>
      <c r="P5" s="393"/>
      <c r="Q5" s="391"/>
      <c r="R5" s="393"/>
    </row>
    <row r="6" spans="1:18">
      <c r="A6" s="670"/>
      <c r="B6" s="675"/>
      <c r="C6" s="437"/>
      <c r="D6" s="670"/>
      <c r="E6" s="670"/>
      <c r="F6" s="670"/>
      <c r="G6" s="670"/>
      <c r="H6" s="670"/>
      <c r="I6" s="670"/>
    </row>
    <row r="7" spans="1:18">
      <c r="B7" s="519"/>
      <c r="C7" s="676" t="s">
        <v>1439</v>
      </c>
      <c r="D7" s="569"/>
      <c r="E7" s="569"/>
      <c r="F7" s="569"/>
      <c r="G7" s="569"/>
      <c r="H7" s="569"/>
      <c r="I7" s="569"/>
    </row>
    <row r="8" spans="1:18">
      <c r="A8" s="670"/>
      <c r="B8" s="675"/>
      <c r="C8" s="437"/>
      <c r="D8" s="670"/>
      <c r="E8" s="670"/>
      <c r="F8" s="670"/>
      <c r="G8" s="670"/>
      <c r="H8" s="670"/>
      <c r="I8" s="670"/>
    </row>
    <row r="9" spans="1:18">
      <c r="A9" s="670"/>
      <c r="B9" s="670"/>
      <c r="C9" s="676" t="s">
        <v>1440</v>
      </c>
      <c r="D9" s="549"/>
      <c r="E9" s="549"/>
      <c r="F9" s="549"/>
      <c r="G9" s="549"/>
      <c r="H9" s="549"/>
      <c r="I9" s="549"/>
    </row>
    <row r="10" spans="1:18" ht="135">
      <c r="A10" s="670">
        <v>1</v>
      </c>
      <c r="B10" s="675" t="s">
        <v>1441</v>
      </c>
      <c r="C10" s="437" t="s">
        <v>1382</v>
      </c>
      <c r="D10" s="549"/>
      <c r="E10" s="172"/>
      <c r="F10" s="172"/>
      <c r="G10" s="172"/>
      <c r="H10" s="172"/>
      <c r="I10" s="172"/>
    </row>
    <row r="11" spans="1:18" ht="30">
      <c r="A11" s="670">
        <v>1</v>
      </c>
      <c r="B11" s="675" t="s">
        <v>1441</v>
      </c>
      <c r="C11" s="437" t="s">
        <v>1442</v>
      </c>
      <c r="D11" s="549"/>
      <c r="E11" s="172"/>
      <c r="F11" s="172"/>
      <c r="G11" s="172"/>
      <c r="H11" s="172"/>
      <c r="I11" s="172"/>
    </row>
    <row r="12" spans="1:18">
      <c r="A12" s="670"/>
      <c r="B12" s="670"/>
      <c r="C12" s="437" t="s">
        <v>116</v>
      </c>
      <c r="D12" s="549">
        <v>11</v>
      </c>
      <c r="E12" s="174">
        <v>16.62496433541477</v>
      </c>
      <c r="F12" s="174">
        <v>4.33</v>
      </c>
      <c r="G12" s="174">
        <v>0.8</v>
      </c>
      <c r="H12" s="174">
        <v>633.4776410366444</v>
      </c>
      <c r="I12" s="174" t="s">
        <v>1386</v>
      </c>
    </row>
    <row r="13" spans="1:18">
      <c r="A13" s="670"/>
      <c r="B13" s="670"/>
      <c r="C13" s="437" t="s">
        <v>1443</v>
      </c>
      <c r="D13" s="549">
        <v>2</v>
      </c>
      <c r="E13" s="174">
        <v>14.3</v>
      </c>
      <c r="F13" s="174">
        <v>6.75</v>
      </c>
      <c r="G13" s="174">
        <v>0.8</v>
      </c>
      <c r="H13" s="174">
        <v>154.44000000000003</v>
      </c>
      <c r="I13" s="174" t="s">
        <v>1386</v>
      </c>
    </row>
    <row r="14" spans="1:18">
      <c r="A14" s="670"/>
      <c r="B14" s="670"/>
      <c r="C14" s="437"/>
      <c r="D14" s="549"/>
      <c r="E14" s="174"/>
      <c r="F14" s="174"/>
      <c r="G14" s="677" t="s">
        <v>1444</v>
      </c>
      <c r="H14" s="678">
        <v>787.91764103664445</v>
      </c>
      <c r="I14" s="677" t="s">
        <v>1386</v>
      </c>
    </row>
    <row r="15" spans="1:18">
      <c r="A15" s="670"/>
      <c r="B15" s="670"/>
      <c r="C15" s="437"/>
      <c r="D15" s="549"/>
      <c r="E15" s="174"/>
      <c r="F15" s="174"/>
      <c r="G15" s="174"/>
      <c r="H15" s="174"/>
      <c r="I15" s="174"/>
    </row>
    <row r="16" spans="1:18" ht="180">
      <c r="A16" s="670">
        <v>2</v>
      </c>
      <c r="B16" s="675" t="s">
        <v>1445</v>
      </c>
      <c r="C16" s="437" t="s">
        <v>1446</v>
      </c>
      <c r="D16" s="549"/>
      <c r="E16" s="172"/>
      <c r="F16" s="172"/>
      <c r="G16" s="172"/>
      <c r="H16" s="172"/>
      <c r="I16" s="172"/>
    </row>
    <row r="17" spans="1:9">
      <c r="A17" s="670"/>
      <c r="B17" s="670"/>
      <c r="C17" s="437" t="s">
        <v>1447</v>
      </c>
      <c r="D17" s="549">
        <v>11</v>
      </c>
      <c r="E17" s="174">
        <v>16.62496433541477</v>
      </c>
      <c r="F17" s="174">
        <v>4.33</v>
      </c>
      <c r="G17" s="174">
        <v>1</v>
      </c>
      <c r="H17" s="174">
        <v>791.8470512958055</v>
      </c>
      <c r="I17" s="174" t="s">
        <v>1386</v>
      </c>
    </row>
    <row r="18" spans="1:9">
      <c r="A18" s="670"/>
      <c r="B18" s="670"/>
      <c r="C18" s="437" t="s">
        <v>1443</v>
      </c>
      <c r="D18" s="549">
        <v>2</v>
      </c>
      <c r="E18" s="174">
        <v>14.3</v>
      </c>
      <c r="F18" s="174">
        <v>6.75</v>
      </c>
      <c r="G18" s="174">
        <v>1</v>
      </c>
      <c r="H18" s="174">
        <v>193.05</v>
      </c>
      <c r="I18" s="174" t="s">
        <v>1386</v>
      </c>
    </row>
    <row r="19" spans="1:9">
      <c r="A19" s="670"/>
      <c r="B19" s="675"/>
      <c r="C19" s="437"/>
      <c r="D19" s="549"/>
      <c r="E19" s="172"/>
      <c r="F19" s="677"/>
      <c r="G19" s="677" t="s">
        <v>1444</v>
      </c>
      <c r="H19" s="678">
        <v>984.89705129580557</v>
      </c>
      <c r="I19" s="677" t="s">
        <v>1386</v>
      </c>
    </row>
    <row r="20" spans="1:9">
      <c r="A20" s="670"/>
      <c r="B20" s="670"/>
      <c r="C20" s="437"/>
      <c r="D20" s="549"/>
      <c r="E20" s="172"/>
      <c r="F20" s="172"/>
      <c r="G20" s="172"/>
      <c r="H20" s="172"/>
      <c r="I20" s="172"/>
    </row>
    <row r="21" spans="1:9" ht="180">
      <c r="A21" s="670">
        <v>3</v>
      </c>
      <c r="B21" s="675" t="s">
        <v>1448</v>
      </c>
      <c r="C21" s="437" t="s">
        <v>1449</v>
      </c>
      <c r="D21" s="549"/>
      <c r="E21" s="172"/>
      <c r="F21" s="172"/>
      <c r="G21" s="172"/>
      <c r="H21" s="172"/>
      <c r="I21" s="172"/>
    </row>
    <row r="22" spans="1:9">
      <c r="A22" s="670"/>
      <c r="B22" s="670"/>
      <c r="C22" s="437" t="s">
        <v>1447</v>
      </c>
      <c r="D22" s="549">
        <v>11</v>
      </c>
      <c r="E22" s="174">
        <v>16.62496433541477</v>
      </c>
      <c r="F22" s="174">
        <v>4.33</v>
      </c>
      <c r="G22" s="174">
        <v>1.8</v>
      </c>
      <c r="H22" s="174">
        <v>1425.32469233245</v>
      </c>
      <c r="I22" s="174" t="s">
        <v>1386</v>
      </c>
    </row>
    <row r="23" spans="1:9">
      <c r="A23" s="670"/>
      <c r="B23" s="670"/>
      <c r="C23" s="437" t="s">
        <v>1443</v>
      </c>
      <c r="D23" s="549">
        <v>2</v>
      </c>
      <c r="E23" s="174">
        <v>14.3</v>
      </c>
      <c r="F23" s="174">
        <v>6.75</v>
      </c>
      <c r="G23" s="174">
        <v>1.8</v>
      </c>
      <c r="H23" s="174">
        <v>347.49</v>
      </c>
      <c r="I23" s="174" t="s">
        <v>1386</v>
      </c>
    </row>
    <row r="24" spans="1:9">
      <c r="A24" s="670"/>
      <c r="B24" s="670"/>
      <c r="C24" s="437" t="s">
        <v>1450</v>
      </c>
      <c r="D24" s="549">
        <v>12</v>
      </c>
      <c r="E24" s="174">
        <v>12.5</v>
      </c>
      <c r="F24" s="174">
        <v>1</v>
      </c>
      <c r="G24" s="174">
        <v>1</v>
      </c>
      <c r="H24" s="174">
        <v>150</v>
      </c>
      <c r="I24" s="174" t="s">
        <v>1386</v>
      </c>
    </row>
    <row r="25" spans="1:9">
      <c r="A25" s="670"/>
      <c r="B25" s="670"/>
      <c r="C25" s="437" t="s">
        <v>1451</v>
      </c>
      <c r="D25" s="549">
        <v>12</v>
      </c>
      <c r="E25" s="174">
        <v>12.5</v>
      </c>
      <c r="F25" s="174">
        <v>1</v>
      </c>
      <c r="G25" s="174">
        <v>1</v>
      </c>
      <c r="H25" s="174">
        <v>150</v>
      </c>
      <c r="I25" s="174" t="s">
        <v>1386</v>
      </c>
    </row>
    <row r="26" spans="1:9">
      <c r="A26" s="670"/>
      <c r="B26" s="675"/>
      <c r="C26" s="437"/>
      <c r="D26" s="549"/>
      <c r="E26" s="172"/>
      <c r="F26" s="677"/>
      <c r="G26" s="677" t="s">
        <v>1444</v>
      </c>
      <c r="H26" s="678">
        <v>2072.8146923324502</v>
      </c>
      <c r="I26" s="677" t="s">
        <v>1386</v>
      </c>
    </row>
    <row r="27" spans="1:9">
      <c r="A27" s="670"/>
      <c r="B27" s="675"/>
      <c r="C27" s="437"/>
      <c r="D27" s="549"/>
      <c r="E27" s="172"/>
      <c r="F27" s="677"/>
      <c r="G27" s="677"/>
      <c r="H27" s="677"/>
      <c r="I27" s="677"/>
    </row>
    <row r="28" spans="1:9" ht="165">
      <c r="A28" s="670">
        <v>4</v>
      </c>
      <c r="B28" s="675" t="s">
        <v>1452</v>
      </c>
      <c r="C28" s="437" t="s">
        <v>1453</v>
      </c>
      <c r="D28" s="549"/>
      <c r="E28" s="172"/>
      <c r="F28" s="677"/>
      <c r="G28" s="677"/>
      <c r="H28" s="677"/>
      <c r="I28" s="677"/>
    </row>
    <row r="29" spans="1:9">
      <c r="A29" s="670"/>
      <c r="B29" s="670"/>
      <c r="C29" s="437" t="s">
        <v>1447</v>
      </c>
      <c r="D29" s="549">
        <v>11</v>
      </c>
      <c r="E29" s="174">
        <v>16.62496433541477</v>
      </c>
      <c r="F29" s="174">
        <v>4.33</v>
      </c>
      <c r="G29" s="174">
        <v>1.8</v>
      </c>
      <c r="H29" s="174">
        <v>1425.32469233245</v>
      </c>
      <c r="I29" s="174" t="s">
        <v>1386</v>
      </c>
    </row>
    <row r="30" spans="1:9">
      <c r="A30" s="670"/>
      <c r="B30" s="670"/>
      <c r="C30" s="437" t="s">
        <v>1443</v>
      </c>
      <c r="D30" s="549">
        <v>2</v>
      </c>
      <c r="E30" s="174">
        <v>14.3</v>
      </c>
      <c r="F30" s="174">
        <v>6.75</v>
      </c>
      <c r="G30" s="174">
        <v>1.8</v>
      </c>
      <c r="H30" s="174">
        <v>347.49</v>
      </c>
      <c r="I30" s="174" t="s">
        <v>1386</v>
      </c>
    </row>
    <row r="31" spans="1:9">
      <c r="A31" s="670"/>
      <c r="B31" s="670"/>
      <c r="C31" s="437" t="s">
        <v>1450</v>
      </c>
      <c r="D31" s="549">
        <v>12</v>
      </c>
      <c r="E31" s="174">
        <v>12.5</v>
      </c>
      <c r="F31" s="174">
        <v>1</v>
      </c>
      <c r="G31" s="174">
        <v>1</v>
      </c>
      <c r="H31" s="174">
        <v>150</v>
      </c>
      <c r="I31" s="174" t="s">
        <v>1386</v>
      </c>
    </row>
    <row r="32" spans="1:9">
      <c r="A32" s="670"/>
      <c r="B32" s="670"/>
      <c r="C32" s="437" t="s">
        <v>1451</v>
      </c>
      <c r="D32" s="549">
        <v>12</v>
      </c>
      <c r="E32" s="174">
        <v>12.5</v>
      </c>
      <c r="F32" s="174">
        <v>1</v>
      </c>
      <c r="G32" s="174">
        <v>1</v>
      </c>
      <c r="H32" s="174">
        <v>150</v>
      </c>
      <c r="I32" s="174" t="s">
        <v>1386</v>
      </c>
    </row>
    <row r="33" spans="1:9">
      <c r="A33" s="670"/>
      <c r="B33" s="670"/>
      <c r="C33" s="437"/>
      <c r="D33" s="549"/>
      <c r="E33" s="172"/>
      <c r="F33" s="677"/>
      <c r="G33" s="677" t="s">
        <v>1444</v>
      </c>
      <c r="H33" s="678">
        <v>2072.8146923324502</v>
      </c>
      <c r="I33" s="677" t="s">
        <v>1386</v>
      </c>
    </row>
    <row r="34" spans="1:9">
      <c r="A34" s="670"/>
      <c r="B34" s="670"/>
      <c r="C34" s="437"/>
      <c r="D34" s="549"/>
      <c r="E34" s="174"/>
      <c r="F34" s="174"/>
      <c r="G34" s="174"/>
      <c r="H34" s="174"/>
      <c r="I34" s="174"/>
    </row>
    <row r="35" spans="1:9" ht="120">
      <c r="A35" s="670">
        <v>5</v>
      </c>
      <c r="B35" s="675" t="s">
        <v>1454</v>
      </c>
      <c r="C35" s="437" t="s">
        <v>1455</v>
      </c>
      <c r="D35" s="549"/>
      <c r="E35" s="174"/>
      <c r="F35" s="174"/>
      <c r="G35" s="174"/>
      <c r="H35" s="174"/>
      <c r="I35" s="174"/>
    </row>
    <row r="36" spans="1:9">
      <c r="A36" s="670"/>
      <c r="B36" s="670"/>
      <c r="C36" s="437" t="s">
        <v>116</v>
      </c>
      <c r="D36" s="549">
        <v>11</v>
      </c>
      <c r="E36" s="174">
        <v>16.62496433541477</v>
      </c>
      <c r="F36" s="174">
        <v>4.33</v>
      </c>
      <c r="G36" s="174">
        <v>1.8</v>
      </c>
      <c r="H36" s="174">
        <v>1425.32469233245</v>
      </c>
      <c r="I36" s="174" t="s">
        <v>1386</v>
      </c>
    </row>
    <row r="37" spans="1:9">
      <c r="A37" s="670"/>
      <c r="B37" s="670"/>
      <c r="C37" s="437" t="s">
        <v>1443</v>
      </c>
      <c r="D37" s="549">
        <v>2</v>
      </c>
      <c r="E37" s="174">
        <v>14</v>
      </c>
      <c r="F37" s="174">
        <v>6.75</v>
      </c>
      <c r="G37" s="174">
        <v>1.8</v>
      </c>
      <c r="H37" s="174">
        <v>340.2</v>
      </c>
      <c r="I37" s="174" t="s">
        <v>1386</v>
      </c>
    </row>
    <row r="38" spans="1:9">
      <c r="A38" s="670"/>
      <c r="B38" s="670"/>
      <c r="C38" s="437" t="s">
        <v>1456</v>
      </c>
      <c r="D38" s="549">
        <v>11</v>
      </c>
      <c r="E38" s="174">
        <v>41.909928670829544</v>
      </c>
      <c r="F38" s="174">
        <v>0.3</v>
      </c>
      <c r="G38" s="174">
        <v>1.8</v>
      </c>
      <c r="H38" s="174">
        <v>248.94497630472748</v>
      </c>
      <c r="I38" s="174" t="s">
        <v>1386</v>
      </c>
    </row>
    <row r="39" spans="1:9">
      <c r="A39" s="670"/>
      <c r="B39" s="670"/>
      <c r="C39" s="437"/>
      <c r="D39" s="549">
        <v>2</v>
      </c>
      <c r="E39" s="174">
        <v>42.1</v>
      </c>
      <c r="F39" s="174">
        <v>0.3</v>
      </c>
      <c r="G39" s="174">
        <v>1.3</v>
      </c>
      <c r="H39" s="174">
        <v>32.838000000000001</v>
      </c>
      <c r="I39" s="174" t="s">
        <v>1386</v>
      </c>
    </row>
    <row r="40" spans="1:9">
      <c r="A40" s="670"/>
      <c r="B40" s="670"/>
      <c r="C40" s="437"/>
      <c r="D40" s="549"/>
      <c r="E40" s="174"/>
      <c r="F40" s="174"/>
      <c r="G40" s="174"/>
      <c r="H40" s="677">
        <v>2047.3076686371776</v>
      </c>
      <c r="I40" s="677" t="s">
        <v>1386</v>
      </c>
    </row>
    <row r="41" spans="1:9">
      <c r="A41" s="670"/>
      <c r="B41" s="670"/>
      <c r="C41" s="437" t="s">
        <v>1457</v>
      </c>
      <c r="D41" s="549"/>
      <c r="E41" s="174"/>
      <c r="F41" s="174"/>
      <c r="G41" s="174"/>
      <c r="H41" s="677"/>
      <c r="I41" s="677"/>
    </row>
    <row r="42" spans="1:9">
      <c r="A42" s="670"/>
      <c r="B42" s="670"/>
      <c r="C42" s="437"/>
      <c r="D42" s="549"/>
      <c r="E42" s="174"/>
      <c r="F42" s="174"/>
      <c r="G42" s="174"/>
      <c r="H42" s="174"/>
      <c r="I42" s="174"/>
    </row>
    <row r="43" spans="1:9">
      <c r="A43" s="670"/>
      <c r="B43" s="670"/>
      <c r="C43" s="437" t="s">
        <v>1458</v>
      </c>
      <c r="D43" s="549">
        <v>11</v>
      </c>
      <c r="E43" s="174">
        <v>16.324964335414769</v>
      </c>
      <c r="F43" s="174">
        <v>4.0048000000000075</v>
      </c>
      <c r="G43" s="174">
        <v>1</v>
      </c>
      <c r="H43" s="174">
        <v>719.16038887516117</v>
      </c>
      <c r="I43" s="174" t="s">
        <v>1386</v>
      </c>
    </row>
    <row r="44" spans="1:9">
      <c r="A44" s="670"/>
      <c r="B44" s="670"/>
      <c r="C44" s="437" t="s">
        <v>1459</v>
      </c>
      <c r="D44" s="549">
        <v>2</v>
      </c>
      <c r="E44" s="174">
        <v>14</v>
      </c>
      <c r="F44" s="174">
        <v>5.0999999999999996</v>
      </c>
      <c r="G44" s="174">
        <v>1</v>
      </c>
      <c r="H44" s="174">
        <v>142.79999999999998</v>
      </c>
      <c r="I44" s="174" t="s">
        <v>1386</v>
      </c>
    </row>
    <row r="45" spans="1:9">
      <c r="A45" s="670"/>
      <c r="B45" s="670"/>
      <c r="C45" s="437"/>
      <c r="D45" s="549"/>
      <c r="E45" s="174"/>
      <c r="F45" s="174"/>
      <c r="G45" s="174"/>
      <c r="H45" s="677">
        <v>861.96038887516113</v>
      </c>
      <c r="I45" s="677" t="s">
        <v>1386</v>
      </c>
    </row>
    <row r="46" spans="1:9">
      <c r="A46" s="670"/>
      <c r="B46" s="670"/>
      <c r="C46" s="437"/>
      <c r="D46" s="549"/>
      <c r="E46" s="174"/>
      <c r="F46" s="174"/>
      <c r="G46" s="174"/>
      <c r="H46" s="677"/>
      <c r="I46" s="677"/>
    </row>
    <row r="47" spans="1:9">
      <c r="A47" s="670"/>
      <c r="B47" s="670"/>
      <c r="C47" s="437"/>
      <c r="D47" s="549"/>
      <c r="E47" s="174"/>
      <c r="F47" s="174"/>
      <c r="G47" s="679" t="s">
        <v>1460</v>
      </c>
      <c r="H47" s="677">
        <v>1185.3472797620166</v>
      </c>
      <c r="I47" s="677" t="s">
        <v>1386</v>
      </c>
    </row>
    <row r="48" spans="1:9">
      <c r="A48" s="670"/>
      <c r="B48" s="670"/>
      <c r="C48" s="437"/>
      <c r="D48" s="549"/>
      <c r="E48" s="174"/>
      <c r="F48" s="174"/>
      <c r="G48" s="174"/>
      <c r="H48" s="174"/>
      <c r="I48" s="174"/>
    </row>
    <row r="49" spans="1:9" ht="120">
      <c r="A49" s="670">
        <v>6</v>
      </c>
      <c r="B49" s="675" t="s">
        <v>1461</v>
      </c>
      <c r="C49" s="437" t="s">
        <v>1462</v>
      </c>
      <c r="D49" s="549"/>
      <c r="E49" s="174"/>
      <c r="F49" s="174"/>
      <c r="G49" s="174"/>
      <c r="H49" s="174"/>
      <c r="I49" s="174"/>
    </row>
    <row r="50" spans="1:9">
      <c r="A50" s="670"/>
      <c r="B50" s="670"/>
      <c r="C50" s="437" t="s">
        <v>116</v>
      </c>
      <c r="D50" s="549">
        <v>11</v>
      </c>
      <c r="E50" s="174">
        <v>16.62496433541477</v>
      </c>
      <c r="F50" s="174">
        <v>4.3048000000000073</v>
      </c>
      <c r="G50" s="174">
        <v>0.3</v>
      </c>
      <c r="H50" s="174">
        <v>236.17158335460897</v>
      </c>
      <c r="I50" s="174" t="s">
        <v>1386</v>
      </c>
    </row>
    <row r="51" spans="1:9">
      <c r="A51" s="670"/>
      <c r="B51" s="670"/>
      <c r="C51" s="437" t="s">
        <v>1463</v>
      </c>
      <c r="D51" s="549">
        <v>2</v>
      </c>
      <c r="E51" s="174">
        <v>14.3</v>
      </c>
      <c r="F51" s="174">
        <v>5.3999999999999995</v>
      </c>
      <c r="G51" s="174">
        <v>0.3</v>
      </c>
      <c r="H51" s="174">
        <v>46.332000000000001</v>
      </c>
      <c r="I51" s="174" t="s">
        <v>1386</v>
      </c>
    </row>
    <row r="52" spans="1:9">
      <c r="A52" s="670"/>
      <c r="B52" s="670"/>
      <c r="C52" s="437"/>
      <c r="D52" s="549"/>
      <c r="E52" s="174"/>
      <c r="F52" s="174"/>
      <c r="G52" s="174"/>
      <c r="H52" s="174"/>
      <c r="I52" s="174"/>
    </row>
    <row r="53" spans="1:9">
      <c r="A53" s="670"/>
      <c r="B53" s="670"/>
      <c r="C53" s="437"/>
      <c r="D53" s="549"/>
      <c r="E53" s="174"/>
      <c r="F53" s="174"/>
      <c r="G53" s="677" t="s">
        <v>1444</v>
      </c>
      <c r="H53" s="678">
        <v>282.50358335460896</v>
      </c>
      <c r="I53" s="677" t="s">
        <v>1386</v>
      </c>
    </row>
    <row r="54" spans="1:9">
      <c r="A54" s="670"/>
      <c r="B54" s="670"/>
      <c r="C54" s="437"/>
      <c r="D54" s="549"/>
      <c r="E54" s="174"/>
      <c r="F54" s="174"/>
      <c r="G54" s="174"/>
      <c r="H54" s="174"/>
      <c r="I54" s="174"/>
    </row>
    <row r="55" spans="1:9" ht="120">
      <c r="A55" s="670">
        <v>7</v>
      </c>
      <c r="B55" s="675" t="s">
        <v>1464</v>
      </c>
      <c r="C55" s="437" t="s">
        <v>1465</v>
      </c>
      <c r="D55" s="549"/>
      <c r="E55" s="174"/>
      <c r="F55" s="174"/>
      <c r="G55" s="174"/>
      <c r="H55" s="174"/>
      <c r="I55" s="174"/>
    </row>
    <row r="56" spans="1:9">
      <c r="A56" s="670"/>
      <c r="B56" s="670"/>
      <c r="C56" s="437" t="s">
        <v>116</v>
      </c>
      <c r="D56" s="549">
        <v>11</v>
      </c>
      <c r="E56" s="680">
        <v>16.324964335414769</v>
      </c>
      <c r="F56" s="680">
        <v>4.0048000000000075</v>
      </c>
      <c r="G56" s="680">
        <v>1</v>
      </c>
      <c r="H56" s="174">
        <v>719.16038887516117</v>
      </c>
      <c r="I56" s="174" t="s">
        <v>1386</v>
      </c>
    </row>
    <row r="57" spans="1:9">
      <c r="A57" s="670"/>
      <c r="B57" s="670"/>
      <c r="C57" s="437" t="s">
        <v>1466</v>
      </c>
      <c r="D57" s="549">
        <v>2</v>
      </c>
      <c r="E57" s="680">
        <v>14</v>
      </c>
      <c r="F57" s="680">
        <v>5.0999999999999996</v>
      </c>
      <c r="G57" s="680">
        <v>1</v>
      </c>
      <c r="H57" s="174">
        <v>142.79999999999998</v>
      </c>
      <c r="I57" s="174" t="s">
        <v>1386</v>
      </c>
    </row>
    <row r="58" spans="1:9">
      <c r="A58" s="670"/>
      <c r="B58" s="670"/>
      <c r="C58" s="437" t="s">
        <v>1467</v>
      </c>
      <c r="D58" s="549">
        <v>11</v>
      </c>
      <c r="E58" s="174">
        <v>12.5</v>
      </c>
      <c r="F58" s="174">
        <v>3</v>
      </c>
      <c r="G58" s="174">
        <v>0.3</v>
      </c>
      <c r="H58" s="174">
        <v>123.75</v>
      </c>
      <c r="I58" s="174" t="s">
        <v>1386</v>
      </c>
    </row>
    <row r="59" spans="1:9">
      <c r="A59" s="670"/>
      <c r="B59" s="670"/>
      <c r="C59" s="437" t="s">
        <v>1468</v>
      </c>
      <c r="D59" s="549">
        <v>11</v>
      </c>
      <c r="E59" s="174">
        <v>12.5</v>
      </c>
      <c r="F59" s="174">
        <v>5</v>
      </c>
      <c r="G59" s="174">
        <v>0.3</v>
      </c>
      <c r="H59" s="174">
        <v>206.25</v>
      </c>
      <c r="I59" s="174" t="s">
        <v>1386</v>
      </c>
    </row>
    <row r="60" spans="1:9">
      <c r="A60" s="670"/>
      <c r="B60" s="670"/>
      <c r="C60" s="437"/>
      <c r="D60" s="549"/>
      <c r="E60" s="174"/>
      <c r="F60" s="174"/>
      <c r="G60" s="677" t="s">
        <v>1444</v>
      </c>
      <c r="H60" s="678">
        <v>1191.9603888751612</v>
      </c>
      <c r="I60" s="677" t="s">
        <v>1386</v>
      </c>
    </row>
    <row r="61" spans="1:9">
      <c r="A61" s="670"/>
      <c r="B61" s="670"/>
      <c r="C61" s="437"/>
      <c r="D61" s="549"/>
      <c r="E61" s="174"/>
      <c r="F61" s="174"/>
      <c r="G61" s="174"/>
      <c r="H61" s="174"/>
      <c r="I61" s="174"/>
    </row>
    <row r="62" spans="1:9" ht="75">
      <c r="A62" s="670">
        <v>8</v>
      </c>
      <c r="B62" s="670" t="s">
        <v>1469</v>
      </c>
      <c r="C62" s="437" t="s">
        <v>1470</v>
      </c>
      <c r="D62" s="549"/>
      <c r="E62" s="174"/>
      <c r="F62" s="174"/>
      <c r="G62" s="174"/>
      <c r="H62" s="174"/>
      <c r="I62" s="174"/>
    </row>
    <row r="63" spans="1:9">
      <c r="A63" s="670"/>
      <c r="B63" s="670"/>
      <c r="C63" s="437" t="s">
        <v>1471</v>
      </c>
      <c r="D63" s="681">
        <v>1.4999999999999999E-2</v>
      </c>
      <c r="E63" s="174">
        <v>1191.9603888751612</v>
      </c>
      <c r="F63" s="174">
        <v>7850</v>
      </c>
      <c r="G63" s="174"/>
      <c r="H63" s="677">
        <v>140.35333579005024</v>
      </c>
      <c r="I63" s="677" t="s">
        <v>595</v>
      </c>
    </row>
    <row r="64" spans="1:9">
      <c r="A64" s="670"/>
      <c r="B64" s="670"/>
      <c r="C64" s="437"/>
      <c r="D64" s="549"/>
      <c r="E64" s="174"/>
      <c r="F64" s="174"/>
      <c r="G64" s="174"/>
      <c r="H64" s="174"/>
      <c r="I64" s="174"/>
    </row>
    <row r="65" spans="1:9">
      <c r="A65" s="670"/>
      <c r="B65" s="670"/>
      <c r="C65" s="437"/>
      <c r="D65" s="549"/>
      <c r="E65" s="174"/>
      <c r="F65" s="174"/>
      <c r="G65" s="174"/>
      <c r="H65" s="174"/>
      <c r="I65" s="174"/>
    </row>
    <row r="66" spans="1:9">
      <c r="A66" s="670"/>
      <c r="B66" s="670"/>
      <c r="C66" s="555" t="s">
        <v>1472</v>
      </c>
      <c r="D66" s="549"/>
      <c r="E66" s="174"/>
      <c r="F66" s="174"/>
      <c r="G66" s="174"/>
      <c r="H66" s="174"/>
      <c r="I66" s="174"/>
    </row>
    <row r="67" spans="1:9">
      <c r="A67" s="670"/>
      <c r="B67" s="670"/>
      <c r="C67" s="437"/>
      <c r="D67" s="549"/>
      <c r="E67" s="174"/>
      <c r="F67" s="174"/>
      <c r="G67" s="174"/>
      <c r="H67" s="174"/>
      <c r="I67" s="174"/>
    </row>
    <row r="68" spans="1:9" ht="120">
      <c r="A68" s="670">
        <v>9</v>
      </c>
      <c r="B68" s="675" t="s">
        <v>1473</v>
      </c>
      <c r="C68" s="437" t="s">
        <v>1399</v>
      </c>
      <c r="D68" s="549"/>
      <c r="E68" s="174"/>
      <c r="F68" s="174"/>
      <c r="G68" s="174"/>
      <c r="H68" s="174"/>
      <c r="I68" s="174"/>
    </row>
    <row r="69" spans="1:9">
      <c r="A69" s="670"/>
      <c r="B69" s="670"/>
      <c r="C69" s="437" t="s">
        <v>1474</v>
      </c>
      <c r="D69" s="549">
        <v>11</v>
      </c>
      <c r="E69" s="680">
        <v>12</v>
      </c>
      <c r="F69" s="174">
        <v>1.2</v>
      </c>
      <c r="G69" s="174">
        <v>5.5740000000000123</v>
      </c>
      <c r="H69" s="174">
        <v>882.92160000000194</v>
      </c>
      <c r="I69" s="174" t="s">
        <v>1386</v>
      </c>
    </row>
    <row r="70" spans="1:9">
      <c r="A70" s="670"/>
      <c r="B70" s="670"/>
      <c r="C70" s="437" t="s">
        <v>1475</v>
      </c>
      <c r="D70" s="549">
        <v>11</v>
      </c>
      <c r="E70" s="682">
        <v>0.78500000000000003</v>
      </c>
      <c r="F70" s="683">
        <v>1.44</v>
      </c>
      <c r="G70" s="174">
        <v>5.5740000000000123</v>
      </c>
      <c r="H70" s="174">
        <v>69.309345600000157</v>
      </c>
      <c r="I70" s="174" t="s">
        <v>1386</v>
      </c>
    </row>
    <row r="71" spans="1:9">
      <c r="A71" s="670"/>
      <c r="B71" s="670"/>
      <c r="C71" s="437" t="s">
        <v>1476</v>
      </c>
      <c r="D71" s="549">
        <v>11</v>
      </c>
      <c r="E71" s="174">
        <v>12</v>
      </c>
      <c r="F71" s="684">
        <v>1.5</v>
      </c>
      <c r="G71" s="174">
        <v>0.3</v>
      </c>
      <c r="H71" s="174">
        <v>59.4</v>
      </c>
      <c r="I71" s="174" t="s">
        <v>1386</v>
      </c>
    </row>
    <row r="72" spans="1:9">
      <c r="A72" s="670"/>
      <c r="B72" s="670"/>
      <c r="C72" s="437" t="s">
        <v>1477</v>
      </c>
      <c r="D72" s="549">
        <v>2</v>
      </c>
      <c r="E72" s="174">
        <v>12</v>
      </c>
      <c r="F72" s="174">
        <v>1.1000000000000001</v>
      </c>
      <c r="G72" s="174">
        <v>4.4040000000000195</v>
      </c>
      <c r="H72" s="174">
        <v>116.26560000000052</v>
      </c>
      <c r="I72" s="174" t="s">
        <v>1386</v>
      </c>
    </row>
    <row r="73" spans="1:9">
      <c r="A73" s="670"/>
      <c r="B73" s="670"/>
      <c r="C73" s="437" t="s">
        <v>1478</v>
      </c>
      <c r="D73" s="549">
        <v>2</v>
      </c>
      <c r="E73" s="174">
        <v>12</v>
      </c>
      <c r="F73" s="174">
        <v>1</v>
      </c>
      <c r="G73" s="174">
        <v>0.3</v>
      </c>
      <c r="H73" s="174">
        <v>7.1999999999999993</v>
      </c>
      <c r="I73" s="174" t="s">
        <v>1386</v>
      </c>
    </row>
    <row r="74" spans="1:9">
      <c r="A74" s="670"/>
      <c r="B74" s="670"/>
      <c r="C74" s="437" t="s">
        <v>1479</v>
      </c>
      <c r="D74" s="549">
        <v>2</v>
      </c>
      <c r="E74" s="174">
        <v>12</v>
      </c>
      <c r="F74" s="174">
        <v>0.3</v>
      </c>
      <c r="G74" s="174">
        <v>0.8</v>
      </c>
      <c r="H74" s="174">
        <v>5.76</v>
      </c>
      <c r="I74" s="174" t="s">
        <v>1386</v>
      </c>
    </row>
    <row r="75" spans="1:9">
      <c r="A75" s="670"/>
      <c r="B75" s="670"/>
      <c r="C75" s="437" t="s">
        <v>1480</v>
      </c>
      <c r="D75" s="549">
        <v>4</v>
      </c>
      <c r="E75" s="174">
        <v>7</v>
      </c>
      <c r="F75" s="684">
        <v>0.5</v>
      </c>
      <c r="G75" s="174">
        <v>1</v>
      </c>
      <c r="H75" s="174">
        <v>14</v>
      </c>
      <c r="I75" s="174" t="s">
        <v>1386</v>
      </c>
    </row>
    <row r="76" spans="1:9">
      <c r="A76" s="670"/>
      <c r="B76" s="670"/>
      <c r="C76" s="437" t="s">
        <v>1480</v>
      </c>
      <c r="D76" s="549">
        <v>4</v>
      </c>
      <c r="E76" s="174">
        <v>7</v>
      </c>
      <c r="F76" s="684">
        <v>1</v>
      </c>
      <c r="G76" s="174">
        <v>1.5</v>
      </c>
      <c r="H76" s="174">
        <v>42</v>
      </c>
      <c r="I76" s="174" t="s">
        <v>1386</v>
      </c>
    </row>
    <row r="77" spans="1:9">
      <c r="A77" s="670"/>
      <c r="B77" s="670"/>
      <c r="C77" s="437" t="s">
        <v>1480</v>
      </c>
      <c r="D77" s="549">
        <v>4</v>
      </c>
      <c r="E77" s="174">
        <v>7</v>
      </c>
      <c r="F77" s="684">
        <v>1.5</v>
      </c>
      <c r="G77" s="174">
        <v>1.5</v>
      </c>
      <c r="H77" s="174">
        <v>63</v>
      </c>
      <c r="I77" s="174" t="s">
        <v>1386</v>
      </c>
    </row>
    <row r="78" spans="1:9">
      <c r="A78" s="670"/>
      <c r="B78" s="670"/>
      <c r="C78" s="437" t="s">
        <v>1480</v>
      </c>
      <c r="D78" s="549">
        <v>4</v>
      </c>
      <c r="E78" s="174">
        <v>7</v>
      </c>
      <c r="F78" s="684">
        <v>2</v>
      </c>
      <c r="G78" s="174">
        <v>1.5</v>
      </c>
      <c r="H78" s="174">
        <v>84</v>
      </c>
      <c r="I78" s="174" t="s">
        <v>1386</v>
      </c>
    </row>
    <row r="79" spans="1:9">
      <c r="A79" s="670"/>
      <c r="B79" s="670"/>
      <c r="C79" s="437" t="s">
        <v>1480</v>
      </c>
      <c r="D79" s="549">
        <v>4</v>
      </c>
      <c r="E79" s="174">
        <v>7</v>
      </c>
      <c r="F79" s="684">
        <v>2.5</v>
      </c>
      <c r="G79" s="174">
        <v>1.5</v>
      </c>
      <c r="H79" s="174">
        <v>105</v>
      </c>
      <c r="I79" s="174" t="s">
        <v>1386</v>
      </c>
    </row>
    <row r="80" spans="1:9">
      <c r="A80" s="670"/>
      <c r="B80" s="670"/>
      <c r="C80" s="437"/>
      <c r="D80" s="549"/>
      <c r="E80" s="174"/>
      <c r="F80" s="174"/>
      <c r="G80" s="677" t="s">
        <v>1444</v>
      </c>
      <c r="H80" s="678">
        <v>1448.8565456000026</v>
      </c>
      <c r="I80" s="677" t="s">
        <v>1386</v>
      </c>
    </row>
    <row r="81" spans="1:9">
      <c r="A81" s="670"/>
      <c r="B81" s="670"/>
      <c r="C81" s="437"/>
      <c r="D81" s="549"/>
      <c r="E81" s="174"/>
      <c r="F81" s="174"/>
      <c r="G81" s="174"/>
      <c r="H81" s="174"/>
      <c r="I81" s="174"/>
    </row>
    <row r="82" spans="1:9" ht="45">
      <c r="A82" s="670">
        <v>10</v>
      </c>
      <c r="B82" s="670" t="s">
        <v>1481</v>
      </c>
      <c r="C82" s="437" t="s">
        <v>1482</v>
      </c>
      <c r="D82" s="549"/>
      <c r="E82" s="174"/>
      <c r="F82" s="174"/>
      <c r="G82" s="174"/>
      <c r="H82" s="174"/>
      <c r="I82" s="174"/>
    </row>
    <row r="83" spans="1:9">
      <c r="A83" s="670"/>
      <c r="B83" s="670"/>
      <c r="C83" s="437" t="s">
        <v>1483</v>
      </c>
      <c r="D83" s="681">
        <v>1.4500000000000001E-2</v>
      </c>
      <c r="E83" s="174">
        <v>1448.8565456000026</v>
      </c>
      <c r="F83" s="174">
        <v>7850</v>
      </c>
      <c r="G83" s="174"/>
      <c r="H83" s="677">
        <v>164.91609630292032</v>
      </c>
      <c r="I83" s="677" t="s">
        <v>595</v>
      </c>
    </row>
    <row r="84" spans="1:9">
      <c r="A84" s="670"/>
      <c r="B84" s="670"/>
      <c r="C84" s="437"/>
      <c r="D84" s="549"/>
      <c r="E84" s="174"/>
      <c r="F84" s="174"/>
      <c r="G84" s="174"/>
      <c r="H84" s="174"/>
      <c r="I84" s="174"/>
    </row>
    <row r="85" spans="1:9" ht="90">
      <c r="A85" s="670">
        <v>11</v>
      </c>
      <c r="B85" s="670" t="s">
        <v>1484</v>
      </c>
      <c r="C85" s="437" t="s">
        <v>1485</v>
      </c>
      <c r="D85" s="549"/>
      <c r="E85" s="174"/>
      <c r="F85" s="174"/>
      <c r="G85" s="174"/>
      <c r="H85" s="174"/>
      <c r="I85" s="174"/>
    </row>
    <row r="86" spans="1:9">
      <c r="A86" s="670"/>
      <c r="B86" s="670"/>
      <c r="C86" s="437" t="s">
        <v>1486</v>
      </c>
      <c r="D86" s="549">
        <v>2</v>
      </c>
      <c r="E86" s="174">
        <v>48</v>
      </c>
      <c r="F86" s="174">
        <v>0.95</v>
      </c>
      <c r="G86" s="174"/>
      <c r="H86" s="174">
        <v>91.199999999999989</v>
      </c>
      <c r="I86" s="174" t="s">
        <v>1487</v>
      </c>
    </row>
    <row r="87" spans="1:9">
      <c r="A87" s="670"/>
      <c r="B87" s="670"/>
      <c r="C87" s="437" t="s">
        <v>1480</v>
      </c>
      <c r="D87" s="549">
        <v>4</v>
      </c>
      <c r="E87" s="174">
        <v>42</v>
      </c>
      <c r="F87" s="174">
        <v>0.65</v>
      </c>
      <c r="G87" s="174"/>
      <c r="H87" s="174">
        <v>109.2</v>
      </c>
      <c r="I87" s="174" t="s">
        <v>1487</v>
      </c>
    </row>
    <row r="88" spans="1:9">
      <c r="A88" s="670"/>
      <c r="B88" s="670"/>
      <c r="C88" s="437"/>
      <c r="D88" s="549"/>
      <c r="E88" s="174"/>
      <c r="F88" s="174"/>
      <c r="G88" s="677" t="s">
        <v>1444</v>
      </c>
      <c r="H88" s="678">
        <v>200.39999999999998</v>
      </c>
      <c r="I88" s="677" t="s">
        <v>1487</v>
      </c>
    </row>
    <row r="89" spans="1:9">
      <c r="A89" s="670"/>
      <c r="B89" s="670"/>
      <c r="C89" s="437"/>
      <c r="D89" s="549"/>
      <c r="E89" s="174"/>
      <c r="F89" s="174"/>
      <c r="G89" s="174"/>
      <c r="H89" s="174"/>
      <c r="I89" s="174"/>
    </row>
    <row r="90" spans="1:9" ht="90">
      <c r="A90" s="670">
        <v>12</v>
      </c>
      <c r="B90" s="675" t="s">
        <v>1488</v>
      </c>
      <c r="C90" s="437" t="s">
        <v>1404</v>
      </c>
      <c r="D90" s="549"/>
      <c r="E90" s="174"/>
      <c r="F90" s="174"/>
      <c r="G90" s="174"/>
      <c r="H90" s="174"/>
      <c r="I90" s="174"/>
    </row>
    <row r="91" spans="1:9">
      <c r="A91" s="670"/>
      <c r="B91" s="675"/>
      <c r="C91" s="437" t="s">
        <v>1486</v>
      </c>
      <c r="D91" s="549">
        <v>2</v>
      </c>
      <c r="E91" s="174">
        <v>7</v>
      </c>
      <c r="F91" s="174">
        <v>12</v>
      </c>
      <c r="G91" s="174">
        <v>2.9</v>
      </c>
      <c r="H91" s="174">
        <v>487.2</v>
      </c>
      <c r="I91" s="677" t="s">
        <v>1386</v>
      </c>
    </row>
    <row r="92" spans="1:9">
      <c r="A92" s="670"/>
      <c r="B92" s="675"/>
      <c r="C92" s="437"/>
      <c r="D92" s="549"/>
      <c r="E92" s="174"/>
      <c r="F92" s="174"/>
      <c r="G92" s="174"/>
      <c r="H92" s="174"/>
      <c r="I92" s="174"/>
    </row>
    <row r="93" spans="1:9" ht="60">
      <c r="A93" s="670">
        <v>13</v>
      </c>
      <c r="B93" s="670" t="s">
        <v>1489</v>
      </c>
      <c r="C93" s="437" t="s">
        <v>1490</v>
      </c>
      <c r="D93" s="549"/>
      <c r="E93" s="174"/>
      <c r="F93" s="174"/>
      <c r="G93" s="174"/>
      <c r="H93" s="174"/>
      <c r="I93" s="174"/>
    </row>
    <row r="94" spans="1:9">
      <c r="A94" s="670"/>
      <c r="B94" s="670"/>
      <c r="C94" s="437" t="s">
        <v>1491</v>
      </c>
      <c r="D94" s="549">
        <v>2</v>
      </c>
      <c r="E94" s="174">
        <v>12</v>
      </c>
      <c r="F94" s="174">
        <v>0.6</v>
      </c>
      <c r="G94" s="174">
        <v>2.9</v>
      </c>
      <c r="H94" s="174">
        <v>41.76</v>
      </c>
      <c r="I94" s="174" t="s">
        <v>1386</v>
      </c>
    </row>
    <row r="95" spans="1:9">
      <c r="A95" s="670"/>
      <c r="B95" s="670"/>
      <c r="C95" s="437" t="s">
        <v>1492</v>
      </c>
      <c r="D95" s="549">
        <v>4</v>
      </c>
      <c r="E95" s="174">
        <v>6</v>
      </c>
      <c r="F95" s="174">
        <v>0.6</v>
      </c>
      <c r="G95" s="174">
        <v>2.9</v>
      </c>
      <c r="H95" s="174">
        <v>41.76</v>
      </c>
      <c r="I95" s="174" t="s">
        <v>1386</v>
      </c>
    </row>
    <row r="96" spans="1:9">
      <c r="A96" s="670"/>
      <c r="B96" s="670"/>
      <c r="C96" s="437"/>
      <c r="D96" s="549"/>
      <c r="E96" s="174"/>
      <c r="F96" s="174"/>
      <c r="G96" s="677" t="s">
        <v>1444</v>
      </c>
      <c r="H96" s="678">
        <v>83.52</v>
      </c>
      <c r="I96" s="677" t="s">
        <v>1386</v>
      </c>
    </row>
    <row r="97" spans="1:9">
      <c r="A97" s="670"/>
      <c r="B97" s="670"/>
      <c r="C97" s="437"/>
      <c r="D97" s="549"/>
      <c r="E97" s="174"/>
      <c r="F97" s="174"/>
      <c r="G97" s="174"/>
      <c r="H97" s="174"/>
      <c r="I97" s="174"/>
    </row>
    <row r="98" spans="1:9">
      <c r="C98" s="555" t="s">
        <v>1493</v>
      </c>
      <c r="E98" s="677"/>
      <c r="F98" s="677"/>
      <c r="G98" s="677"/>
      <c r="H98" s="677"/>
      <c r="I98" s="677"/>
    </row>
    <row r="99" spans="1:9" ht="135">
      <c r="A99" s="670">
        <v>14</v>
      </c>
      <c r="B99" s="675" t="s">
        <v>1494</v>
      </c>
      <c r="C99" s="437" t="s">
        <v>1495</v>
      </c>
      <c r="D99" s="549"/>
      <c r="E99" s="174"/>
      <c r="F99" s="174"/>
      <c r="G99" s="174"/>
      <c r="H99" s="174"/>
      <c r="I99" s="174"/>
    </row>
    <row r="100" spans="1:9">
      <c r="A100" s="670"/>
      <c r="B100" s="675"/>
      <c r="C100" s="437" t="s">
        <v>1496</v>
      </c>
      <c r="D100" s="549">
        <v>12</v>
      </c>
      <c r="E100" s="680">
        <v>12.930664820130508</v>
      </c>
      <c r="F100" s="174">
        <v>12</v>
      </c>
      <c r="G100" s="174">
        <v>0.85000000000000009</v>
      </c>
      <c r="H100" s="174">
        <v>1582.7133739839742</v>
      </c>
      <c r="I100" s="174" t="s">
        <v>1386</v>
      </c>
    </row>
    <row r="101" spans="1:9">
      <c r="A101" s="670"/>
      <c r="B101" s="675"/>
      <c r="C101" s="437" t="s">
        <v>1497</v>
      </c>
      <c r="D101" s="549">
        <v>12</v>
      </c>
      <c r="E101" s="174">
        <v>12</v>
      </c>
      <c r="F101" s="685" t="s">
        <v>1498</v>
      </c>
      <c r="G101" s="174"/>
      <c r="H101" s="174">
        <v>81</v>
      </c>
      <c r="I101" s="174" t="s">
        <v>1386</v>
      </c>
    </row>
    <row r="102" spans="1:9" s="556" customFormat="1" ht="30">
      <c r="A102" s="670"/>
      <c r="B102" s="675"/>
      <c r="C102" s="437" t="s">
        <v>1499</v>
      </c>
      <c r="D102" s="549">
        <v>216</v>
      </c>
      <c r="E102" s="686">
        <v>0.3</v>
      </c>
      <c r="F102" s="687">
        <v>0.2</v>
      </c>
      <c r="G102" s="686">
        <v>0.3</v>
      </c>
      <c r="H102" s="686">
        <v>36.449999999999996</v>
      </c>
      <c r="I102" s="686" t="s">
        <v>1386</v>
      </c>
    </row>
    <row r="103" spans="1:9">
      <c r="A103" s="670"/>
      <c r="B103" s="675"/>
      <c r="C103" s="437"/>
      <c r="D103" s="549"/>
      <c r="E103" s="174"/>
      <c r="F103" s="174"/>
      <c r="G103" s="174"/>
      <c r="H103" s="678">
        <v>1700.1633739839742</v>
      </c>
      <c r="I103" s="677" t="s">
        <v>1386</v>
      </c>
    </row>
    <row r="104" spans="1:9">
      <c r="A104" s="670"/>
      <c r="B104" s="670"/>
      <c r="C104" s="437"/>
      <c r="D104" s="549"/>
      <c r="E104" s="174"/>
      <c r="F104" s="174"/>
      <c r="G104" s="174"/>
      <c r="H104" s="174"/>
      <c r="I104" s="174"/>
    </row>
    <row r="105" spans="1:9" ht="60">
      <c r="A105" s="670">
        <v>15</v>
      </c>
      <c r="B105" s="670" t="s">
        <v>1500</v>
      </c>
      <c r="C105" s="437" t="s">
        <v>1501</v>
      </c>
      <c r="D105" s="549"/>
      <c r="E105" s="174"/>
      <c r="F105" s="174"/>
      <c r="G105" s="174"/>
      <c r="H105" s="174"/>
      <c r="I105" s="174"/>
    </row>
    <row r="106" spans="1:9">
      <c r="A106" s="670"/>
      <c r="B106" s="670"/>
      <c r="C106" s="437" t="s">
        <v>1471</v>
      </c>
      <c r="D106" s="681">
        <v>1.4999999999999999E-2</v>
      </c>
      <c r="E106" s="174">
        <v>1700.1633739839742</v>
      </c>
      <c r="F106" s="174">
        <v>7850</v>
      </c>
      <c r="G106" s="174"/>
      <c r="H106" s="677">
        <v>200.19423728661297</v>
      </c>
      <c r="I106" s="677" t="s">
        <v>595</v>
      </c>
    </row>
    <row r="107" spans="1:9">
      <c r="A107" s="670"/>
      <c r="B107" s="670"/>
      <c r="C107" s="688" t="s">
        <v>1502</v>
      </c>
      <c r="D107" s="688">
        <v>408</v>
      </c>
      <c r="E107" s="688">
        <v>2.25</v>
      </c>
      <c r="F107" s="688">
        <v>3.85</v>
      </c>
      <c r="G107" s="689"/>
      <c r="H107" s="690">
        <v>3.53</v>
      </c>
      <c r="I107" s="690" t="s">
        <v>595</v>
      </c>
    </row>
    <row r="108" spans="1:9">
      <c r="A108" s="670"/>
      <c r="B108" s="670"/>
      <c r="C108" s="437"/>
      <c r="D108" s="681"/>
      <c r="E108" s="174"/>
      <c r="F108" s="174"/>
      <c r="G108" s="174"/>
      <c r="H108" s="678">
        <v>203.72423728661298</v>
      </c>
      <c r="I108" s="690" t="s">
        <v>595</v>
      </c>
    </row>
    <row r="109" spans="1:9">
      <c r="A109" s="670"/>
      <c r="B109" s="670"/>
      <c r="C109" s="437"/>
      <c r="D109" s="549"/>
      <c r="E109" s="174"/>
      <c r="F109" s="174"/>
      <c r="G109" s="174"/>
      <c r="H109" s="174"/>
      <c r="I109" s="174"/>
    </row>
    <row r="110" spans="1:9" ht="75">
      <c r="A110" s="670">
        <v>16</v>
      </c>
      <c r="B110" s="670" t="s">
        <v>1503</v>
      </c>
      <c r="C110" s="437" t="s">
        <v>1504</v>
      </c>
      <c r="D110" s="549"/>
      <c r="E110" s="174"/>
      <c r="F110" s="174"/>
      <c r="G110" s="174"/>
      <c r="H110" s="174"/>
      <c r="I110" s="174"/>
    </row>
    <row r="111" spans="1:9">
      <c r="A111" s="670"/>
      <c r="B111" s="670"/>
      <c r="C111" s="437" t="s">
        <v>1505</v>
      </c>
      <c r="D111" s="549">
        <v>12</v>
      </c>
      <c r="E111" s="174">
        <v>12.930664820130508</v>
      </c>
      <c r="F111" s="174">
        <v>12</v>
      </c>
      <c r="G111" s="243">
        <v>7.4999999999999997E-2</v>
      </c>
      <c r="H111" s="174">
        <v>139.65118005740948</v>
      </c>
      <c r="I111" s="677" t="s">
        <v>1386</v>
      </c>
    </row>
    <row r="112" spans="1:9">
      <c r="A112" s="670"/>
      <c r="B112" s="670"/>
      <c r="C112" s="437"/>
      <c r="D112" s="549"/>
      <c r="E112" s="174"/>
      <c r="F112" s="174"/>
      <c r="G112" s="174"/>
      <c r="H112" s="174"/>
      <c r="I112" s="174"/>
    </row>
    <row r="113" spans="1:9" ht="60">
      <c r="A113" s="670">
        <v>17</v>
      </c>
      <c r="B113" s="675" t="s">
        <v>1506</v>
      </c>
      <c r="C113" s="437" t="s">
        <v>1507</v>
      </c>
      <c r="D113" s="549"/>
      <c r="E113" s="174"/>
      <c r="F113" s="174"/>
      <c r="G113" s="174"/>
      <c r="H113" s="174"/>
      <c r="I113" s="174"/>
    </row>
    <row r="114" spans="1:9">
      <c r="A114" s="670"/>
      <c r="B114" s="675"/>
      <c r="C114" s="437"/>
      <c r="D114" s="549">
        <v>2</v>
      </c>
      <c r="E114" s="174">
        <v>7.2</v>
      </c>
      <c r="F114" s="174">
        <v>3.5</v>
      </c>
      <c r="G114" s="174">
        <v>0.15</v>
      </c>
      <c r="H114" s="174">
        <v>7.56</v>
      </c>
      <c r="I114" s="677" t="s">
        <v>1386</v>
      </c>
    </row>
    <row r="115" spans="1:9">
      <c r="A115" s="670"/>
      <c r="B115" s="670"/>
      <c r="C115" s="437"/>
      <c r="D115" s="549"/>
      <c r="E115" s="174"/>
      <c r="F115" s="174"/>
      <c r="G115" s="174"/>
      <c r="H115" s="174"/>
      <c r="I115" s="174"/>
    </row>
    <row r="116" spans="1:9" ht="75">
      <c r="A116" s="670">
        <v>18</v>
      </c>
      <c r="B116" s="670" t="s">
        <v>1508</v>
      </c>
      <c r="C116" s="437" t="s">
        <v>1509</v>
      </c>
      <c r="D116" s="549"/>
      <c r="E116" s="174"/>
      <c r="F116" s="174"/>
      <c r="G116" s="174"/>
      <c r="H116" s="174"/>
      <c r="I116" s="174"/>
    </row>
    <row r="117" spans="1:9">
      <c r="A117" s="670"/>
      <c r="B117" s="670"/>
      <c r="C117" s="437" t="s">
        <v>1510</v>
      </c>
      <c r="D117" s="549">
        <v>2</v>
      </c>
      <c r="E117" s="174">
        <v>12.93</v>
      </c>
      <c r="F117" s="174">
        <v>3.5</v>
      </c>
      <c r="G117" s="174">
        <v>0.3</v>
      </c>
      <c r="H117" s="174">
        <v>27.152999999999995</v>
      </c>
      <c r="I117" s="677" t="s">
        <v>1386</v>
      </c>
    </row>
    <row r="118" spans="1:9">
      <c r="A118" s="670"/>
      <c r="B118" s="670"/>
      <c r="C118" s="437"/>
      <c r="D118" s="549"/>
      <c r="E118" s="174"/>
      <c r="F118" s="174"/>
      <c r="G118" s="174"/>
      <c r="H118" s="174"/>
      <c r="I118" s="174"/>
    </row>
    <row r="119" spans="1:9" ht="75">
      <c r="A119" s="670">
        <v>19</v>
      </c>
      <c r="B119" s="675" t="s">
        <v>1511</v>
      </c>
      <c r="C119" s="437" t="s">
        <v>1512</v>
      </c>
      <c r="E119" s="245"/>
      <c r="F119" s="245"/>
      <c r="G119" s="245"/>
      <c r="H119" s="245"/>
      <c r="I119" s="245"/>
    </row>
    <row r="120" spans="1:9">
      <c r="A120" s="670"/>
      <c r="B120" s="675"/>
      <c r="C120" s="437" t="s">
        <v>1513</v>
      </c>
      <c r="D120" s="549">
        <v>12</v>
      </c>
      <c r="E120" s="174">
        <v>12.930664820130508</v>
      </c>
      <c r="F120" s="174">
        <v>0.85000000000000009</v>
      </c>
      <c r="G120" s="174"/>
      <c r="H120" s="174">
        <v>131.89278116533117</v>
      </c>
      <c r="I120" s="174" t="s">
        <v>72</v>
      </c>
    </row>
    <row r="121" spans="1:9">
      <c r="A121" s="670"/>
      <c r="B121" s="675"/>
      <c r="C121" s="437" t="s">
        <v>1514</v>
      </c>
      <c r="D121" s="549">
        <v>4</v>
      </c>
      <c r="E121" s="174" t="s">
        <v>1515</v>
      </c>
      <c r="F121" s="174"/>
      <c r="G121" s="174"/>
      <c r="H121" s="174">
        <v>25.6</v>
      </c>
      <c r="I121" s="174" t="s">
        <v>72</v>
      </c>
    </row>
    <row r="122" spans="1:9">
      <c r="A122" s="670"/>
      <c r="B122" s="675"/>
      <c r="C122" s="437"/>
      <c r="H122" s="678">
        <v>157.49278116533117</v>
      </c>
      <c r="I122" s="174" t="s">
        <v>72</v>
      </c>
    </row>
    <row r="123" spans="1:9">
      <c r="A123" s="670"/>
      <c r="B123" s="670"/>
      <c r="C123" s="437"/>
      <c r="D123" s="549"/>
      <c r="E123" s="174"/>
      <c r="F123" s="174"/>
      <c r="G123" s="174"/>
      <c r="H123" s="174"/>
      <c r="I123" s="174"/>
    </row>
    <row r="124" spans="1:9" ht="120">
      <c r="A124" s="670">
        <v>20</v>
      </c>
      <c r="B124" s="675" t="s">
        <v>1516</v>
      </c>
      <c r="C124" s="437" t="s">
        <v>1413</v>
      </c>
      <c r="D124" s="549"/>
      <c r="E124" s="174"/>
      <c r="F124" s="174"/>
      <c r="G124" s="174"/>
      <c r="H124" s="174"/>
      <c r="I124" s="174"/>
    </row>
    <row r="125" spans="1:9">
      <c r="A125" s="670"/>
      <c r="B125" s="670"/>
      <c r="C125" s="437" t="s">
        <v>1517</v>
      </c>
      <c r="D125" s="549">
        <v>11</v>
      </c>
      <c r="E125" s="174">
        <v>1.2</v>
      </c>
      <c r="F125" s="174">
        <v>12</v>
      </c>
      <c r="G125" s="174"/>
      <c r="H125" s="174">
        <v>158.39999999999998</v>
      </c>
      <c r="I125" s="174" t="s">
        <v>72</v>
      </c>
    </row>
    <row r="126" spans="1:9">
      <c r="A126" s="670"/>
      <c r="B126" s="670"/>
      <c r="C126" s="437" t="s">
        <v>1491</v>
      </c>
      <c r="D126" s="549">
        <v>2</v>
      </c>
      <c r="E126" s="174">
        <v>1</v>
      </c>
      <c r="F126" s="174">
        <v>12</v>
      </c>
      <c r="G126" s="174"/>
      <c r="H126" s="174">
        <v>24</v>
      </c>
      <c r="I126" s="174" t="s">
        <v>72</v>
      </c>
    </row>
    <row r="127" spans="1:9">
      <c r="A127" s="670"/>
      <c r="B127" s="670"/>
      <c r="D127" s="549"/>
      <c r="E127" s="174"/>
      <c r="F127" s="174"/>
      <c r="G127" s="677" t="s">
        <v>1444</v>
      </c>
      <c r="H127" s="678">
        <v>182.39999999999998</v>
      </c>
      <c r="I127" s="677" t="s">
        <v>72</v>
      </c>
    </row>
    <row r="128" spans="1:9">
      <c r="A128" s="670"/>
      <c r="B128" s="675"/>
      <c r="C128" s="437"/>
      <c r="D128" s="549"/>
      <c r="E128" s="174"/>
      <c r="F128" s="174"/>
      <c r="G128" s="174"/>
      <c r="H128" s="174"/>
      <c r="I128" s="174"/>
    </row>
    <row r="129" spans="1:12">
      <c r="C129" s="691" t="s">
        <v>1518</v>
      </c>
      <c r="E129" s="677"/>
      <c r="F129" s="677"/>
      <c r="G129" s="677"/>
      <c r="H129" s="677"/>
      <c r="I129" s="677"/>
    </row>
    <row r="130" spans="1:12">
      <c r="A130" s="670"/>
      <c r="B130" s="670"/>
      <c r="C130" s="437"/>
      <c r="D130" s="549"/>
      <c r="E130" s="174"/>
      <c r="F130" s="174"/>
      <c r="G130" s="174"/>
      <c r="H130" s="174"/>
      <c r="I130" s="174"/>
    </row>
    <row r="131" spans="1:12" ht="90">
      <c r="A131" s="670">
        <v>21</v>
      </c>
      <c r="B131" s="670"/>
      <c r="C131" s="437" t="s">
        <v>1519</v>
      </c>
      <c r="D131" s="549"/>
      <c r="E131" s="174"/>
      <c r="F131" s="174"/>
      <c r="G131" s="174"/>
      <c r="H131" s="174"/>
      <c r="I131" s="174"/>
    </row>
    <row r="132" spans="1:12">
      <c r="A132" s="670"/>
      <c r="B132" s="670"/>
      <c r="C132" s="692" t="s">
        <v>1520</v>
      </c>
      <c r="E132" s="677">
        <v>3389</v>
      </c>
      <c r="F132" s="677" t="s">
        <v>1386</v>
      </c>
      <c r="G132" s="245"/>
      <c r="H132" s="245"/>
      <c r="I132" s="245"/>
    </row>
    <row r="133" spans="1:12">
      <c r="A133" s="670"/>
      <c r="B133" s="670"/>
      <c r="C133" s="692"/>
      <c r="E133" s="174"/>
      <c r="F133" s="677"/>
      <c r="G133" s="434" t="s">
        <v>1521</v>
      </c>
      <c r="H133" s="677">
        <v>2033.3999999999999</v>
      </c>
      <c r="I133" s="677" t="s">
        <v>1386</v>
      </c>
    </row>
    <row r="134" spans="1:12">
      <c r="A134" s="670"/>
      <c r="B134" s="670"/>
      <c r="C134" s="437"/>
      <c r="D134" s="549"/>
      <c r="E134" s="174"/>
      <c r="F134" s="174"/>
      <c r="G134" s="174"/>
      <c r="H134" s="174"/>
      <c r="I134" s="174"/>
    </row>
    <row r="135" spans="1:12" ht="60">
      <c r="A135" s="670">
        <v>22</v>
      </c>
      <c r="B135" s="670"/>
      <c r="C135" s="437" t="s">
        <v>1522</v>
      </c>
      <c r="D135" s="549"/>
      <c r="E135" s="174"/>
      <c r="F135" s="174"/>
      <c r="G135" s="174"/>
      <c r="H135" s="174"/>
      <c r="I135" s="174"/>
    </row>
    <row r="136" spans="1:12">
      <c r="A136" s="670"/>
      <c r="B136" s="670"/>
      <c r="C136" s="437"/>
      <c r="D136" s="549"/>
      <c r="E136" s="174"/>
      <c r="F136" s="174"/>
      <c r="G136" s="434" t="s">
        <v>1523</v>
      </c>
      <c r="H136" s="677">
        <v>1355.6000000000001</v>
      </c>
      <c r="I136" s="677" t="s">
        <v>1386</v>
      </c>
    </row>
    <row r="137" spans="1:12">
      <c r="A137" s="670"/>
      <c r="B137" s="670"/>
      <c r="C137" s="437"/>
      <c r="D137" s="549"/>
      <c r="E137" s="174"/>
      <c r="F137" s="174"/>
      <c r="G137" s="174"/>
      <c r="H137" s="174"/>
      <c r="I137" s="174"/>
    </row>
    <row r="138" spans="1:12" ht="180">
      <c r="A138" s="670">
        <v>23</v>
      </c>
      <c r="B138" s="675" t="s">
        <v>1441</v>
      </c>
      <c r="C138" s="437" t="s">
        <v>1524</v>
      </c>
      <c r="D138" s="549"/>
      <c r="E138" s="172"/>
      <c r="F138" s="172"/>
      <c r="G138" s="172"/>
      <c r="H138" s="172"/>
      <c r="I138" s="172"/>
    </row>
    <row r="139" spans="1:12">
      <c r="A139" s="670"/>
      <c r="B139" s="670"/>
      <c r="C139" s="437" t="s">
        <v>1525</v>
      </c>
      <c r="D139" s="549">
        <v>4</v>
      </c>
      <c r="E139" s="693">
        <v>75</v>
      </c>
      <c r="F139" s="174">
        <v>3.5</v>
      </c>
      <c r="G139" s="174">
        <v>2</v>
      </c>
      <c r="H139" s="174">
        <v>2100</v>
      </c>
      <c r="I139" s="677" t="s">
        <v>1386</v>
      </c>
      <c r="L139" s="677">
        <v>115829505</v>
      </c>
    </row>
    <row r="140" spans="1:12">
      <c r="A140" s="670"/>
      <c r="B140" s="670"/>
      <c r="C140" s="437"/>
      <c r="D140" s="549"/>
      <c r="E140" s="174"/>
      <c r="F140" s="174"/>
      <c r="G140" s="174"/>
      <c r="H140" s="174"/>
      <c r="I140" s="174"/>
    </row>
    <row r="141" spans="1:12" ht="180">
      <c r="A141" s="670">
        <v>24</v>
      </c>
      <c r="B141" s="675" t="s">
        <v>1448</v>
      </c>
      <c r="C141" s="437" t="s">
        <v>1449</v>
      </c>
      <c r="D141" s="549"/>
      <c r="E141" s="174"/>
      <c r="F141" s="174"/>
      <c r="G141" s="677"/>
      <c r="H141" s="174"/>
      <c r="I141" s="174"/>
    </row>
    <row r="142" spans="1:12">
      <c r="A142" s="670"/>
      <c r="B142" s="670"/>
      <c r="C142" s="437" t="s">
        <v>1525</v>
      </c>
      <c r="D142" s="549">
        <v>4</v>
      </c>
      <c r="E142" s="174">
        <v>75</v>
      </c>
      <c r="F142" s="174">
        <v>3.5</v>
      </c>
      <c r="G142" s="174">
        <v>1</v>
      </c>
      <c r="H142" s="174">
        <v>1610</v>
      </c>
      <c r="I142" s="677" t="s">
        <v>1386</v>
      </c>
    </row>
    <row r="143" spans="1:12">
      <c r="A143" s="670"/>
      <c r="B143" s="670"/>
      <c r="C143" s="437"/>
      <c r="D143" s="549"/>
      <c r="E143" s="174"/>
      <c r="F143" s="174"/>
      <c r="G143" s="174"/>
      <c r="H143" s="174"/>
      <c r="I143" s="174"/>
    </row>
    <row r="144" spans="1:12" ht="120">
      <c r="A144" s="670">
        <v>25</v>
      </c>
      <c r="B144" s="675" t="s">
        <v>1461</v>
      </c>
      <c r="C144" s="437" t="s">
        <v>1462</v>
      </c>
      <c r="D144" s="549"/>
      <c r="E144" s="174"/>
      <c r="F144" s="174"/>
      <c r="G144" s="677"/>
      <c r="H144" s="174"/>
      <c r="I144" s="174"/>
    </row>
    <row r="145" spans="1:9">
      <c r="A145" s="670"/>
      <c r="B145" s="670"/>
      <c r="C145" s="437" t="s">
        <v>1525</v>
      </c>
      <c r="D145" s="549">
        <v>4</v>
      </c>
      <c r="E145" s="174">
        <v>75</v>
      </c>
      <c r="F145" s="174">
        <v>3.5</v>
      </c>
      <c r="G145" s="174">
        <v>0.15</v>
      </c>
      <c r="H145" s="174">
        <v>157.5</v>
      </c>
      <c r="I145" s="677" t="s">
        <v>1386</v>
      </c>
    </row>
    <row r="146" spans="1:9">
      <c r="A146" s="670"/>
      <c r="B146" s="670"/>
      <c r="C146" s="437" t="s">
        <v>1450</v>
      </c>
      <c r="D146" s="549">
        <v>12</v>
      </c>
      <c r="E146" s="174">
        <v>12.5</v>
      </c>
      <c r="F146" s="174">
        <v>1</v>
      </c>
      <c r="G146" s="174">
        <v>0.3</v>
      </c>
      <c r="H146" s="174">
        <v>45</v>
      </c>
      <c r="I146" s="677" t="s">
        <v>1386</v>
      </c>
    </row>
    <row r="147" spans="1:9">
      <c r="A147" s="670"/>
      <c r="B147" s="670"/>
      <c r="C147" s="437" t="s">
        <v>1450</v>
      </c>
      <c r="D147" s="549">
        <v>12</v>
      </c>
      <c r="E147" s="174">
        <v>12.5</v>
      </c>
      <c r="F147" s="174">
        <v>0.7</v>
      </c>
      <c r="G147" s="174">
        <v>0.7</v>
      </c>
      <c r="H147" s="174">
        <v>73.5</v>
      </c>
      <c r="I147" s="677" t="s">
        <v>1386</v>
      </c>
    </row>
    <row r="148" spans="1:9">
      <c r="A148" s="670"/>
      <c r="B148" s="670"/>
      <c r="C148" s="437" t="s">
        <v>1451</v>
      </c>
      <c r="D148" s="549">
        <v>12</v>
      </c>
      <c r="E148" s="174">
        <v>12.5</v>
      </c>
      <c r="F148" s="174">
        <v>1</v>
      </c>
      <c r="G148" s="174">
        <v>0.3</v>
      </c>
      <c r="H148" s="174">
        <v>45</v>
      </c>
      <c r="I148" s="677" t="s">
        <v>1386</v>
      </c>
    </row>
    <row r="149" spans="1:9">
      <c r="A149" s="670"/>
      <c r="B149" s="670"/>
      <c r="C149" s="437" t="s">
        <v>1451</v>
      </c>
      <c r="D149" s="549">
        <v>12</v>
      </c>
      <c r="E149" s="174">
        <v>12.5</v>
      </c>
      <c r="F149" s="174">
        <v>0.7</v>
      </c>
      <c r="G149" s="174">
        <v>0.7</v>
      </c>
      <c r="H149" s="174">
        <v>73.5</v>
      </c>
      <c r="I149" s="677" t="s">
        <v>1386</v>
      </c>
    </row>
    <row r="150" spans="1:9">
      <c r="A150" s="670"/>
      <c r="B150" s="670"/>
      <c r="D150" s="549"/>
      <c r="E150" s="174"/>
      <c r="F150" s="174"/>
      <c r="G150" s="677" t="s">
        <v>1444</v>
      </c>
      <c r="H150" s="678">
        <v>394.5</v>
      </c>
      <c r="I150" s="677" t="s">
        <v>1386</v>
      </c>
    </row>
    <row r="151" spans="1:9">
      <c r="A151" s="670"/>
      <c r="B151" s="670"/>
      <c r="C151" s="437"/>
      <c r="D151" s="549"/>
      <c r="E151" s="174"/>
      <c r="F151" s="174"/>
      <c r="G151" s="174"/>
      <c r="H151" s="174"/>
      <c r="I151" s="174"/>
    </row>
    <row r="152" spans="1:9" ht="120">
      <c r="A152" s="670">
        <v>26</v>
      </c>
      <c r="B152" s="675" t="s">
        <v>1464</v>
      </c>
      <c r="C152" s="437" t="s">
        <v>1465</v>
      </c>
      <c r="D152" s="549"/>
      <c r="E152" s="174"/>
      <c r="F152" s="174"/>
      <c r="G152" s="677"/>
      <c r="H152" s="174"/>
      <c r="I152" s="174"/>
    </row>
    <row r="153" spans="1:9">
      <c r="A153" s="670"/>
      <c r="B153" s="670"/>
      <c r="C153" s="437" t="s">
        <v>1525</v>
      </c>
      <c r="D153" s="549">
        <v>4</v>
      </c>
      <c r="E153" s="174">
        <v>75</v>
      </c>
      <c r="F153" s="174">
        <v>3.1</v>
      </c>
      <c r="G153" s="174">
        <v>0.4</v>
      </c>
      <c r="H153" s="174">
        <v>372</v>
      </c>
      <c r="I153" s="677" t="s">
        <v>1386</v>
      </c>
    </row>
    <row r="154" spans="1:9">
      <c r="A154" s="670"/>
      <c r="B154" s="670"/>
      <c r="C154" s="437"/>
      <c r="D154" s="549"/>
      <c r="E154" s="174"/>
      <c r="F154" s="174"/>
      <c r="G154" s="174"/>
      <c r="H154" s="174"/>
      <c r="I154" s="174"/>
    </row>
    <row r="155" spans="1:9" ht="75">
      <c r="A155" s="670">
        <v>27</v>
      </c>
      <c r="B155" s="675" t="s">
        <v>1469</v>
      </c>
      <c r="C155" s="437" t="s">
        <v>1470</v>
      </c>
      <c r="D155" s="549"/>
      <c r="E155" s="174"/>
      <c r="F155" s="174"/>
      <c r="G155" s="677"/>
      <c r="H155" s="174"/>
      <c r="I155" s="174"/>
    </row>
    <row r="156" spans="1:9">
      <c r="A156" s="670"/>
      <c r="B156" s="670"/>
      <c r="C156" s="437" t="s">
        <v>1471</v>
      </c>
      <c r="D156" s="681">
        <v>1.4999999999999999E-2</v>
      </c>
      <c r="E156" s="174">
        <v>372</v>
      </c>
      <c r="F156" s="174">
        <v>7850</v>
      </c>
      <c r="G156" s="174"/>
      <c r="H156" s="677">
        <v>43.802999999999997</v>
      </c>
      <c r="I156" s="677" t="s">
        <v>595</v>
      </c>
    </row>
    <row r="157" spans="1:9">
      <c r="A157" s="670"/>
      <c r="B157" s="675"/>
      <c r="C157" s="437"/>
      <c r="D157" s="549"/>
      <c r="E157" s="174"/>
      <c r="F157" s="174"/>
      <c r="G157" s="677"/>
      <c r="H157" s="174"/>
      <c r="I157" s="174"/>
    </row>
    <row r="158" spans="1:9" ht="120">
      <c r="A158" s="670">
        <v>28</v>
      </c>
      <c r="B158" s="675" t="s">
        <v>1473</v>
      </c>
      <c r="C158" s="437" t="s">
        <v>1399</v>
      </c>
      <c r="D158" s="549"/>
      <c r="E158" s="174"/>
      <c r="F158" s="174" t="s">
        <v>1526</v>
      </c>
      <c r="G158" s="677"/>
      <c r="H158" s="174"/>
      <c r="I158" s="174"/>
    </row>
    <row r="159" spans="1:9">
      <c r="A159" s="670"/>
      <c r="B159" s="675"/>
      <c r="C159" s="437" t="s">
        <v>1525</v>
      </c>
      <c r="D159" s="549">
        <v>4</v>
      </c>
      <c r="E159" s="174">
        <v>75</v>
      </c>
      <c r="F159" s="174">
        <v>0.6</v>
      </c>
      <c r="G159" s="174">
        <v>4.5</v>
      </c>
      <c r="H159" s="174">
        <v>810</v>
      </c>
      <c r="I159" s="174" t="s">
        <v>1386</v>
      </c>
    </row>
    <row r="160" spans="1:9">
      <c r="A160" s="670"/>
      <c r="B160" s="675"/>
      <c r="C160" s="437"/>
      <c r="D160" s="549"/>
      <c r="E160" s="174"/>
      <c r="F160" s="677"/>
      <c r="G160" s="677"/>
      <c r="H160" s="678">
        <v>810</v>
      </c>
      <c r="I160" s="677" t="s">
        <v>1386</v>
      </c>
    </row>
    <row r="161" spans="1:9">
      <c r="A161" s="670"/>
      <c r="B161" s="675"/>
      <c r="C161" s="437"/>
      <c r="D161" s="549"/>
      <c r="E161" s="174"/>
      <c r="F161" s="174"/>
      <c r="G161" s="677"/>
      <c r="H161" s="174"/>
      <c r="I161" s="174"/>
    </row>
    <row r="162" spans="1:9" ht="45">
      <c r="A162" s="670">
        <v>29</v>
      </c>
      <c r="B162" s="675" t="s">
        <v>1481</v>
      </c>
      <c r="C162" s="437" t="s">
        <v>1482</v>
      </c>
      <c r="D162" s="549"/>
      <c r="E162" s="174"/>
      <c r="F162" s="174"/>
      <c r="G162" s="677"/>
      <c r="H162" s="174"/>
      <c r="I162" s="174"/>
    </row>
    <row r="163" spans="1:9">
      <c r="A163" s="670"/>
      <c r="B163" s="670"/>
      <c r="C163" s="437" t="s">
        <v>1527</v>
      </c>
      <c r="D163" s="681">
        <v>1.4999999999999999E-2</v>
      </c>
      <c r="E163" s="174">
        <v>810</v>
      </c>
      <c r="F163" s="174">
        <v>7850</v>
      </c>
      <c r="G163" s="174"/>
      <c r="H163" s="677">
        <v>95.377499999999998</v>
      </c>
      <c r="I163" s="677" t="s">
        <v>595</v>
      </c>
    </row>
    <row r="164" spans="1:9">
      <c r="A164" s="670"/>
      <c r="B164" s="675"/>
      <c r="C164" s="437"/>
      <c r="D164" s="549"/>
      <c r="E164" s="174"/>
      <c r="F164" s="174"/>
      <c r="G164" s="677"/>
      <c r="H164" s="174"/>
      <c r="I164" s="174"/>
    </row>
    <row r="165" spans="1:9">
      <c r="A165" s="670"/>
      <c r="B165" s="675"/>
      <c r="C165" s="437"/>
      <c r="D165" s="549"/>
      <c r="E165" s="174"/>
      <c r="F165" s="174"/>
      <c r="G165" s="677"/>
      <c r="H165" s="174"/>
      <c r="I165" s="174"/>
    </row>
    <row r="166" spans="1:9" ht="90">
      <c r="A166" s="670">
        <v>30</v>
      </c>
      <c r="B166" s="675" t="s">
        <v>1488</v>
      </c>
      <c r="C166" s="437" t="s">
        <v>1404</v>
      </c>
      <c r="D166" s="549"/>
      <c r="E166" s="174"/>
      <c r="F166" s="174"/>
      <c r="G166" s="677"/>
      <c r="H166" s="174"/>
      <c r="I166" s="174"/>
    </row>
    <row r="167" spans="1:9">
      <c r="A167" s="670"/>
      <c r="B167" s="675"/>
      <c r="C167" s="437" t="s">
        <v>1525</v>
      </c>
      <c r="D167" s="549">
        <v>2</v>
      </c>
      <c r="E167" s="174">
        <v>75</v>
      </c>
      <c r="F167" s="174">
        <v>6.5</v>
      </c>
      <c r="G167" s="174">
        <v>1</v>
      </c>
      <c r="H167" s="174">
        <v>975</v>
      </c>
      <c r="I167" s="677" t="s">
        <v>1386</v>
      </c>
    </row>
    <row r="168" spans="1:9">
      <c r="A168" s="670"/>
      <c r="B168" s="675"/>
      <c r="C168" s="437"/>
      <c r="D168" s="549"/>
      <c r="E168" s="174"/>
      <c r="F168" s="174"/>
      <c r="G168" s="174"/>
      <c r="H168" s="174"/>
      <c r="I168" s="174"/>
    </row>
    <row r="169" spans="1:9">
      <c r="A169" s="670"/>
      <c r="B169" s="675"/>
      <c r="C169" s="437"/>
      <c r="D169" s="549"/>
      <c r="E169" s="174"/>
      <c r="F169" s="174"/>
      <c r="G169" s="677"/>
      <c r="H169" s="174"/>
      <c r="I169" s="174"/>
    </row>
    <row r="170" spans="1:9" ht="90">
      <c r="A170" s="670">
        <v>31</v>
      </c>
      <c r="B170" s="675" t="s">
        <v>1484</v>
      </c>
      <c r="C170" s="437" t="s">
        <v>1485</v>
      </c>
      <c r="D170" s="549"/>
      <c r="E170" s="174"/>
      <c r="F170" s="174"/>
      <c r="G170" s="677"/>
      <c r="H170" s="174"/>
      <c r="I170" s="174"/>
    </row>
    <row r="171" spans="1:9">
      <c r="A171" s="670"/>
      <c r="B171" s="675"/>
      <c r="C171" s="437" t="s">
        <v>1525</v>
      </c>
      <c r="D171" s="549">
        <v>4</v>
      </c>
      <c r="E171" s="174">
        <v>75</v>
      </c>
      <c r="F171" s="172">
        <v>2</v>
      </c>
      <c r="G171" s="174">
        <v>0.65</v>
      </c>
      <c r="H171" s="174">
        <v>390</v>
      </c>
      <c r="I171" s="677" t="s">
        <v>1403</v>
      </c>
    </row>
    <row r="172" spans="1:9">
      <c r="A172" s="670"/>
      <c r="B172" s="675"/>
      <c r="C172" s="437"/>
      <c r="D172" s="549"/>
      <c r="E172" s="174"/>
      <c r="F172" s="174"/>
      <c r="G172" s="677"/>
      <c r="H172" s="174"/>
      <c r="I172" s="174"/>
    </row>
    <row r="173" spans="1:9" ht="60">
      <c r="A173" s="670">
        <v>32</v>
      </c>
      <c r="B173" s="675" t="s">
        <v>1489</v>
      </c>
      <c r="C173" s="437" t="s">
        <v>1490</v>
      </c>
      <c r="D173" s="549"/>
      <c r="E173" s="174"/>
      <c r="F173" s="174"/>
      <c r="G173" s="677"/>
      <c r="H173" s="174"/>
      <c r="I173" s="174"/>
    </row>
    <row r="174" spans="1:9">
      <c r="A174" s="670"/>
      <c r="B174" s="675"/>
      <c r="C174" s="437" t="s">
        <v>1525</v>
      </c>
      <c r="D174" s="549">
        <v>2</v>
      </c>
      <c r="E174" s="174">
        <v>75</v>
      </c>
      <c r="F174" s="174">
        <v>6.5</v>
      </c>
      <c r="G174" s="174">
        <v>0.5</v>
      </c>
      <c r="H174" s="174">
        <v>487.5</v>
      </c>
      <c r="I174" s="677" t="s">
        <v>1386</v>
      </c>
    </row>
    <row r="175" spans="1:9">
      <c r="A175" s="670"/>
      <c r="B175" s="675"/>
      <c r="C175" s="437"/>
      <c r="D175" s="549"/>
      <c r="E175" s="174"/>
      <c r="F175" s="174"/>
      <c r="G175" s="174"/>
      <c r="H175" s="174"/>
      <c r="I175" s="174"/>
    </row>
    <row r="176" spans="1:9" ht="60">
      <c r="A176" s="670">
        <v>33</v>
      </c>
      <c r="B176" s="675" t="s">
        <v>1506</v>
      </c>
      <c r="C176" s="437" t="s">
        <v>1507</v>
      </c>
      <c r="D176" s="549"/>
      <c r="E176" s="174"/>
      <c r="F176" s="174"/>
      <c r="G176" s="677"/>
      <c r="H176" s="174"/>
      <c r="I176" s="174"/>
    </row>
    <row r="177" spans="1:9">
      <c r="A177" s="670"/>
      <c r="B177" s="675"/>
      <c r="C177" s="437"/>
      <c r="D177" s="549">
        <v>2</v>
      </c>
      <c r="E177" s="174">
        <v>75</v>
      </c>
      <c r="F177" s="174">
        <v>5.5</v>
      </c>
      <c r="G177" s="174">
        <v>0.15</v>
      </c>
      <c r="H177" s="174">
        <v>123.75</v>
      </c>
      <c r="I177" s="677" t="s">
        <v>1386</v>
      </c>
    </row>
    <row r="178" spans="1:9">
      <c r="A178" s="670"/>
      <c r="B178" s="675"/>
      <c r="C178" s="437"/>
      <c r="D178" s="549"/>
      <c r="E178" s="174"/>
      <c r="F178" s="174"/>
      <c r="G178" s="677"/>
      <c r="H178" s="174"/>
      <c r="I178" s="174"/>
    </row>
    <row r="179" spans="1:9" ht="300">
      <c r="A179" s="670">
        <v>34</v>
      </c>
      <c r="B179" s="675" t="s">
        <v>1528</v>
      </c>
      <c r="C179" s="437" t="s">
        <v>1529</v>
      </c>
      <c r="D179" s="549"/>
      <c r="E179" s="174"/>
      <c r="F179" s="174"/>
      <c r="G179" s="677"/>
      <c r="H179" s="174"/>
      <c r="I179" s="174"/>
    </row>
    <row r="180" spans="1:9">
      <c r="A180" s="670"/>
      <c r="B180" s="675"/>
      <c r="C180" s="437" t="s">
        <v>1530</v>
      </c>
      <c r="D180" s="549">
        <v>2</v>
      </c>
      <c r="E180" s="174">
        <v>75</v>
      </c>
      <c r="F180" s="174">
        <v>12</v>
      </c>
      <c r="G180" s="174">
        <v>0.2</v>
      </c>
      <c r="H180" s="174">
        <v>360</v>
      </c>
      <c r="I180" s="677" t="s">
        <v>1386</v>
      </c>
    </row>
    <row r="181" spans="1:9">
      <c r="A181" s="670"/>
      <c r="B181" s="675"/>
      <c r="C181" s="437"/>
      <c r="D181" s="549"/>
      <c r="E181" s="174"/>
      <c r="F181" s="174"/>
      <c r="G181" s="174"/>
      <c r="H181" s="174"/>
      <c r="I181" s="174"/>
    </row>
    <row r="182" spans="1:9" ht="135">
      <c r="A182" s="670">
        <v>35</v>
      </c>
      <c r="B182" s="675" t="s">
        <v>1506</v>
      </c>
      <c r="C182" s="437" t="s">
        <v>1417</v>
      </c>
      <c r="D182" s="549"/>
      <c r="E182" s="174"/>
      <c r="F182" s="174"/>
      <c r="G182" s="677"/>
      <c r="H182" s="174"/>
      <c r="I182" s="174"/>
    </row>
    <row r="183" spans="1:9">
      <c r="A183" s="670"/>
      <c r="B183" s="675"/>
      <c r="C183" s="437"/>
      <c r="D183" s="549">
        <v>2</v>
      </c>
      <c r="E183" s="174">
        <v>12</v>
      </c>
      <c r="F183" s="174">
        <v>12.930664820130508</v>
      </c>
      <c r="G183" s="174"/>
      <c r="H183" s="174">
        <v>310.33595568313217</v>
      </c>
      <c r="I183" s="677" t="s">
        <v>29</v>
      </c>
    </row>
    <row r="185" spans="1:9" s="172" customFormat="1" ht="345.75" customHeight="1">
      <c r="A185" s="694">
        <v>36</v>
      </c>
      <c r="B185" s="437" t="s">
        <v>1418</v>
      </c>
      <c r="C185" s="437" t="s">
        <v>1418</v>
      </c>
      <c r="D185" s="549">
        <v>2</v>
      </c>
      <c r="E185" s="563"/>
      <c r="F185" s="563"/>
      <c r="G185" s="695"/>
      <c r="H185" s="549">
        <v>2</v>
      </c>
      <c r="I185" s="549" t="s">
        <v>171</v>
      </c>
    </row>
    <row r="186" spans="1:9" s="172" customFormat="1" ht="156.75" customHeight="1">
      <c r="A186" s="694">
        <v>37</v>
      </c>
      <c r="B186" s="437" t="s">
        <v>1420</v>
      </c>
      <c r="C186" s="437" t="s">
        <v>1420</v>
      </c>
      <c r="D186" s="549">
        <v>3</v>
      </c>
      <c r="E186" s="563"/>
      <c r="F186" s="563"/>
      <c r="G186" s="695"/>
      <c r="H186" s="549">
        <v>3</v>
      </c>
      <c r="I186" s="549" t="s">
        <v>171</v>
      </c>
    </row>
    <row r="187" spans="1:9" s="172" customFormat="1" ht="190.5" customHeight="1">
      <c r="A187" s="694">
        <v>38</v>
      </c>
      <c r="B187" s="437" t="s">
        <v>1421</v>
      </c>
      <c r="C187" s="437" t="s">
        <v>1421</v>
      </c>
      <c r="D187" s="549">
        <v>6</v>
      </c>
      <c r="E187" s="563"/>
      <c r="F187" s="563"/>
      <c r="G187" s="695"/>
      <c r="H187" s="549">
        <v>6</v>
      </c>
      <c r="I187" s="549" t="s">
        <v>171</v>
      </c>
    </row>
    <row r="188" spans="1:9" s="172" customFormat="1" ht="187.5" customHeight="1">
      <c r="A188" s="694">
        <v>39</v>
      </c>
      <c r="B188" s="437" t="s">
        <v>1422</v>
      </c>
      <c r="C188" s="437" t="s">
        <v>1422</v>
      </c>
      <c r="D188" s="549">
        <v>6</v>
      </c>
      <c r="E188" s="563"/>
      <c r="F188" s="563"/>
      <c r="G188" s="695"/>
      <c r="H188" s="549">
        <v>6</v>
      </c>
      <c r="I188" s="549" t="s">
        <v>171</v>
      </c>
    </row>
    <row r="189" spans="1:9" s="172" customFormat="1" ht="409.5">
      <c r="A189" s="694">
        <v>40</v>
      </c>
      <c r="B189" s="437" t="s">
        <v>1423</v>
      </c>
      <c r="C189" s="437" t="s">
        <v>1531</v>
      </c>
      <c r="D189" s="549">
        <v>2</v>
      </c>
      <c r="E189" s="563">
        <v>200</v>
      </c>
      <c r="F189" s="563"/>
      <c r="G189" s="695"/>
      <c r="H189" s="549">
        <v>400</v>
      </c>
      <c r="I189" s="549" t="s">
        <v>171</v>
      </c>
    </row>
    <row r="190" spans="1:9" s="172" customFormat="1" ht="171.75" customHeight="1">
      <c r="A190" s="694">
        <v>41</v>
      </c>
      <c r="B190" s="437" t="s">
        <v>1424</v>
      </c>
      <c r="C190" s="437" t="s">
        <v>1424</v>
      </c>
      <c r="D190" s="549">
        <v>2223</v>
      </c>
      <c r="E190" s="670">
        <v>1.5</v>
      </c>
      <c r="F190" s="569">
        <v>0.15</v>
      </c>
      <c r="G190" s="695"/>
      <c r="H190" s="686">
        <v>500.17499999999995</v>
      </c>
      <c r="I190" s="563" t="s">
        <v>1425</v>
      </c>
    </row>
    <row r="191" spans="1:9" s="172" customFormat="1" ht="85.5" customHeight="1">
      <c r="A191" s="694">
        <v>42</v>
      </c>
      <c r="B191" s="437" t="s">
        <v>1427</v>
      </c>
      <c r="C191" s="437" t="s">
        <v>1427</v>
      </c>
    </row>
    <row r="192" spans="1:9" s="172" customFormat="1" ht="15">
      <c r="A192" s="694"/>
      <c r="B192" s="437"/>
      <c r="C192" s="437"/>
      <c r="D192" s="549">
        <v>4</v>
      </c>
      <c r="E192" s="695">
        <v>30</v>
      </c>
      <c r="F192" s="696">
        <v>4.4721359549995796</v>
      </c>
      <c r="G192" s="695">
        <v>0.3</v>
      </c>
      <c r="H192" s="686">
        <v>160.99689437998487</v>
      </c>
      <c r="I192" s="563" t="s">
        <v>1428</v>
      </c>
    </row>
    <row r="193" spans="1:9" s="172" customFormat="1" ht="15">
      <c r="A193" s="694"/>
      <c r="B193" s="437"/>
      <c r="C193" s="437"/>
      <c r="D193" s="549"/>
      <c r="E193" s="695"/>
      <c r="F193" s="696"/>
      <c r="G193" s="695"/>
      <c r="H193" s="686"/>
      <c r="I193" s="563"/>
    </row>
    <row r="194" spans="1:9" s="172" customFormat="1" ht="141" customHeight="1">
      <c r="A194" s="694">
        <v>43</v>
      </c>
      <c r="B194" s="437" t="s">
        <v>1430</v>
      </c>
      <c r="C194" s="437" t="s">
        <v>1430</v>
      </c>
      <c r="D194" s="549">
        <v>4</v>
      </c>
      <c r="E194" s="695">
        <v>30</v>
      </c>
      <c r="F194" s="696">
        <v>4.4721359549995796</v>
      </c>
      <c r="G194" s="695">
        <v>0.45</v>
      </c>
      <c r="H194" s="686">
        <v>241.49534156997734</v>
      </c>
      <c r="I194" s="697" t="s">
        <v>1428</v>
      </c>
    </row>
    <row r="195" spans="1:9" s="172" customFormat="1" ht="15">
      <c r="A195" s="694"/>
      <c r="B195" s="437"/>
      <c r="C195" s="437" t="s">
        <v>1467</v>
      </c>
      <c r="D195" s="549">
        <v>12</v>
      </c>
      <c r="E195" s="174">
        <v>12.5</v>
      </c>
      <c r="F195" s="174">
        <v>3</v>
      </c>
      <c r="G195" s="174">
        <v>0.75</v>
      </c>
      <c r="H195" s="686">
        <v>337.5</v>
      </c>
      <c r="I195" s="563" t="s">
        <v>1428</v>
      </c>
    </row>
    <row r="196" spans="1:9" s="172" customFormat="1" ht="15">
      <c r="A196" s="694"/>
      <c r="B196" s="437"/>
      <c r="C196" s="437" t="s">
        <v>1467</v>
      </c>
      <c r="D196" s="549">
        <v>12</v>
      </c>
      <c r="E196" s="174">
        <v>12.5</v>
      </c>
      <c r="F196" s="174">
        <v>4</v>
      </c>
      <c r="G196" s="174">
        <v>1</v>
      </c>
      <c r="H196" s="686">
        <v>600</v>
      </c>
      <c r="I196" s="563" t="s">
        <v>1428</v>
      </c>
    </row>
    <row r="197" spans="1:9" s="172" customFormat="1" ht="15">
      <c r="A197" s="694"/>
      <c r="B197" s="437"/>
      <c r="C197" s="437" t="s">
        <v>1468</v>
      </c>
      <c r="D197" s="549">
        <v>12</v>
      </c>
      <c r="E197" s="174">
        <v>12.5</v>
      </c>
      <c r="F197" s="174">
        <v>5</v>
      </c>
      <c r="G197" s="174">
        <v>0.75</v>
      </c>
      <c r="H197" s="686">
        <v>562.5</v>
      </c>
      <c r="I197" s="563" t="s">
        <v>1428</v>
      </c>
    </row>
    <row r="198" spans="1:9" s="172" customFormat="1" ht="15">
      <c r="A198" s="694"/>
      <c r="B198" s="437"/>
      <c r="C198" s="437" t="s">
        <v>1468</v>
      </c>
      <c r="D198" s="549">
        <v>12</v>
      </c>
      <c r="E198" s="174">
        <v>12.5</v>
      </c>
      <c r="F198" s="174">
        <v>6</v>
      </c>
      <c r="G198" s="174">
        <v>1</v>
      </c>
      <c r="H198" s="686">
        <v>900</v>
      </c>
      <c r="I198" s="563" t="s">
        <v>1428</v>
      </c>
    </row>
    <row r="199" spans="1:9">
      <c r="A199" s="670"/>
      <c r="B199" s="675"/>
      <c r="C199" s="437"/>
      <c r="D199" s="549"/>
      <c r="E199" s="174"/>
      <c r="F199" s="677"/>
      <c r="G199" s="677"/>
      <c r="H199" s="678">
        <v>2641.4953415699774</v>
      </c>
      <c r="I199" s="677" t="s">
        <v>1386</v>
      </c>
    </row>
    <row r="200" spans="1:9">
      <c r="A200" s="670"/>
      <c r="B200" s="675"/>
      <c r="C200" s="437"/>
      <c r="D200" s="549"/>
      <c r="E200" s="174"/>
      <c r="F200" s="677"/>
      <c r="G200" s="677"/>
      <c r="H200" s="698"/>
      <c r="I200" s="677"/>
    </row>
    <row r="201" spans="1:9" s="172" customFormat="1" ht="84.75" customHeight="1">
      <c r="A201" s="694">
        <v>44</v>
      </c>
      <c r="B201" s="437" t="s">
        <v>1431</v>
      </c>
      <c r="C201" s="437" t="s">
        <v>1431</v>
      </c>
      <c r="D201" s="549">
        <v>2</v>
      </c>
      <c r="E201" s="695">
        <v>15</v>
      </c>
      <c r="F201" s="563"/>
      <c r="G201" s="695"/>
      <c r="H201" s="686">
        <v>30</v>
      </c>
      <c r="I201" s="563" t="s">
        <v>1432</v>
      </c>
    </row>
    <row r="202" spans="1:9" s="172" customFormat="1" ht="81.75" customHeight="1">
      <c r="A202" s="694">
        <v>45</v>
      </c>
      <c r="B202" s="437" t="s">
        <v>1434</v>
      </c>
      <c r="C202" s="437" t="s">
        <v>1434</v>
      </c>
      <c r="D202" s="549">
        <v>2</v>
      </c>
      <c r="E202" s="695">
        <v>15</v>
      </c>
      <c r="F202" s="563"/>
      <c r="G202" s="695"/>
      <c r="H202" s="686">
        <v>30</v>
      </c>
      <c r="I202" s="563" t="s">
        <v>1432</v>
      </c>
    </row>
    <row r="203" spans="1:9" s="172" customFormat="1" ht="87" customHeight="1">
      <c r="A203" s="694">
        <v>46</v>
      </c>
      <c r="B203" s="437" t="s">
        <v>1435</v>
      </c>
      <c r="C203" s="437" t="s">
        <v>1435</v>
      </c>
      <c r="D203" s="549">
        <v>8</v>
      </c>
      <c r="E203" s="695">
        <v>15</v>
      </c>
      <c r="F203" s="563"/>
      <c r="G203" s="695"/>
      <c r="H203" s="686">
        <v>120</v>
      </c>
      <c r="I203" s="563" t="s">
        <v>1432</v>
      </c>
    </row>
    <row r="204" spans="1:9" s="172" customFormat="1" ht="15">
      <c r="A204" s="670"/>
      <c r="B204" s="670"/>
      <c r="C204" s="437"/>
      <c r="D204" s="549"/>
    </row>
    <row r="205" spans="1:9">
      <c r="E205" s="245"/>
      <c r="F205" s="245"/>
      <c r="G205" s="245"/>
      <c r="H205" s="245"/>
      <c r="I205" s="245"/>
    </row>
    <row r="208" spans="1:9">
      <c r="E208" s="245"/>
      <c r="F208" s="245"/>
      <c r="G208" s="245"/>
      <c r="H208" s="245"/>
      <c r="I208" s="245"/>
    </row>
    <row r="209" spans="5:9">
      <c r="E209" s="245"/>
      <c r="F209" s="245"/>
      <c r="G209" s="245"/>
      <c r="H209" s="245"/>
      <c r="I209" s="245"/>
    </row>
    <row r="210" spans="5:9">
      <c r="E210" s="245"/>
      <c r="F210" s="245"/>
      <c r="G210" s="245"/>
      <c r="H210" s="245"/>
      <c r="I210" s="245"/>
    </row>
    <row r="211" spans="5:9">
      <c r="E211" s="245"/>
      <c r="F211" s="245"/>
      <c r="G211" s="245"/>
      <c r="H211" s="245"/>
      <c r="I211" s="245"/>
    </row>
    <row r="212" spans="5:9">
      <c r="E212" s="245"/>
      <c r="F212" s="245"/>
      <c r="G212" s="245"/>
      <c r="H212" s="245"/>
      <c r="I212" s="245"/>
    </row>
    <row r="213" spans="5:9">
      <c r="E213" s="245"/>
      <c r="F213" s="245"/>
      <c r="G213" s="245"/>
      <c r="H213" s="245"/>
      <c r="I213" s="245"/>
    </row>
    <row r="214" spans="5:9">
      <c r="E214" s="245"/>
      <c r="F214" s="245"/>
      <c r="G214" s="245"/>
      <c r="H214" s="245"/>
      <c r="I214" s="245"/>
    </row>
    <row r="215" spans="5:9">
      <c r="E215" s="245"/>
      <c r="F215" s="245"/>
      <c r="G215" s="245"/>
      <c r="H215" s="245"/>
      <c r="I215" s="245"/>
    </row>
    <row r="216" spans="5:9">
      <c r="E216" s="245"/>
      <c r="F216" s="245"/>
      <c r="G216" s="245"/>
      <c r="H216" s="245"/>
      <c r="I216" s="245"/>
    </row>
    <row r="217" spans="5:9">
      <c r="E217" s="245"/>
      <c r="F217" s="245"/>
      <c r="G217" s="245"/>
      <c r="H217" s="245"/>
      <c r="I217" s="245"/>
    </row>
    <row r="218" spans="5:9">
      <c r="E218" s="245"/>
      <c r="F218" s="245"/>
      <c r="G218" s="245"/>
      <c r="H218" s="245"/>
      <c r="I218" s="245"/>
    </row>
    <row r="219" spans="5:9">
      <c r="E219" s="245"/>
      <c r="F219" s="245"/>
      <c r="G219" s="245"/>
      <c r="H219" s="245"/>
      <c r="I219" s="245"/>
    </row>
    <row r="220" spans="5:9">
      <c r="E220" s="245"/>
      <c r="F220" s="245"/>
      <c r="G220" s="245"/>
      <c r="H220" s="245"/>
      <c r="I220" s="245"/>
    </row>
    <row r="221" spans="5:9">
      <c r="E221" s="245"/>
      <c r="F221" s="245"/>
      <c r="G221" s="245"/>
      <c r="H221" s="245"/>
      <c r="I221" s="245"/>
    </row>
    <row r="222" spans="5:9">
      <c r="E222" s="245"/>
      <c r="F222" s="245"/>
      <c r="G222" s="245"/>
      <c r="H222" s="245"/>
      <c r="I222" s="245"/>
    </row>
    <row r="223" spans="5:9">
      <c r="E223" s="245"/>
      <c r="F223" s="245"/>
      <c r="G223" s="245"/>
      <c r="H223" s="245"/>
      <c r="I223" s="245"/>
    </row>
    <row r="224" spans="5:9">
      <c r="E224" s="245"/>
      <c r="F224" s="245"/>
      <c r="G224" s="245"/>
      <c r="H224" s="245"/>
      <c r="I224" s="245"/>
    </row>
    <row r="225" spans="5:9">
      <c r="E225" s="245"/>
      <c r="F225" s="245"/>
      <c r="G225" s="245"/>
      <c r="H225" s="245"/>
      <c r="I225" s="245"/>
    </row>
    <row r="226" spans="5:9">
      <c r="E226" s="245"/>
      <c r="F226" s="245"/>
      <c r="G226" s="245"/>
      <c r="H226" s="245"/>
      <c r="I226" s="245"/>
    </row>
    <row r="227" spans="5:9">
      <c r="E227" s="245"/>
      <c r="F227" s="245"/>
      <c r="G227" s="245"/>
      <c r="H227" s="245"/>
      <c r="I227" s="245"/>
    </row>
    <row r="228" spans="5:9">
      <c r="E228" s="245"/>
      <c r="F228" s="245"/>
      <c r="G228" s="245"/>
      <c r="H228" s="245"/>
      <c r="I228" s="245"/>
    </row>
    <row r="229" spans="5:9">
      <c r="E229" s="245"/>
      <c r="F229" s="245"/>
      <c r="G229" s="245"/>
      <c r="H229" s="245"/>
      <c r="I229" s="245"/>
    </row>
    <row r="230" spans="5:9">
      <c r="E230" s="245"/>
      <c r="F230" s="245"/>
      <c r="G230" s="245"/>
      <c r="H230" s="245"/>
      <c r="I230" s="245"/>
    </row>
    <row r="231" spans="5:9">
      <c r="E231" s="245"/>
      <c r="F231" s="245"/>
      <c r="G231" s="245"/>
      <c r="H231" s="245"/>
      <c r="I231" s="245"/>
    </row>
    <row r="232" spans="5:9">
      <c r="E232" s="245"/>
      <c r="F232" s="245"/>
      <c r="G232" s="245"/>
      <c r="H232" s="245"/>
      <c r="I232" s="245"/>
    </row>
    <row r="233" spans="5:9">
      <c r="E233" s="245"/>
      <c r="F233" s="245"/>
      <c r="G233" s="245"/>
      <c r="H233" s="245"/>
      <c r="I233" s="245"/>
    </row>
    <row r="234" spans="5:9">
      <c r="E234" s="245"/>
      <c r="F234" s="245"/>
      <c r="G234" s="245"/>
      <c r="H234" s="245"/>
      <c r="I234" s="245"/>
    </row>
    <row r="235" spans="5:9">
      <c r="E235" s="245"/>
      <c r="F235" s="245"/>
      <c r="G235" s="245"/>
      <c r="H235" s="245"/>
      <c r="I235" s="245"/>
    </row>
    <row r="236" spans="5:9">
      <c r="E236" s="245"/>
      <c r="F236" s="245"/>
      <c r="G236" s="245"/>
      <c r="H236" s="245"/>
      <c r="I236" s="245"/>
    </row>
  </sheetData>
  <mergeCells count="4">
    <mergeCell ref="A1:I1"/>
    <mergeCell ref="A2:C2"/>
    <mergeCell ref="B3:I3"/>
    <mergeCell ref="D5:I5"/>
  </mergeCells>
  <pageMargins left="1" right="0.5" top="0.56000000000000005" bottom="0.44" header="0.3" footer="0.2"/>
  <pageSetup paperSize="9" scale="83" fitToHeight="15" orientation="portrait" r:id="rId1"/>
  <headerFooter alignWithMargins="0">
    <oddFooter>&amp;L&amp;8\\ps1 &amp;F</oddFooter>
  </headerFooter>
  <rowBreaks count="1" manualBreakCount="1">
    <brk id="8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6</vt:i4>
      </vt:variant>
    </vt:vector>
  </HeadingPairs>
  <TitlesOfParts>
    <vt:vector size="52" baseType="lpstr">
      <vt:lpstr>INDEX</vt:lpstr>
      <vt:lpstr>INSERT- HYDRAULICS</vt:lpstr>
      <vt:lpstr>afflux calculation</vt:lpstr>
      <vt:lpstr>HYDRAULICS</vt:lpstr>
      <vt:lpstr>Deck Anchorage</vt:lpstr>
      <vt:lpstr>CROSS SECTION</vt:lpstr>
      <vt:lpstr>Bed Slope</vt:lpstr>
      <vt:lpstr>SBC</vt:lpstr>
      <vt:lpstr>STABILITY CHECK FOR PIER</vt:lpstr>
      <vt:lpstr>abstract of stresses</vt:lpstr>
      <vt:lpstr>STEEL IN FLARED  PIER BASE </vt:lpstr>
      <vt:lpstr>STEEL IN PIER</vt:lpstr>
      <vt:lpstr>FOOTING DESIGN</vt:lpstr>
      <vt:lpstr>Footing STRESS DIAGRAM</vt:lpstr>
      <vt:lpstr>Pier Cap LL tracked vehicle</vt:lpstr>
      <vt:lpstr>Pier Cap</vt:lpstr>
      <vt:lpstr>LLOAD</vt:lpstr>
      <vt:lpstr>loadsumm </vt:lpstr>
      <vt:lpstr>LL-ABSTRACT</vt:lpstr>
      <vt:lpstr>TYPE1-AbutMENT Drawing</vt:lpstr>
      <vt:lpstr>TYPE1-STABILITY CHECK ABUTMENT</vt:lpstr>
      <vt:lpstr>TYPE1-ABUTMENT FOOTING DESIGN</vt:lpstr>
      <vt:lpstr>TYPE1- Abut Footing STRESS</vt:lpstr>
      <vt:lpstr>TYPE1-STEEL IN ABUTMENT</vt:lpstr>
      <vt:lpstr>TYPE1-Abutment Cap</vt:lpstr>
      <vt:lpstr>TYPE1-DIRT WALL REINFORCEMENT</vt:lpstr>
      <vt:lpstr>TYPE1-DIRT DirectLoad_BM</vt:lpstr>
      <vt:lpstr>TYPE1-DIRT LL_BM</vt:lpstr>
      <vt:lpstr>TechNote</vt:lpstr>
      <vt:lpstr>INSERT C1-ABUT</vt:lpstr>
      <vt:lpstr>C1-AbutMENT Drawing</vt:lpstr>
      <vt:lpstr>C1-STABILITY CHECK ABUTMENT</vt:lpstr>
      <vt:lpstr>C1-ABUTMENT FOOTING DESIGN</vt:lpstr>
      <vt:lpstr>C1-Abut Footing STRESS DIAGRAM</vt:lpstr>
      <vt:lpstr>CAN-RETURN FOOTING DESIGN</vt:lpstr>
      <vt:lpstr>STEEL IN CANT-ABUTMENT</vt:lpstr>
      <vt:lpstr>STEEL IN CANT-RETURNS</vt:lpstr>
      <vt:lpstr>C1-Abutment Cap</vt:lpstr>
      <vt:lpstr>C1-DIRT WALL REINFORCEMENT</vt:lpstr>
      <vt:lpstr>C1-DIRT DirectLoad_BM</vt:lpstr>
      <vt:lpstr>C1-DIRT LL_BM</vt:lpstr>
      <vt:lpstr>INSERT ESTIMATE</vt:lpstr>
      <vt:lpstr>Tech Report</vt:lpstr>
      <vt:lpstr>General Abs. </vt:lpstr>
      <vt:lpstr>Abstract</vt:lpstr>
      <vt:lpstr>Bridge measurements</vt:lpstr>
      <vt:lpstr>LLOAD!load</vt:lpstr>
      <vt:lpstr>LLOAD!load1</vt:lpstr>
      <vt:lpstr>'afflux calculation'!OLE_LINK1</vt:lpstr>
      <vt:lpstr>HYDRAULICS!Print_Titles</vt:lpstr>
      <vt:lpstr>LLOAD!span</vt:lpstr>
      <vt:lpstr>LLOAD!two_span_length</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solution</dc:creator>
  <cp:lastModifiedBy>Rajkumar</cp:lastModifiedBy>
  <cp:lastPrinted>2022-04-26T18:03:31Z</cp:lastPrinted>
  <dcterms:created xsi:type="dcterms:W3CDTF">2005-05-13T01:57:30Z</dcterms:created>
  <dcterms:modified xsi:type="dcterms:W3CDTF">2025-11-24T14:02:11Z</dcterms:modified>
</cp:coreProperties>
</file>