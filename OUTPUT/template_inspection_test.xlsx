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theme" Target="theme/theme1.xml"/><Relationship Id="rId48" Type="http://schemas.openxmlformats.org/officeDocument/2006/relationships/styles" Target="styles.xml"/><Relationship Id="rId4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sheetData>
    <row r="4">
      <c r="A4" t="str">
        <v>DESIGN OF SUBMERSIBLE SKEW BRIDGE ACROSS BEDACH RIVER</v>
      </c>
    </row>
    <row r="5">
      <c r="A5" t="str">
        <v xml:space="preserve"> </v>
      </c>
    </row>
    <row r="6">
      <c r="A6" t="str">
        <v>INDEX</v>
      </c>
    </row>
    <row r="8">
      <c r="A8" t="str">
        <v>S.No</v>
      </c>
      <c r="B8" t="str">
        <v>Particulars</v>
      </c>
      <c r="C8" t="str">
        <v>Page</v>
      </c>
    </row>
    <row r="9">
      <c r="A9">
        <v>1</v>
      </c>
      <c r="B9" t="str">
        <v>Preamble</v>
      </c>
    </row>
    <row r="10">
      <c r="A10">
        <v>2</v>
      </c>
      <c r="B10" t="str">
        <v>Hydraulic Design</v>
      </c>
    </row>
    <row r="11">
      <c r="A11">
        <v>3</v>
      </c>
      <c r="B11" t="str">
        <v>Stability Check for Pier in Different Load Cases</v>
      </c>
    </row>
    <row r="12">
      <c r="A12">
        <v>4</v>
      </c>
      <c r="B12" t="str">
        <v>Computation of Reinforcement in Pier</v>
      </c>
    </row>
    <row r="13">
      <c r="A13">
        <v>5</v>
      </c>
      <c r="B13" t="str">
        <v>Design of Pier Footing</v>
      </c>
    </row>
    <row r="14">
      <c r="A14">
        <v>6</v>
      </c>
      <c r="B14" t="str">
        <v>Design of Pier Footing Cap</v>
      </c>
    </row>
    <row r="15">
      <c r="A15">
        <v>7</v>
      </c>
      <c r="B15" t="str">
        <v>Stability Check for Abutment in Different Load Cases</v>
      </c>
    </row>
    <row r="16">
      <c r="A16">
        <v>8</v>
      </c>
      <c r="B16" t="str">
        <v>Design of Abutment Footing</v>
      </c>
    </row>
    <row r="17">
      <c r="A17">
        <v>9</v>
      </c>
      <c r="B17" t="str">
        <v>Cross Sections &amp; L Section of the River</v>
      </c>
    </row>
    <row r="18">
      <c r="A18">
        <v>10</v>
      </c>
      <c r="B18" t="str">
        <v>Geotechnical Investigation Report</v>
      </c>
    </row>
    <row r="19">
      <c r="A19">
        <v>11</v>
      </c>
      <c r="B19" t="str">
        <v>General Arrangement Drawing</v>
      </c>
    </row>
    <row r="20">
      <c r="A20">
        <v>12</v>
      </c>
      <c r="B20" t="str">
        <v>Details of Pier Complete Drawing</v>
      </c>
    </row>
    <row r="21">
      <c r="A21">
        <v>13</v>
      </c>
      <c r="B21" t="str">
        <v>Pier Reinforcement Details</v>
      </c>
    </row>
    <row r="22">
      <c r="A22">
        <v>14</v>
      </c>
      <c r="B22" t="str">
        <v>Details of Bottom Anchorage of Pier</v>
      </c>
    </row>
    <row r="23">
      <c r="A23">
        <v>15</v>
      </c>
      <c r="B23" t="str">
        <v>Details of Reinforcement in Pier cap</v>
      </c>
    </row>
    <row r="24">
      <c r="A24">
        <v>16</v>
      </c>
      <c r="B24" t="str">
        <v>Deck Slab Anchorage Detail</v>
      </c>
    </row>
    <row r="25">
      <c r="A25">
        <v>17</v>
      </c>
      <c r="B25" t="str">
        <v>Details of Abutment Complete Drawing</v>
      </c>
    </row>
    <row r="26">
      <c r="A26">
        <v>18</v>
      </c>
      <c r="B26" t="str">
        <v>Details of Approach Slab</v>
      </c>
    </row>
    <row r="27">
      <c r="A27">
        <v>19</v>
      </c>
      <c r="B27" t="str">
        <v>Detailed Progress Report</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sheetData>
    <row r="1" xml:space="preserve">
      <c r="A1" t="str" xml:space="preserve">
        <v xml:space="preserve">DESIGN OF SUBMERSIBLE BRIDGE _x000d_
</v>
      </c>
    </row>
    <row r="2">
      <c r="A2" t="str">
        <v>Name Of Work :- Construction of Submersible Bridge on ON KHERWARA - JAWAS - SUVERI ROAD IN KM 9/000, ACROSS RIVER SOM</v>
      </c>
    </row>
    <row r="3">
      <c r="A3" t="str">
        <v>Hydraulic Calculation</v>
      </c>
    </row>
    <row r="4">
      <c r="A4" t="str">
        <v>Computation of Discharge</v>
      </c>
      <c r="C4">
        <v>1</v>
      </c>
      <c r="D4" t="str">
        <v>Flood calculation by Area Velocity Method (As per Article- 5 of IRC SP-13)</v>
      </c>
    </row>
    <row r="5">
      <c r="A5" t="str">
        <v>Q</v>
      </c>
      <c r="B5" t="str">
        <v>=</v>
      </c>
      <c r="C5" t="str">
        <v xml:space="preserve">A x V </v>
      </c>
      <c r="F5" t="str">
        <v>Where</v>
      </c>
    </row>
    <row r="6">
      <c r="A6" t="str">
        <v>A</v>
      </c>
      <c r="B6" t="str">
        <v>=</v>
      </c>
      <c r="C6">
        <f>HYDRAULICS!$C$29</f>
        <v>490.3000000000011</v>
      </c>
      <c r="D6" t="str">
        <v xml:space="preserve">m2 </v>
      </c>
      <c r="G6" t="str">
        <v>A =</v>
      </c>
      <c r="H6" t="str">
        <v>Cross sectional area in m2</v>
      </c>
    </row>
    <row r="7">
      <c r="A7" t="str">
        <v>P</v>
      </c>
      <c r="B7" t="str">
        <v>=</v>
      </c>
      <c r="C7">
        <f>HYDRAULICS!$C$30</f>
        <v>190.70731489786334</v>
      </c>
      <c r="D7" t="str">
        <v xml:space="preserve"> m</v>
      </c>
      <c r="G7" t="str">
        <v xml:space="preserve">P = </v>
      </c>
      <c r="H7" t="str">
        <v>Perimeter calculated in m</v>
      </c>
    </row>
    <row r="8">
      <c r="A8" t="str">
        <v>S</v>
      </c>
      <c r="B8" t="str">
        <v>=</v>
      </c>
      <c r="C8">
        <v>1</v>
      </c>
      <c r="D8" t="str">
        <v>IN</v>
      </c>
      <c r="E8">
        <f>HYDRAULICS!$C$33</f>
        <v>960</v>
      </c>
      <c r="G8" t="str">
        <v>S =</v>
      </c>
      <c r="H8" t="str">
        <v xml:space="preserve">Slope as per drain LS taken at </v>
      </c>
    </row>
    <row r="9">
      <c r="H9" t="str">
        <v>Proposal site</v>
      </c>
    </row>
    <row r="10">
      <c r="A10" t="str">
        <v>n</v>
      </c>
      <c r="B10" t="str">
        <v>=</v>
      </c>
      <c r="C10">
        <f>HYDRAULICS!$C$32</f>
        <v>0.033</v>
      </c>
      <c r="G10" t="str">
        <v xml:space="preserve">n = </v>
      </c>
      <c r="H10" t="str">
        <v xml:space="preserve">Rugosity coefficient </v>
      </c>
    </row>
    <row r="11">
      <c r="H11" t="str">
        <v>(As per IRC SP-13)</v>
      </c>
    </row>
    <row r="12">
      <c r="A12" t="str">
        <v>V</v>
      </c>
      <c r="B12" t="str">
        <v>=</v>
      </c>
      <c r="C12" t="str">
        <v>I/nx (A/P) 2/3   x(S) 1/2</v>
      </c>
      <c r="G12" t="str">
        <v>V =</v>
      </c>
      <c r="H12" t="str">
        <v>Velocity in m/sec.</v>
      </c>
    </row>
    <row r="13">
      <c r="A13" t="str">
        <v xml:space="preserve">  </v>
      </c>
      <c r="B13" t="str">
        <v>=</v>
      </c>
      <c r="C13">
        <f>ROUNDUP(1/C10*((C6/C7)^(2/3)*(1/E8)^0.5),2)</f>
        <v>1.84</v>
      </c>
      <c r="D13" t="str">
        <v>m/sec.</v>
      </c>
    </row>
    <row r="14">
      <c r="A14" t="str">
        <v>Q</v>
      </c>
      <c r="B14" t="str">
        <v>=</v>
      </c>
      <c r="C14">
        <f>ROUND(C6*C13,2)</f>
        <v>902.15</v>
      </c>
      <c r="D14" t="str">
        <v>Cumecs</v>
      </c>
    </row>
    <row r="15">
      <c r="A15" t="str">
        <v>Linear Water Way Calculation</v>
      </c>
    </row>
    <row r="16">
      <c r="A16" t="str">
        <v>Regime Surface width of the stream is given by :-</v>
      </c>
      <c r="C16" t="str">
        <v>L</v>
      </c>
      <c r="D16" t="str">
        <v xml:space="preserve"> = </v>
      </c>
      <c r="E16" t="str">
        <v>4.8 (Q)1/2</v>
      </c>
    </row>
    <row r="17">
      <c r="B17" t="str">
        <v>=</v>
      </c>
      <c r="C17">
        <f>ROUNDUP(4.8*(C14)^0.5,2)</f>
        <v>144.17999999999998</v>
      </c>
      <c r="D17" t="str">
        <v>m</v>
      </c>
    </row>
    <row r="18">
      <c r="A18" t="str">
        <v xml:space="preserve">Looking to the built up Urban area constraints adopt </v>
      </c>
      <c r="C18">
        <v>12</v>
      </c>
      <c r="D18" t="str">
        <v xml:space="preserve">Spans of </v>
      </c>
      <c r="F18">
        <v>8</v>
      </c>
      <c r="G18" t="str">
        <v>M each.</v>
      </c>
    </row>
    <row r="19">
      <c r="A19" t="str">
        <v>This will cause contraction and afflux. Calculation is done for the same to fix deck level.</v>
      </c>
    </row>
    <row r="20">
      <c r="A20" t="str">
        <v>Effective linear water way proposed =</v>
      </c>
      <c r="B20">
        <f>C18</f>
        <v>12</v>
      </c>
      <c r="C20" t="str">
        <v>x</v>
      </c>
      <c r="D20">
        <f>F18</f>
        <v>8</v>
      </c>
      <c r="E20" t="str">
        <v>=</v>
      </c>
      <c r="F20">
        <f>B20*D20</f>
        <v>96</v>
      </c>
      <c r="G20" t="str">
        <v>M</v>
      </c>
    </row>
    <row r="21">
      <c r="E21" t="str">
        <v>Total</v>
      </c>
      <c r="F21">
        <f>SUM(F20:F20)</f>
        <v>96</v>
      </c>
      <c r="G21" t="str">
        <v>M</v>
      </c>
    </row>
    <row r="22">
      <c r="A22" t="str">
        <v>Scour Depth Calculation</v>
      </c>
    </row>
    <row r="23">
      <c r="A23" t="str">
        <v>(As per  clause no. 703.2.2.1 of IRC : 78.1983)</v>
      </c>
    </row>
    <row r="24">
      <c r="A24" t="str">
        <v>dsm =</v>
      </c>
      <c r="B24" t="str">
        <v>1.34x (Db2 /Ksf)  1/3</v>
      </c>
      <c r="F24" t="str">
        <v>Where</v>
      </c>
    </row>
    <row r="25">
      <c r="E25" t="str">
        <v>Db</v>
      </c>
      <c r="F25" t="str">
        <v>=</v>
      </c>
      <c r="G25" t="str">
        <v>The discharge in Cumecs per meter width</v>
      </c>
    </row>
    <row r="26">
      <c r="E26" t="str">
        <v>Ksf</v>
      </c>
      <c r="F26" t="str">
        <v>=</v>
      </c>
      <c r="G26" t="str">
        <v>the silt factor</v>
      </c>
    </row>
    <row r="27">
      <c r="E27" t="str">
        <v xml:space="preserve"> </v>
      </c>
      <c r="F27" t="str">
        <v>=</v>
      </c>
      <c r="G27">
        <v>1.5</v>
      </c>
    </row>
    <row r="28">
      <c r="A28" t="str">
        <v>Effective linear waterway</v>
      </c>
      <c r="B28" t="str">
        <v>=</v>
      </c>
      <c r="C28" t="str">
        <v>Width of waterway   - Obstructed width of piper</v>
      </c>
    </row>
    <row r="29">
      <c r="A29" t="str">
        <v>=</v>
      </c>
      <c r="B29">
        <f>C18*F18-1.2</f>
        <v>94.8</v>
      </c>
      <c r="C29" t="str">
        <v>- (</v>
      </c>
      <c r="D29">
        <f>B20-1</f>
        <v>11</v>
      </c>
      <c r="E29" t="str">
        <v>x</v>
      </c>
      <c r="F29">
        <v>1.2</v>
      </c>
      <c r="G29" t="str">
        <v>)</v>
      </c>
    </row>
    <row r="30">
      <c r="A30" t="str">
        <v>=</v>
      </c>
      <c r="B30">
        <f>B29-(D29*F29)</f>
        <v>81.6</v>
      </c>
      <c r="C30" t="str">
        <v>m</v>
      </c>
    </row>
    <row r="31">
      <c r="A31" t="str">
        <v>Db</v>
      </c>
      <c r="B31" t="str">
        <v xml:space="preserve">=    </v>
      </c>
      <c r="C31">
        <f>ROUND(C14,2)</f>
        <v>902.15</v>
      </c>
      <c r="D31" t="str">
        <v>/</v>
      </c>
      <c r="E31">
        <f>B30</f>
        <v>81.6</v>
      </c>
    </row>
    <row r="32">
      <c r="B32" t="str">
        <v>=</v>
      </c>
      <c r="C32">
        <f>ROUNDUP(C31/E31,2)</f>
        <v>11.06</v>
      </c>
      <c r="D32" t="str">
        <v>Cumecs per metre width</v>
      </c>
    </row>
    <row r="33">
      <c r="A33" t="str">
        <v>dsm =</v>
      </c>
      <c r="B33">
        <f>ROUNDUP(1.34* (C32^2 /G27)^(1/3),2)</f>
        <v>5.819999999999999</v>
      </c>
      <c r="C33" t="str">
        <v>m</v>
      </c>
    </row>
    <row r="34">
      <c r="A34" t="str">
        <v>As per Clause No. 703-2-3-1 of IRC 78-1983 considering Scour at the pier two times of calculated scour depth below the highest flood level. But hard rock is available in foundation so the foundation will be anchored in the rock as per IRC guidelines.</v>
      </c>
    </row>
    <row r="35">
      <c r="A35" t="str">
        <v>Afflux Calculation</v>
      </c>
    </row>
    <row r="36">
      <c r="A36" t="str">
        <v xml:space="preserve">As per IS: 7784 (Part -I) 1975 </v>
      </c>
    </row>
    <row r="37">
      <c r="A37" t="str">
        <v>Molesworth Formula for Afflux</v>
      </c>
    </row>
    <row r="38">
      <c r="A38" t="str">
        <v>Afflux h =</v>
      </c>
      <c r="B38" t="str">
        <v>((V2/17.85) +0.0152)x(A2/a2-1)</v>
      </c>
    </row>
    <row r="39">
      <c r="A39" t="str">
        <v>Where,</v>
      </c>
    </row>
    <row r="40">
      <c r="A40" t="str">
        <v>h</v>
      </c>
      <c r="B40" t="str">
        <v>=</v>
      </c>
      <c r="C40" t="str">
        <v>afflux in m,</v>
      </c>
    </row>
    <row r="41">
      <c r="A41" t="str">
        <v>v</v>
      </c>
      <c r="B41" t="str">
        <v>=</v>
      </c>
      <c r="C41" t="str">
        <v>Velocity in the unobstructed stream in m/s,</v>
      </c>
    </row>
    <row r="42">
      <c r="A42" t="str">
        <v>A</v>
      </c>
      <c r="B42" t="str">
        <v>=</v>
      </c>
      <c r="C42" t="str">
        <v>the unobstructed sectional area of the river in m2</v>
      </c>
    </row>
    <row r="43">
      <c r="A43" t="str">
        <v>a</v>
      </c>
      <c r="B43" t="str">
        <v>=</v>
      </c>
      <c r="C43" t="str">
        <v>the obstructed sectional area of the river at the cross drainage work in m2.</v>
      </c>
    </row>
    <row r="44">
      <c r="A44" t="str">
        <v>As per Annexure- 1</v>
      </c>
    </row>
    <row r="45">
      <c r="A45" t="str">
        <v>Unobstructed Area of Flow after Bridge Construction =</v>
      </c>
      <c r="C45">
        <f>B52</f>
        <v>94.8</v>
      </c>
      <c r="D45" t="str">
        <v>x</v>
      </c>
      <c r="E45">
        <f>B50-B59</f>
        <v>5</v>
      </c>
      <c r="F45" t="str">
        <v>=</v>
      </c>
      <c r="G45">
        <f>C45*E45</f>
        <v>474</v>
      </c>
      <c r="H45" t="str">
        <v xml:space="preserve">m2 </v>
      </c>
    </row>
    <row r="46">
      <c r="A46" t="str">
        <v>A</v>
      </c>
      <c r="B46" t="str">
        <v>=</v>
      </c>
      <c r="C46">
        <f>'CROSS SECTION'!F27</f>
        <v>490.3000000000011</v>
      </c>
      <c r="D46" t="str">
        <v xml:space="preserve">m2 </v>
      </c>
    </row>
    <row r="47">
      <c r="A47" t="str">
        <v>V</v>
      </c>
      <c r="B47" t="str">
        <v>=</v>
      </c>
      <c r="C47">
        <f>C13</f>
        <v>1.84</v>
      </c>
      <c r="D47" t="str">
        <v>m/sec.</v>
      </c>
    </row>
    <row r="48">
      <c r="A48" t="str">
        <v>Computation of Area obstructed by  Deck Slab</v>
      </c>
    </row>
    <row r="49">
      <c r="A49" t="str">
        <v xml:space="preserve">HFL : </v>
      </c>
      <c r="B49">
        <f>HYDRAULICS!$F$4</f>
        <v>100.6</v>
      </c>
      <c r="C49" t="str">
        <v>m</v>
      </c>
    </row>
    <row r="50">
      <c r="A50" t="str">
        <v xml:space="preserve">Top Level of Deck slab : </v>
      </c>
      <c r="B50">
        <f>HYDRAULICS!E40</f>
        <v>101.6</v>
      </c>
      <c r="C50" t="str">
        <v>m</v>
      </c>
    </row>
    <row r="51">
      <c r="A51" t="str">
        <v>Thickness of Slab and Wearing Coat</v>
      </c>
      <c r="B51">
        <v>0.83</v>
      </c>
      <c r="C51" t="str">
        <v>m</v>
      </c>
    </row>
    <row r="52">
      <c r="A52" t="str">
        <v>Length Of Slab</v>
      </c>
      <c r="B52">
        <f>B29</f>
        <v>94.8</v>
      </c>
      <c r="C52" t="str">
        <v>m</v>
      </c>
    </row>
    <row r="53">
      <c r="A53" t="str">
        <v>Height of Obstruction</v>
      </c>
      <c r="B53">
        <f>B51</f>
        <v>0.83</v>
      </c>
      <c r="C53" t="str">
        <v>m</v>
      </c>
    </row>
    <row r="54">
      <c r="A54" t="str">
        <v>Area obstructed by deck slab</v>
      </c>
      <c r="B54">
        <f>B52</f>
        <v>94.8</v>
      </c>
      <c r="C54" t="str">
        <v>x</v>
      </c>
      <c r="D54">
        <f>B53</f>
        <v>0.83</v>
      </c>
    </row>
    <row r="55">
      <c r="B55" t="str">
        <v>=</v>
      </c>
      <c r="C55">
        <f>B54*D54</f>
        <v>78.684</v>
      </c>
      <c r="D55" t="str">
        <v xml:space="preserve">m2 </v>
      </c>
    </row>
    <row r="56">
      <c r="A56" t="str">
        <v>Computation of Area obstructed by  Piers</v>
      </c>
    </row>
    <row r="57">
      <c r="A57" t="str">
        <v xml:space="preserve">HFL : </v>
      </c>
      <c r="B57">
        <f>HYDRAULICS!$F$4</f>
        <v>100.6</v>
      </c>
      <c r="C57" t="str">
        <v>m</v>
      </c>
    </row>
    <row r="58">
      <c r="A58" t="str">
        <v xml:space="preserve">Soffit of Deck slab : </v>
      </c>
      <c r="B58">
        <f>B50-B51</f>
        <v>100.77</v>
      </c>
      <c r="C58" t="str">
        <v>m</v>
      </c>
    </row>
    <row r="59">
      <c r="A59" t="str">
        <v xml:space="preserve">Average river bed level  = </v>
      </c>
      <c r="B59">
        <f>HYDRAULICS!E41</f>
        <v>96.6</v>
      </c>
      <c r="C59" t="str">
        <v>m</v>
      </c>
    </row>
    <row r="60">
      <c r="A60" t="str">
        <v xml:space="preserve">Nos. of pier </v>
      </c>
      <c r="B60" t="str">
        <v>=</v>
      </c>
      <c r="C60">
        <f>D29</f>
        <v>11</v>
      </c>
    </row>
    <row r="61">
      <c r="A61" t="str">
        <v>Height of Obstruction</v>
      </c>
      <c r="B61">
        <f>B57</f>
        <v>100.6</v>
      </c>
      <c r="C61" t="str">
        <v>-</v>
      </c>
      <c r="D61">
        <f>B59</f>
        <v>96.6</v>
      </c>
      <c r="E61" t="str">
        <v>=</v>
      </c>
      <c r="F61">
        <f>B61-D61</f>
        <v>4</v>
      </c>
      <c r="G61" t="str">
        <v>m</v>
      </c>
    </row>
    <row r="62">
      <c r="A62" t="str">
        <v xml:space="preserve">Area obstructed by one pier  :  = </v>
      </c>
      <c r="B62">
        <f>F29</f>
        <v>1.2</v>
      </c>
      <c r="C62" t="str">
        <v>x</v>
      </c>
      <c r="D62">
        <f>F61</f>
        <v>4</v>
      </c>
    </row>
    <row r="63">
      <c r="B63" t="str">
        <v>=</v>
      </c>
      <c r="C63">
        <f>B62*D62</f>
        <v>4.8</v>
      </c>
      <c r="D63" t="str">
        <v xml:space="preserve">m2 </v>
      </c>
    </row>
    <row r="64">
      <c r="A64" t="str">
        <f>CONCATENATE("For ",C60," Nos. of piers = ")</f>
        <v xml:space="preserve">For 11 Nos. of piers = </v>
      </c>
      <c r="B64">
        <f>C60</f>
        <v>11</v>
      </c>
      <c r="C64" t="str">
        <v>x</v>
      </c>
      <c r="D64">
        <f>C63</f>
        <v>4.8</v>
      </c>
    </row>
    <row r="65">
      <c r="A65" t="str">
        <v>A1</v>
      </c>
      <c r="B65" t="str">
        <v>=</v>
      </c>
      <c r="C65">
        <f>B64*D64</f>
        <v>52.8</v>
      </c>
      <c r="D65" t="str">
        <v xml:space="preserve">m2 </v>
      </c>
    </row>
    <row r="66">
      <c r="A66" t="str">
        <v>Computation of Area obstructed by  Abutments</v>
      </c>
    </row>
    <row r="67">
      <c r="A67" t="str">
        <v xml:space="preserve">Average ground level  = </v>
      </c>
      <c r="B67">
        <f>B59</f>
        <v>96.6</v>
      </c>
      <c r="C67" t="str">
        <v>m</v>
      </c>
    </row>
    <row r="68">
      <c r="A68" t="str">
        <v>Height of Obstruction</v>
      </c>
      <c r="B68">
        <f>B57</f>
        <v>100.6</v>
      </c>
      <c r="C68" t="str">
        <v>=</v>
      </c>
      <c r="D68">
        <f>B67</f>
        <v>96.6</v>
      </c>
      <c r="E68" t="str">
        <v>=</v>
      </c>
      <c r="F68">
        <f>B68-D68</f>
        <v>4</v>
      </c>
      <c r="G68" t="str">
        <v>m</v>
      </c>
    </row>
    <row r="69">
      <c r="A69" t="str">
        <v xml:space="preserve">Area obstructed by one Abutment  : A2 = </v>
      </c>
      <c r="B69" t="str">
        <v xml:space="preserve">(0.40+0.75)/2 </v>
      </c>
      <c r="C69" t="str">
        <v>x</v>
      </c>
      <c r="D69">
        <f>F68</f>
        <v>4</v>
      </c>
    </row>
    <row r="70">
      <c r="B70" t="str">
        <v>=</v>
      </c>
      <c r="C70">
        <f>(0.4+0.75)/2*D69</f>
        <v>2.3</v>
      </c>
      <c r="D70" t="str">
        <v xml:space="preserve">m2 </v>
      </c>
    </row>
    <row r="71">
      <c r="A71" t="str">
        <v xml:space="preserve">For two Abutments = </v>
      </c>
      <c r="B71">
        <v>2</v>
      </c>
      <c r="C71" t="str">
        <v>x</v>
      </c>
      <c r="D71">
        <f>C70</f>
        <v>2.3</v>
      </c>
    </row>
    <row r="72">
      <c r="B72" t="str">
        <v>=</v>
      </c>
      <c r="C72">
        <f>B71*D71</f>
        <v>4.6</v>
      </c>
      <c r="D72" t="str">
        <v xml:space="preserve">m2 </v>
      </c>
    </row>
    <row r="73">
      <c r="A73" t="str">
        <v xml:space="preserve">Total area of obstruction due to slab, piers and abutments A </v>
      </c>
      <c r="B73" t="str">
        <v xml:space="preserve">= </v>
      </c>
      <c r="C73" t="str">
        <v>A0 +A1 + A2</v>
      </c>
    </row>
    <row r="74">
      <c r="B74" t="str">
        <v>=</v>
      </c>
      <c r="C74">
        <f>C55</f>
        <v>78.684</v>
      </c>
      <c r="D74" t="str">
        <v>+</v>
      </c>
      <c r="E74">
        <f>C65</f>
        <v>52.8</v>
      </c>
      <c r="F74" t="str">
        <v>+</v>
      </c>
      <c r="G74">
        <f>C72</f>
        <v>4.6</v>
      </c>
    </row>
    <row r="75">
      <c r="B75" t="str">
        <v>=</v>
      </c>
      <c r="C75">
        <f>C74+E74+G74</f>
        <v>136.08399999999997</v>
      </c>
      <c r="D75" t="str">
        <v xml:space="preserve">m2 </v>
      </c>
    </row>
    <row r="76">
      <c r="A76" t="str">
        <v>Actual Area of flow a =</v>
      </c>
      <c r="B76">
        <f>G45</f>
        <v>474</v>
      </c>
      <c r="C76" t="str">
        <v>-</v>
      </c>
      <c r="D76">
        <f>C75</f>
        <v>136.08399999999997</v>
      </c>
    </row>
    <row r="77">
      <c r="B77" t="str">
        <v>=</v>
      </c>
      <c r="C77">
        <f>B76-D76</f>
        <v>337.91600000000005</v>
      </c>
      <c r="D77" t="str">
        <v xml:space="preserve">m2 </v>
      </c>
    </row>
    <row r="78">
      <c r="A78" t="str">
        <v>Afflux h =</v>
      </c>
      <c r="B78">
        <f>ROUNDUP(((C13^2/17.85)+0.0152)*((C46/C77)^2-1),2)</f>
        <v>0.23</v>
      </c>
      <c r="C78" t="str">
        <v>m</v>
      </c>
    </row>
    <row r="79">
      <c r="A79" t="str">
        <v>Afflux flood level =</v>
      </c>
      <c r="B79">
        <f>B57</f>
        <v>100.6</v>
      </c>
      <c r="C79" t="str">
        <v>+</v>
      </c>
      <c r="D79">
        <f>B78</f>
        <v>0.23</v>
      </c>
      <c r="E79" t="str">
        <v>=</v>
      </c>
      <c r="F79">
        <f>B79+D79</f>
        <v>100.83</v>
      </c>
      <c r="G79" t="str">
        <v>m</v>
      </c>
    </row>
    <row r="80">
      <c r="A80" t="str">
        <v xml:space="preserve"> Obstructed Velocity</v>
      </c>
      <c r="B80" t="str">
        <v>V</v>
      </c>
      <c r="C80" t="str">
        <v>=</v>
      </c>
      <c r="D80" t="str">
        <v>Q/a</v>
      </c>
      <c r="E80" t="str">
        <f>C76</f>
        <v>-</v>
      </c>
    </row>
    <row r="81">
      <c r="A81" t="str">
        <v xml:space="preserve"> Obstructed Velocity</v>
      </c>
      <c r="B81" t="str">
        <v>=</v>
      </c>
      <c r="C81">
        <f>C14</f>
        <v>902.15</v>
      </c>
      <c r="D81" t="str">
        <v>/</v>
      </c>
      <c r="E81">
        <f>C77</f>
        <v>337.91600000000005</v>
      </c>
    </row>
    <row r="82">
      <c r="B82" t="str">
        <v>=</v>
      </c>
      <c r="C82">
        <f>ROUNDUP(C81/E81,2)</f>
        <v>2.67</v>
      </c>
      <c r="D82" t="str">
        <v>m/sec</v>
      </c>
    </row>
    <row r="83">
      <c r="A83" t="str">
        <v xml:space="preserve">However we consider design velocity </v>
      </c>
      <c r="B83">
        <f>C82</f>
        <v>2.67</v>
      </c>
      <c r="C83" t="str">
        <v xml:space="preserve">m/sec. </v>
      </c>
    </row>
    <row r="84">
      <c r="A84" t="str">
        <v xml:space="preserve">Afflux flood level </v>
      </c>
      <c r="B84" t="str">
        <v>=</v>
      </c>
      <c r="C84">
        <f>F79</f>
        <v>100.83</v>
      </c>
      <c r="D84" t="str">
        <v>M</v>
      </c>
    </row>
    <row r="85">
      <c r="A85" t="str">
        <v>Top of deck slab</v>
      </c>
      <c r="B85" t="str">
        <v>=</v>
      </c>
      <c r="C85">
        <f>B50</f>
        <v>101.6</v>
      </c>
      <c r="D85" t="str">
        <v>M</v>
      </c>
    </row>
    <row r="86">
      <c r="A86" t="str">
        <v>This is well above the Afflux flood level.</v>
      </c>
    </row>
    <row r="87">
      <c r="A87" t="str">
        <v>Though it is not a high level bridge; there shall be no hindrance to traffic during high floods.</v>
      </c>
    </row>
    <row r="88">
      <c r="A88" t="str">
        <v>Hence OK.</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sheetData>
    <row r="1">
      <c r="A1" t="str">
        <v xml:space="preserve">DETERMINATION OF VELOCITY AT PROPOSED SUBMERSIBLE BRIDGE </v>
      </c>
    </row>
    <row r="2">
      <c r="A2" t="str">
        <f>'afflux calculation'!A2:H2</f>
        <v>Name Of Work :- Construction of Submersible Bridge on ON KHERWARA - JAWAS - SUVERI ROAD IN KM 9/000, ACROSS RIVER SOM</v>
      </c>
    </row>
    <row r="3">
      <c r="A3" t="str">
        <v>AS PER UP-STREAM SECTION</v>
      </c>
    </row>
    <row r="4">
      <c r="A4" t="str">
        <v>HIGHEST FLOOD LEVEL</v>
      </c>
      <c r="F4">
        <v>100.6</v>
      </c>
      <c r="G4" t="str">
        <v>M</v>
      </c>
    </row>
    <row r="5">
      <c r="A5" t="str">
        <v>CHAINAGE</v>
      </c>
      <c r="B5" t="str">
        <v>G.L.</v>
      </c>
      <c r="C5" t="str">
        <v>DEPTH OF FLOW IN  M</v>
      </c>
      <c r="D5" t="str">
        <v>LENGTH OF FLOW</v>
      </c>
      <c r="E5" t="str">
        <v>AVERAGE DEPTH OF FLOW</v>
      </c>
      <c r="F5" t="str">
        <v>CROSS SECTIONAL AREA OF FLOW</v>
      </c>
      <c r="G5" t="str">
        <v>WETTED PERIMETER</v>
      </c>
    </row>
    <row r="6">
      <c r="A6">
        <v>0</v>
      </c>
      <c r="B6">
        <v>102</v>
      </c>
      <c r="C6">
        <f>IF(B6&gt;$F$4,0,$F$4-B6)</f>
        <v>0</v>
      </c>
      <c r="D6">
        <v>0</v>
      </c>
      <c r="E6">
        <v>0</v>
      </c>
      <c r="F6">
        <v>0</v>
      </c>
      <c r="G6">
        <v>0</v>
      </c>
    </row>
    <row r="7">
      <c r="A7">
        <v>10</v>
      </c>
      <c r="B7">
        <v>100.95</v>
      </c>
      <c r="C7">
        <f>IF(B7&gt;$F$4,0,$F$4-B7)</f>
        <v>0</v>
      </c>
      <c r="D7">
        <f>(A7-A6)</f>
        <v>10</v>
      </c>
      <c r="E7">
        <f>(C7+C6)/2</f>
        <v>0</v>
      </c>
      <c r="F7">
        <f>D7*E7</f>
        <v>0</v>
      </c>
      <c r="G7">
        <f>(D7^2+(C6-C7)^2)^0.5</f>
        <v>10</v>
      </c>
    </row>
    <row r="8">
      <c r="A8">
        <v>20</v>
      </c>
      <c r="B8">
        <v>98.19</v>
      </c>
      <c r="C8">
        <f>IF(B8&gt;$F$4,0,$F$4-B8)</f>
        <v>2.4099999999999966</v>
      </c>
      <c r="D8">
        <f>(A8-A7)</f>
        <v>10</v>
      </c>
      <c r="E8">
        <f>(C8+C7)/2</f>
        <v>1.2049999999999983</v>
      </c>
      <c r="F8">
        <f>D8*E8</f>
        <v>12.049999999999983</v>
      </c>
      <c r="G8">
        <f>(D8^2+(C7-C8)^2)^0.5</f>
        <v>10.28630643136787</v>
      </c>
    </row>
    <row r="9">
      <c r="A9">
        <v>30</v>
      </c>
      <c r="B9">
        <v>97.58999999999999</v>
      </c>
      <c r="C9">
        <f>IF(B9&gt;$F$4,0,$F$4-B9)</f>
        <v>3.010000000000005</v>
      </c>
      <c r="D9">
        <f>(A9-A8)</f>
        <v>10</v>
      </c>
      <c r="E9">
        <f>(C9+C8)/2</f>
        <v>2.710000000000001</v>
      </c>
      <c r="F9">
        <f>D9*E9</f>
        <v>27.10000000000001</v>
      </c>
      <c r="G9">
        <f>(D9^2+(C8-C9)^2)^0.5</f>
        <v>10.017983829094556</v>
      </c>
    </row>
    <row r="10">
      <c r="A10">
        <v>40</v>
      </c>
      <c r="B10">
        <v>97.21</v>
      </c>
      <c r="C10">
        <f>IF(B10&gt;$F$4,0,$F$4-B10)</f>
        <v>3.3900000000000006</v>
      </c>
      <c r="D10">
        <f>(A10-A9)</f>
        <v>10</v>
      </c>
      <c r="E10">
        <f>(C10+C9)/2</f>
        <v>3.200000000000003</v>
      </c>
      <c r="F10">
        <f>D10*E10</f>
        <v>32.00000000000003</v>
      </c>
      <c r="G10">
        <f>(D10^2+(C9-C10)^2)^0.5</f>
        <v>10.007217395460138</v>
      </c>
    </row>
    <row r="11">
      <c r="A11">
        <v>50</v>
      </c>
      <c r="B11">
        <v>96.86999999999999</v>
      </c>
      <c r="C11">
        <f>IF(B11&gt;$F$4,0,$F$4-B11)</f>
        <v>3.730000000000004</v>
      </c>
      <c r="D11">
        <f>(A11-A10)</f>
        <v>10</v>
      </c>
      <c r="E11">
        <f>(C11+C10)/2</f>
        <v>3.5600000000000023</v>
      </c>
      <c r="F11">
        <f>D11*E11</f>
        <v>35.60000000000002</v>
      </c>
      <c r="G11">
        <f>(D11^2+(C10-C11)^2)^0.5</f>
        <v>10.005778330544805</v>
      </c>
    </row>
    <row r="12">
      <c r="A12">
        <v>60</v>
      </c>
      <c r="B12">
        <v>97.95999999999998</v>
      </c>
      <c r="C12">
        <f>IF(B12&gt;$F$4,0,$F$4-B12)</f>
        <v>2.640000000000015</v>
      </c>
      <c r="D12">
        <f>(A12-A11)</f>
        <v>10</v>
      </c>
      <c r="E12">
        <f>(C12+C11)/2</f>
        <v>3.1850000000000094</v>
      </c>
      <c r="F12">
        <f>D12*E12</f>
        <v>31.850000000000094</v>
      </c>
      <c r="G12">
        <f>(D12^2+(C11-C12)^2)^0.5</f>
        <v>10.059229592767032</v>
      </c>
    </row>
    <row r="13">
      <c r="A13">
        <v>70</v>
      </c>
      <c r="B13">
        <v>97.11999999999999</v>
      </c>
      <c r="C13">
        <f>IF(B13&gt;$F$4,0,$F$4-B13)</f>
        <v>3.480000000000004</v>
      </c>
      <c r="D13">
        <f>(A13-A12)</f>
        <v>10</v>
      </c>
      <c r="E13">
        <f>(C13+C12)/2</f>
        <v>3.0600000000000094</v>
      </c>
      <c r="F13">
        <f>D13*E13</f>
        <v>30.600000000000094</v>
      </c>
      <c r="G13">
        <f>(D13^2+(C12-C13)^2)^0.5</f>
        <v>10.035217984677761</v>
      </c>
    </row>
    <row r="14">
      <c r="A14">
        <v>80</v>
      </c>
      <c r="B14">
        <v>96.79999999999998</v>
      </c>
      <c r="C14">
        <f>IF(B14&gt;$F$4,0,$F$4-B14)</f>
        <v>3.8000000000000114</v>
      </c>
      <c r="D14">
        <f>(A14-A13)</f>
        <v>10</v>
      </c>
      <c r="E14">
        <f>(C14+C13)/2</f>
        <v>3.6400000000000077</v>
      </c>
      <c r="F14">
        <f>D14*E14</f>
        <v>36.40000000000008</v>
      </c>
      <c r="G14">
        <f>(D14^2+(C13-C14)^2)^0.5</f>
        <v>10.00511868995066</v>
      </c>
    </row>
    <row r="15">
      <c r="A15">
        <v>90</v>
      </c>
      <c r="B15">
        <v>96.46999999999998</v>
      </c>
      <c r="C15">
        <f>IF(B15&gt;$F$4,0,$F$4-B15)</f>
        <v>4.13000000000001</v>
      </c>
      <c r="D15">
        <f>(A15-A14)</f>
        <v>10</v>
      </c>
      <c r="E15">
        <f>(C15+C14)/2</f>
        <v>3.9650000000000105</v>
      </c>
      <c r="F15">
        <f>D15*E15</f>
        <v>39.650000000000105</v>
      </c>
      <c r="G15">
        <f>(D15^2+(C14-C15)^2)^0.5</f>
        <v>10.005443518405368</v>
      </c>
    </row>
    <row r="16">
      <c r="A16">
        <v>100</v>
      </c>
      <c r="B16">
        <v>96.49</v>
      </c>
      <c r="C16">
        <f>IF(B16&gt;$F$4,0,$F$4-B16)</f>
        <v>4.109999999999999</v>
      </c>
      <c r="D16">
        <f>(A16-A15)</f>
        <v>10</v>
      </c>
      <c r="E16">
        <f>(C16+C15)/2</f>
        <v>4.1200000000000045</v>
      </c>
      <c r="F16">
        <f>D16*E16</f>
        <v>41.200000000000045</v>
      </c>
      <c r="G16">
        <f>(D16^2+(C15-C16)^2)^0.5</f>
        <v>10.00001999998</v>
      </c>
    </row>
    <row r="17">
      <c r="A17">
        <v>110</v>
      </c>
      <c r="B17">
        <v>97.03999999999998</v>
      </c>
      <c r="C17">
        <f>IF(B17&gt;$F$4,0,$F$4-B17)</f>
        <v>3.5600000000000165</v>
      </c>
      <c r="D17">
        <f>(A17-A16)</f>
        <v>10</v>
      </c>
      <c r="E17">
        <f>(C17+C16)/2</f>
        <v>3.835000000000008</v>
      </c>
      <c r="F17">
        <f>D17*E17</f>
        <v>38.35000000000008</v>
      </c>
      <c r="G17">
        <f>(D17^2+(C16-C17)^2)^0.5</f>
        <v>10.01511357898651</v>
      </c>
    </row>
    <row r="18">
      <c r="A18">
        <v>120</v>
      </c>
      <c r="B18">
        <v>97.28999999999998</v>
      </c>
      <c r="C18">
        <f>IF(B18&gt;$F$4,0,$F$4-B18)</f>
        <v>3.3100000000000165</v>
      </c>
      <c r="D18">
        <f>(A18-A17)</f>
        <v>10</v>
      </c>
      <c r="E18">
        <f>(C18+C17)/2</f>
        <v>3.4350000000000165</v>
      </c>
      <c r="F18">
        <f>D18*E18</f>
        <v>34.350000000000165</v>
      </c>
      <c r="G18">
        <f>(D18^2+(C17-C18)^2)^0.5</f>
        <v>10.003124511871277</v>
      </c>
    </row>
    <row r="19">
      <c r="A19">
        <v>130</v>
      </c>
      <c r="B19">
        <v>97.73999999999998</v>
      </c>
      <c r="C19">
        <f>IF(B19&gt;$F$4,0,$F$4-B19)</f>
        <v>2.8600000000000136</v>
      </c>
      <c r="D19">
        <f>(A19-A18)</f>
        <v>10</v>
      </c>
      <c r="E19">
        <f>(C19+C18)/2</f>
        <v>3.085000000000015</v>
      </c>
      <c r="F19">
        <f>D19*E19</f>
        <v>30.85000000000015</v>
      </c>
      <c r="G19">
        <f>(D19^2+(C18-C19)^2)^0.5</f>
        <v>10.010119879402044</v>
      </c>
    </row>
    <row r="20">
      <c r="A20">
        <v>140</v>
      </c>
      <c r="B20">
        <v>98.12999999999998</v>
      </c>
      <c r="C20">
        <f>IF(B20&gt;$F$4,0,$F$4-B20)</f>
        <v>2.470000000000013</v>
      </c>
      <c r="D20">
        <f>(A20-A19)</f>
        <v>10</v>
      </c>
      <c r="E20">
        <f>(C20+C19)/2</f>
        <v>2.6650000000000134</v>
      </c>
      <c r="F20">
        <f>D20*E20</f>
        <v>26.650000000000134</v>
      </c>
      <c r="G20">
        <f>(D20^2+(C19-C20)^2)^0.5</f>
        <v>10.007602110395876</v>
      </c>
    </row>
    <row r="21">
      <c r="A21">
        <v>150</v>
      </c>
      <c r="B21">
        <v>98.84999999999998</v>
      </c>
      <c r="C21">
        <f>IF(B21&gt;$F$4,0,$F$4-B21)</f>
        <v>1.7500000000000142</v>
      </c>
      <c r="D21">
        <f>(A21-A20)</f>
        <v>10</v>
      </c>
      <c r="E21">
        <f>(C21+C20)/2</f>
        <v>2.1100000000000136</v>
      </c>
      <c r="F21">
        <f>D21*E21</f>
        <v>21.100000000000136</v>
      </c>
      <c r="G21">
        <f>(D21^2+(C20-C21)^2)^0.5</f>
        <v>10.025886494470202</v>
      </c>
    </row>
    <row r="22">
      <c r="A22">
        <v>160</v>
      </c>
      <c r="B22">
        <v>98.07</v>
      </c>
      <c r="C22">
        <f>IF(B22&gt;$F$4,0,$F$4-B22)</f>
        <v>2.530000000000001</v>
      </c>
      <c r="D22">
        <f>(A22-A21)</f>
        <v>10</v>
      </c>
      <c r="E22">
        <f>(C22+C21)/2</f>
        <v>2.1400000000000077</v>
      </c>
      <c r="F22">
        <f>D22*E22</f>
        <v>21.400000000000077</v>
      </c>
      <c r="G22">
        <f>(D22^2+(C21-C22)^2)^0.5</f>
        <v>10.030373871396817</v>
      </c>
    </row>
    <row r="23">
      <c r="A23">
        <v>170</v>
      </c>
      <c r="B23">
        <v>98.75</v>
      </c>
      <c r="C23">
        <f>IF(B23&gt;$F$4,0,$F$4-B23)</f>
        <v>1.8499999999999943</v>
      </c>
      <c r="D23">
        <f>(A23-A22)</f>
        <v>10</v>
      </c>
      <c r="E23">
        <f>(C23+C22)/2</f>
        <v>2.1899999999999977</v>
      </c>
      <c r="F23">
        <f>D23*E23</f>
        <v>21.899999999999977</v>
      </c>
      <c r="G23">
        <f>(D23^2+(C22-C23)^2)^0.5</f>
        <v>10.023093334894174</v>
      </c>
    </row>
    <row r="24">
      <c r="A24">
        <v>180</v>
      </c>
      <c r="B24">
        <v>101.85</v>
      </c>
      <c r="C24">
        <f>IF(B24&gt;$F$4,0,$F$4-B24)</f>
        <v>0</v>
      </c>
      <c r="D24">
        <f>(A24-A23)</f>
        <v>10</v>
      </c>
      <c r="E24">
        <f>(C24+C23)/2</f>
        <v>0.9249999999999972</v>
      </c>
      <c r="F24">
        <f>D24*E24</f>
        <v>9.249999999999972</v>
      </c>
      <c r="G24">
        <f>(D24^2+(C23-C24)^2)^0.5</f>
        <v>10.169685344198216</v>
      </c>
    </row>
    <row r="25">
      <c r="A25">
        <v>190</v>
      </c>
      <c r="B25">
        <v>102</v>
      </c>
      <c r="C25">
        <f>IF(B25&gt;$F$4,0,$F$4-B25)</f>
        <v>0</v>
      </c>
      <c r="D25">
        <f>(A25-A24)</f>
        <v>10</v>
      </c>
      <c r="E25">
        <f>(C25+C24)/2</f>
        <v>0</v>
      </c>
      <c r="F25">
        <f>D25*E25</f>
        <v>0</v>
      </c>
      <c r="G25">
        <f>(D25^2+(C24-C25)^2)^0.5</f>
        <v>10</v>
      </c>
    </row>
    <row r="27">
      <c r="C27" t="str">
        <v>TOTAL</v>
      </c>
      <c r="D27">
        <f>SUM(D6:D26)</f>
        <v>190</v>
      </c>
      <c r="F27">
        <f>SUM(F6:F26)</f>
        <v>490.3000000000011</v>
      </c>
      <c r="G27">
        <f>SUM(G6:G26)</f>
        <v>190.70731489786334</v>
      </c>
    </row>
    <row r="29">
      <c r="B29" t="str">
        <v>A</v>
      </c>
      <c r="C29">
        <f>F27</f>
        <v>490.3000000000011</v>
      </c>
      <c r="D29" t="str">
        <v>SQM</v>
      </c>
    </row>
    <row r="30">
      <c r="B30" t="str">
        <v>P</v>
      </c>
      <c r="C30">
        <f>G27</f>
        <v>190.70731489786334</v>
      </c>
      <c r="D30" t="str">
        <v>M</v>
      </c>
    </row>
    <row r="31">
      <c r="B31" t="str">
        <v>R</v>
      </c>
      <c r="C31">
        <f>C29/C30</f>
        <v>2.570955394461874</v>
      </c>
      <c r="D31" t="str">
        <v>M</v>
      </c>
    </row>
    <row r="32">
      <c r="B32" t="str">
        <v>N</v>
      </c>
      <c r="C32">
        <v>0.033</v>
      </c>
    </row>
    <row r="33">
      <c r="B33" t="str">
        <v>S       1 IN</v>
      </c>
      <c r="C33">
        <f>'Bed Slope'!J24</f>
        <v>960</v>
      </c>
    </row>
    <row r="34">
      <c r="B34" t="str">
        <v>V</v>
      </c>
      <c r="C34">
        <f>(1/C32*(C31^(2/3))*((1/C33)^0.5))</f>
        <v>1.8354679471127884</v>
      </c>
      <c r="D34" t="str">
        <v>M/SEC</v>
      </c>
    </row>
    <row r="35">
      <c r="B35" t="str">
        <v>Q</v>
      </c>
      <c r="C35">
        <f>C29*C34</f>
        <v>899.9299344694022</v>
      </c>
      <c r="D35" t="str">
        <v>CUMECS</v>
      </c>
    </row>
    <row r="36">
      <c r="B36" t="str">
        <v>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v>
      </c>
    </row>
    <row r="37">
      <c r="B37" t="str">
        <v>Design Discharge =</v>
      </c>
      <c r="E37">
        <f>C35</f>
        <v>899.9299344694022</v>
      </c>
      <c r="F37" t="str">
        <f>D35</f>
        <v>CUMECS</v>
      </c>
    </row>
    <row r="39">
      <c r="A39" t="str">
        <v>Critical Levels</v>
      </c>
    </row>
    <row r="40">
      <c r="A40" t="str">
        <v>Road top level (RTL)</v>
      </c>
      <c r="E40">
        <f>ROUND(MAX(E41+E42,F3-'afflux calculation'!B51/2),2)</f>
        <v>101.6</v>
      </c>
      <c r="G40" t="str">
        <v>M</v>
      </c>
    </row>
    <row r="41">
      <c r="A41" t="str">
        <v>Average Ground Level(AGL)</v>
      </c>
      <c r="E41">
        <v>96.6</v>
      </c>
      <c r="G41" t="str">
        <v>M</v>
      </c>
    </row>
    <row r="42">
      <c r="A42" t="str">
        <v>Average Height Of Bridge</v>
      </c>
      <c r="E42">
        <v>5</v>
      </c>
      <c r="G42" t="str">
        <v>M</v>
      </c>
    </row>
    <row r="43">
      <c r="A43" t="str">
        <v>Lowest Nala Bed level (NBL)</v>
      </c>
      <c r="E43">
        <f>MIN('CROSS SECTION'!B6:B25)</f>
        <v>96.46999999999998</v>
      </c>
      <c r="G43" t="str">
        <v>M</v>
      </c>
    </row>
    <row r="44">
      <c r="A44" t="str">
        <v>Ordinary flood level (OFL)</v>
      </c>
      <c r="E44">
        <f>E41+1</f>
        <v>97.6</v>
      </c>
      <c r="G44" t="str">
        <v>M</v>
      </c>
    </row>
    <row r="45">
      <c r="A45" t="str">
        <v>Foundation level (FL)</v>
      </c>
      <c r="E45">
        <f>E43-3</f>
        <v>93.46999999999998</v>
      </c>
      <c r="G45" t="str">
        <v>M</v>
      </c>
    </row>
    <row r="46">
      <c r="A46" t="str">
        <v>Ht. of bridge h= (RTL-NBL)</v>
      </c>
      <c r="E46">
        <f>E40-E43</f>
        <v>5.13000000000001</v>
      </c>
      <c r="G46" t="str">
        <v>M</v>
      </c>
    </row>
    <row r="47">
      <c r="A47" t="str">
        <v>Ht. of bridge H=(RTL-FL)</v>
      </c>
      <c r="E47">
        <f>E40-E45</f>
        <v>8.13000000000001</v>
      </c>
      <c r="G47" t="str">
        <v>M</v>
      </c>
    </row>
    <row r="48">
      <c r="A48" t="str">
        <v>** Needs Rational Evaluation w.r.t. afflux.</v>
      </c>
    </row>
    <row r="49">
      <c r="A49" t="str">
        <v>** Average of GL for points lying below HFL.</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sheetData>
    <row r="1">
      <c r="A1" t="str">
        <v xml:space="preserve">ANCHORAGE OF DECK SLAB TO SUBSTRUCTURE </v>
      </c>
    </row>
    <row r="2">
      <c r="A2" t="str">
        <f>HYDRAULICS!A2</f>
        <v>Name Of Work :- Construction of Submersible Bridge on ON KHERWARA - JAWAS - SUVERI ROAD IN KM 9/000, ACROSS RIVER SOM</v>
      </c>
    </row>
    <row r="3">
      <c r="B3" t="str">
        <v>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v>
      </c>
    </row>
    <row r="4">
      <c r="B4" t="str">
        <v>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v>
      </c>
    </row>
    <row r="5">
      <c r="A5" t="str">
        <v>Check Against Uplift</v>
      </c>
    </row>
    <row r="6">
      <c r="B6" t="str">
        <v>The uplift force shall be maximum when the flow level is Just at near deck level.</v>
      </c>
      <c r="G6" t="str">
        <v xml:space="preserve">THIS WILL BE IN CASE OF AFFLUX FLOOD LEVEL </v>
      </c>
      <c r="L6">
        <f>'afflux calculation'!F79</f>
        <v>100.83</v>
      </c>
      <c r="M6" t="str">
        <v>M</v>
      </c>
    </row>
    <row r="7">
      <c r="B7" t="str">
        <v>Total Height</v>
      </c>
      <c r="C7" t="str">
        <v>=</v>
      </c>
      <c r="D7">
        <f>'afflux calculation'!B78</f>
        <v>0.23</v>
      </c>
      <c r="E7" t="str">
        <v>M</v>
      </c>
    </row>
    <row r="8">
      <c r="B8" t="str">
        <v>Maximum Uplift Pressure</v>
      </c>
      <c r="C8" t="str">
        <v>=</v>
      </c>
      <c r="D8">
        <f>D7</f>
        <v>0.23</v>
      </c>
      <c r="E8" t="str">
        <v xml:space="preserve">x </v>
      </c>
      <c r="F8">
        <v>10</v>
      </c>
      <c r="G8" t="str">
        <v>=</v>
      </c>
      <c r="H8">
        <f>D8*F8</f>
        <v>2.3000000000000003</v>
      </c>
      <c r="I8" t="str">
        <v>kN/Sqm</v>
      </c>
    </row>
    <row r="9">
      <c r="B9" t="str">
        <v>Area of Slab under effect of buoyancy</v>
      </c>
      <c r="C9" t="str">
        <v>=</v>
      </c>
      <c r="D9">
        <f>'STABILITY CHECK FOR PIER'!E6</f>
        <v>8.799999999999999</v>
      </c>
      <c r="E9" t="str">
        <v>x</v>
      </c>
      <c r="F9">
        <f>'afflux calculation'!C18</f>
        <v>12</v>
      </c>
      <c r="G9" t="str">
        <v>=</v>
      </c>
      <c r="H9">
        <f>D9*F9</f>
        <v>105.6</v>
      </c>
      <c r="I9" t="str">
        <v>Sqm</v>
      </c>
    </row>
    <row r="10">
      <c r="B10" t="str">
        <v>Uplift Force on Slab</v>
      </c>
      <c r="C10" t="str">
        <v>=</v>
      </c>
      <c r="D10">
        <f>H9</f>
        <v>105.6</v>
      </c>
      <c r="E10" t="str">
        <v>x</v>
      </c>
      <c r="F10">
        <f>H8</f>
        <v>2.3000000000000003</v>
      </c>
      <c r="G10" t="str">
        <v>=</v>
      </c>
      <c r="H10">
        <f>ROUNDUP(D10*F10,2)</f>
        <v>242.88</v>
      </c>
      <c r="I10" t="str">
        <v>kN</v>
      </c>
    </row>
    <row r="11">
      <c r="B11" t="str">
        <v>Self Weight of  Slab</v>
      </c>
      <c r="C11" t="str">
        <v>=</v>
      </c>
      <c r="D11">
        <f>D9</f>
        <v>8.799999999999999</v>
      </c>
      <c r="E11" t="str">
        <v>x</v>
      </c>
      <c r="F11">
        <f>F9</f>
        <v>12</v>
      </c>
      <c r="G11" t="str">
        <v>x</v>
      </c>
      <c r="H11">
        <v>0.75</v>
      </c>
      <c r="I11" t="str">
        <v>x</v>
      </c>
      <c r="J11">
        <v>24</v>
      </c>
      <c r="K11" t="str">
        <v>=</v>
      </c>
      <c r="L11">
        <f>D11*F11*H11*J11</f>
        <v>1900.7999999999997</v>
      </c>
      <c r="M11" t="str">
        <v>kN</v>
      </c>
    </row>
    <row r="12">
      <c r="B12" t="str">
        <v>Self Weight of Wearing Coat</v>
      </c>
      <c r="C12" t="str">
        <v>=</v>
      </c>
      <c r="D12">
        <f>D11</f>
        <v>8.799999999999999</v>
      </c>
      <c r="E12" t="str">
        <v>x</v>
      </c>
      <c r="F12">
        <f>F11</f>
        <v>12</v>
      </c>
      <c r="G12" t="str">
        <v>x</v>
      </c>
      <c r="H12">
        <v>0.075</v>
      </c>
      <c r="I12" t="str">
        <v>x</v>
      </c>
      <c r="J12">
        <v>24</v>
      </c>
      <c r="K12" t="str">
        <v>=</v>
      </c>
      <c r="L12">
        <f>D12*F12*H12*J12</f>
        <v>190.07999999999998</v>
      </c>
      <c r="M12" t="str">
        <v>kN</v>
      </c>
    </row>
    <row r="13">
      <c r="B13" t="str">
        <v>Footpath</v>
      </c>
      <c r="C13" t="str">
        <v>=</v>
      </c>
      <c r="D13" t="str">
        <v>2X10.8</v>
      </c>
      <c r="E13" t="str">
        <v>x</v>
      </c>
      <c r="F13">
        <v>1.5</v>
      </c>
      <c r="G13" t="str">
        <v>x</v>
      </c>
      <c r="H13">
        <v>0.5</v>
      </c>
      <c r="I13" t="str">
        <v>x</v>
      </c>
      <c r="J13">
        <v>0</v>
      </c>
      <c r="K13" t="str">
        <v>=</v>
      </c>
      <c r="L13">
        <f>2*D12*F13*H13*J13</f>
        <v>0</v>
      </c>
      <c r="M13" t="str">
        <v>kN</v>
      </c>
    </row>
    <row r="14">
      <c r="B14" t="str">
        <v>TOTAL</v>
      </c>
      <c r="L14">
        <f>SUM(L11:L13)</f>
        <v>2090.8799999999997</v>
      </c>
      <c r="M14" t="str">
        <v>kN</v>
      </c>
    </row>
    <row r="15">
      <c r="B15" t="str">
        <v>Net Uplift Pressure</v>
      </c>
      <c r="C15" t="str">
        <v>=</v>
      </c>
      <c r="D15">
        <f>H10</f>
        <v>242.88</v>
      </c>
      <c r="E15" t="str">
        <v>-</v>
      </c>
      <c r="F15">
        <f>L14</f>
        <v>2090.8799999999997</v>
      </c>
      <c r="G15" t="str">
        <v>=</v>
      </c>
      <c r="H15">
        <f>D15-F15</f>
        <v>-1847.9999999999995</v>
      </c>
      <c r="I15" t="str">
        <v>kN</v>
      </c>
    </row>
    <row r="16">
      <c r="H16" t="str">
        <v>&lt; 0 Hence Ok.</v>
      </c>
    </row>
    <row r="17">
      <c r="A17" t="str">
        <v>Check Against Sliding</v>
      </c>
    </row>
    <row r="18">
      <c r="B18" t="str">
        <v>Refer Stability Check of Pier</v>
      </c>
    </row>
    <row r="19">
      <c r="B19" t="str">
        <v>WATER CURRENT IN TRANSVERSE DIRECTION ( ACROSS THE BRIDGE)</v>
      </c>
    </row>
    <row r="20">
      <c r="B20" t="str">
        <v>As per IRC- II ( 6-1966) clause 213.5</v>
      </c>
      <c r="D20" t="str">
        <v>For V=</v>
      </c>
      <c r="E20">
        <f>'afflux calculation'!B83</f>
        <v>2.67</v>
      </c>
      <c r="F20" t="str">
        <v>m/sec</v>
      </c>
      <c r="G20" t="str">
        <v>Maximum velocity being 1.414 x mean velocity</v>
      </c>
      <c r="M20" t="str">
        <v>(1.414= Root of 2)</v>
      </c>
    </row>
    <row r="21">
      <c r="B21" t="str">
        <v>Obstructed Velocity = V Cos 20 0</v>
      </c>
      <c r="C21" t="str">
        <v>=</v>
      </c>
      <c r="D21">
        <f>E20</f>
        <v>2.67</v>
      </c>
      <c r="E21" t="str">
        <v>x</v>
      </c>
      <c r="F21" t="str">
        <v>Cos 20 0</v>
      </c>
    </row>
    <row r="22">
      <c r="C22" t="str">
        <v>=</v>
      </c>
      <c r="D22">
        <f>D21*COS(20*3.14/180)</f>
        <v>2.5091408583634016</v>
      </c>
    </row>
    <row r="23">
      <c r="B23" t="str">
        <v>2v2</v>
      </c>
      <c r="C23" t="str">
        <v>=</v>
      </c>
      <c r="D23">
        <f>D22^2*2</f>
        <v>12.591575694217255</v>
      </c>
    </row>
    <row r="24">
      <c r="B24" t="str">
        <v xml:space="preserve">The soffit of the deck is at HFL </v>
      </c>
      <c r="C24" t="str">
        <v>=</v>
      </c>
      <c r="D24">
        <f>'STABILITY CHECK FOR PIER'!E8</f>
        <v>100.6</v>
      </c>
      <c r="E24" t="str">
        <f>'STABILITY CHECK FOR PIER'!E123</f>
        <v>M</v>
      </c>
      <c r="F24" t="str">
        <v xml:space="preserve">The afflux Flood Level is </v>
      </c>
      <c r="I24">
        <f>D24+'afflux calculation'!B78</f>
        <v>100.83</v>
      </c>
      <c r="J24" t="str">
        <v>M</v>
      </c>
    </row>
    <row r="25">
      <c r="B25" t="str">
        <v>DRAG FORCE ON DECK SLAB DUE TO AFFLUX</v>
      </c>
    </row>
    <row r="26">
      <c r="B26" t="str">
        <v>Area Obstructed</v>
      </c>
      <c r="C26" t="str">
        <v>=</v>
      </c>
      <c r="D26">
        <f>D12</f>
        <v>8.799999999999999</v>
      </c>
      <c r="E26" t="str">
        <v>x</v>
      </c>
      <c r="F26">
        <f>'afflux calculation'!B78</f>
        <v>0.23</v>
      </c>
      <c r="G26" t="str">
        <v>=</v>
      </c>
      <c r="H26">
        <f>D26*F26</f>
        <v>2.024</v>
      </c>
      <c r="I26" t="str">
        <v>Sqm</v>
      </c>
    </row>
    <row r="28">
      <c r="B28" t="str">
        <v>Drag Force on Slab</v>
      </c>
      <c r="C28" t="str">
        <v>=</v>
      </c>
      <c r="D28">
        <v>52</v>
      </c>
      <c r="E28" t="str">
        <v>x</v>
      </c>
      <c r="F28" t="str">
        <v>k</v>
      </c>
      <c r="G28" t="str">
        <v>x</v>
      </c>
      <c r="H28" t="str">
        <v>v2</v>
      </c>
      <c r="I28" t="str">
        <v>x</v>
      </c>
      <c r="J28" t="str">
        <v>Area Obstructed</v>
      </c>
    </row>
    <row r="29">
      <c r="C29" t="str">
        <v>=</v>
      </c>
      <c r="D29">
        <f>D28</f>
        <v>52</v>
      </c>
      <c r="E29" t="str">
        <v>x</v>
      </c>
      <c r="F29">
        <v>1.5</v>
      </c>
      <c r="G29" t="str">
        <v>x</v>
      </c>
      <c r="H29">
        <f>D23</f>
        <v>12.591575694217255</v>
      </c>
      <c r="I29" t="str">
        <v>x</v>
      </c>
      <c r="J29">
        <f>H26</f>
        <v>2.024</v>
      </c>
      <c r="K29" t="str">
        <v>/ 100</v>
      </c>
      <c r="L29" t="str">
        <v>=</v>
      </c>
      <c r="M29">
        <f>D29*F29*H29*J29/100</f>
        <v>19.878572379974667</v>
      </c>
      <c r="N29" t="str">
        <v>kN</v>
      </c>
    </row>
    <row r="31">
      <c r="B31" t="str">
        <v>Dia of Anchor Bars</v>
      </c>
      <c r="C31">
        <v>32</v>
      </c>
      <c r="D31" t="str">
        <v>mm</v>
      </c>
    </row>
    <row r="32">
      <c r="B32" t="str">
        <v>Permissible Shear Stress</v>
      </c>
      <c r="C32">
        <v>190</v>
      </c>
      <c r="D32" t="str">
        <v>N/mm2</v>
      </c>
    </row>
    <row r="33">
      <c r="B33" t="str">
        <v>Shear Force Resisted by one Anchor Bar =</v>
      </c>
      <c r="D33" t="str">
        <v>(</v>
      </c>
      <c r="E33">
        <v>0.785</v>
      </c>
      <c r="F33" t="str">
        <v>x</v>
      </c>
      <c r="G33">
        <f>C31</f>
        <v>32</v>
      </c>
      <c r="H33">
        <v>2</v>
      </c>
      <c r="I33" t="str">
        <v>/4 )x</v>
      </c>
      <c r="J33">
        <f>C32</f>
        <v>190</v>
      </c>
      <c r="K33" t="str">
        <v>/ 1000</v>
      </c>
      <c r="L33" t="str">
        <v>=</v>
      </c>
      <c r="M33">
        <f>ROUNDUP(E33*C31*C31/4*C32/1000,2)</f>
        <v>38.19</v>
      </c>
      <c r="N33" t="str">
        <v>kN</v>
      </c>
    </row>
    <row r="34">
      <c r="B34" t="str">
        <v>Number Of Bars Provided Per slab</v>
      </c>
      <c r="C34">
        <v>18</v>
      </c>
      <c r="D34" t="str">
        <v>Nos.</v>
      </c>
    </row>
    <row r="35">
      <c r="B35" t="str">
        <v>Total Shear Resisted</v>
      </c>
      <c r="C35" t="str">
        <v>=</v>
      </c>
      <c r="D35">
        <f>C34</f>
        <v>18</v>
      </c>
      <c r="E35" t="str">
        <v>x</v>
      </c>
      <c r="F35">
        <f>M33</f>
        <v>38.19</v>
      </c>
      <c r="G35" t="str">
        <v>=</v>
      </c>
      <c r="H35">
        <f>D35*F35</f>
        <v>687.42</v>
      </c>
      <c r="I35" t="str">
        <v>kN</v>
      </c>
    </row>
    <row r="36">
      <c r="B36" t="str">
        <v>FACTOR OF SAFETY</v>
      </c>
      <c r="C36" t="str">
        <v>=</v>
      </c>
      <c r="D36">
        <f>H35</f>
        <v>687.42</v>
      </c>
      <c r="E36" t="str">
        <v>/</v>
      </c>
      <c r="F36">
        <f>M29</f>
        <v>19.878572379974667</v>
      </c>
      <c r="G36" t="str">
        <v>=</v>
      </c>
      <c r="H36">
        <f>ROUNDUP(D36/F36,2)</f>
        <v>34.589999999999996</v>
      </c>
    </row>
    <row r="37">
      <c r="H37" t="str">
        <v>&gt; 2.00 Hence OK</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c r="A1" t="str">
        <v>CROSS SECTION OF RIVER DOWN-STREAM</v>
      </c>
    </row>
    <row r="2">
      <c r="A2" t="str">
        <f>'Deck Anchorage'!A2</f>
        <v>Name Of Work :- Construction of Submersible Bridge on ON KHERWARA - JAWAS - SUVERI ROAD IN KM 9/000, ACROSS RIVER SOM</v>
      </c>
    </row>
    <row r="3">
      <c r="A3" t="str">
        <v>CROSS SECTION OF RIVER AT PROPOSED BRIDGE SITE</v>
      </c>
    </row>
    <row r="4">
      <c r="A4" t="str">
        <v>HIGHEST FLOOD LEVEL</v>
      </c>
      <c r="F4">
        <f>HYDRAULICS!F4</f>
        <v>100.6</v>
      </c>
      <c r="G4" t="str">
        <v>M</v>
      </c>
    </row>
    <row r="5">
      <c r="A5" t="str">
        <v>Chainage in M (u/s or d/s)</v>
      </c>
      <c r="B5" t="str">
        <v>RL in M</v>
      </c>
      <c r="C5" t="str">
        <v>DEPTH OF FLOW IN  M</v>
      </c>
      <c r="D5" t="str">
        <v>LENGTH OF FLOW</v>
      </c>
      <c r="E5" t="str">
        <v>AVERAGE DEPTH OF FLOW</v>
      </c>
      <c r="F5" t="str">
        <v>CROSS SECTIONAL AREA OF FLOW</v>
      </c>
      <c r="G5" t="str">
        <v>WETTED PERIMETER</v>
      </c>
    </row>
    <row r="6">
      <c r="A6">
        <v>0</v>
      </c>
      <c r="B6">
        <v>102</v>
      </c>
      <c r="C6">
        <f>IF(B6&gt;$F$4,0,$F$4-B6)</f>
        <v>0</v>
      </c>
      <c r="D6">
        <v>0</v>
      </c>
      <c r="E6">
        <v>0</v>
      </c>
      <c r="F6">
        <v>0</v>
      </c>
      <c r="G6">
        <v>0</v>
      </c>
    </row>
    <row r="7">
      <c r="A7">
        <v>10</v>
      </c>
      <c r="B7">
        <v>100.95</v>
      </c>
      <c r="C7">
        <f>IF(B7&gt;$F$4,0,$F$4-B7)</f>
        <v>0</v>
      </c>
      <c r="D7">
        <f>(A7-A6)</f>
        <v>10</v>
      </c>
      <c r="E7">
        <f>(C7+C6)/2</f>
        <v>0</v>
      </c>
      <c r="F7">
        <f>D7*E7</f>
        <v>0</v>
      </c>
      <c r="G7">
        <f>(D7^2+(C6-C7)^2)^0.5</f>
        <v>10</v>
      </c>
    </row>
    <row r="8">
      <c r="A8">
        <v>20</v>
      </c>
      <c r="B8">
        <v>98.19</v>
      </c>
      <c r="C8">
        <f>IF(B8&gt;$F$4,0,$F$4-B8)</f>
        <v>2.4099999999999966</v>
      </c>
      <c r="D8">
        <f>(A8-A7)</f>
        <v>10</v>
      </c>
      <c r="E8">
        <f>(C8+C7)/2</f>
        <v>1.2049999999999983</v>
      </c>
      <c r="F8">
        <f>D8*E8</f>
        <v>12.049999999999983</v>
      </c>
      <c r="G8">
        <f>(D8^2+(C7-C8)^2)^0.5</f>
        <v>10.28630643136787</v>
      </c>
    </row>
    <row r="9">
      <c r="A9">
        <v>30</v>
      </c>
      <c r="B9">
        <v>97.58999999999999</v>
      </c>
      <c r="C9">
        <f>IF(B9&gt;$F$4,0,$F$4-B9)</f>
        <v>3.010000000000005</v>
      </c>
      <c r="D9">
        <f>(A9-A8)</f>
        <v>10</v>
      </c>
      <c r="E9">
        <f>(C9+C8)/2</f>
        <v>2.710000000000001</v>
      </c>
      <c r="F9">
        <f>D9*E9</f>
        <v>27.10000000000001</v>
      </c>
      <c r="G9">
        <f>(D9^2+(C8-C9)^2)^0.5</f>
        <v>10.017983829094556</v>
      </c>
    </row>
    <row r="10">
      <c r="A10">
        <v>40</v>
      </c>
      <c r="B10">
        <v>97.21</v>
      </c>
      <c r="C10">
        <f>IF(B10&gt;$F$4,0,$F$4-B10)</f>
        <v>3.3900000000000006</v>
      </c>
      <c r="D10">
        <f>(A10-A9)</f>
        <v>10</v>
      </c>
      <c r="E10">
        <f>(C10+C9)/2</f>
        <v>3.200000000000003</v>
      </c>
      <c r="F10">
        <f>D10*E10</f>
        <v>32.00000000000003</v>
      </c>
      <c r="G10">
        <f>(D10^2+(C9-C10)^2)^0.5</f>
        <v>10.007217395460138</v>
      </c>
    </row>
    <row r="11">
      <c r="A11">
        <v>50</v>
      </c>
      <c r="B11">
        <v>96.86999999999999</v>
      </c>
      <c r="C11">
        <f>IF(B11&gt;$F$4,0,$F$4-B11)</f>
        <v>3.730000000000004</v>
      </c>
      <c r="D11">
        <f>(A11-A10)</f>
        <v>10</v>
      </c>
      <c r="E11">
        <f>(C11+C10)/2</f>
        <v>3.5600000000000023</v>
      </c>
      <c r="F11">
        <f>D11*E11</f>
        <v>35.60000000000002</v>
      </c>
      <c r="G11">
        <f>(D11^2+(C10-C11)^2)^0.5</f>
        <v>10.005778330544805</v>
      </c>
    </row>
    <row r="12">
      <c r="A12">
        <v>60</v>
      </c>
      <c r="B12">
        <v>97.95999999999998</v>
      </c>
      <c r="C12">
        <f>IF(B12&gt;$F$4,0,$F$4-B12)</f>
        <v>2.640000000000015</v>
      </c>
      <c r="D12">
        <f>(A12-A11)</f>
        <v>10</v>
      </c>
      <c r="E12">
        <f>(C12+C11)/2</f>
        <v>3.1850000000000094</v>
      </c>
      <c r="F12">
        <f>D12*E12</f>
        <v>31.850000000000094</v>
      </c>
      <c r="G12">
        <f>(D12^2+(C11-C12)^2)^0.5</f>
        <v>10.059229592767032</v>
      </c>
    </row>
    <row r="13">
      <c r="A13">
        <v>70</v>
      </c>
      <c r="B13">
        <v>97.11999999999999</v>
      </c>
      <c r="C13">
        <f>IF(B13&gt;$F$4,0,$F$4-B13)</f>
        <v>3.480000000000004</v>
      </c>
      <c r="D13">
        <f>(A13-A12)</f>
        <v>10</v>
      </c>
      <c r="E13">
        <f>(C13+C12)/2</f>
        <v>3.0600000000000094</v>
      </c>
      <c r="F13">
        <f>D13*E13</f>
        <v>30.600000000000094</v>
      </c>
      <c r="G13">
        <f>(D13^2+(C12-C13)^2)^0.5</f>
        <v>10.035217984677761</v>
      </c>
    </row>
    <row r="14">
      <c r="A14">
        <v>80</v>
      </c>
      <c r="B14">
        <v>96.79999999999998</v>
      </c>
      <c r="C14">
        <f>IF(B14&gt;$F$4,0,$F$4-B14)</f>
        <v>3.8000000000000114</v>
      </c>
      <c r="D14">
        <f>(A14-A13)</f>
        <v>10</v>
      </c>
      <c r="E14">
        <f>(C14+C13)/2</f>
        <v>3.6400000000000077</v>
      </c>
      <c r="F14">
        <f>D14*E14</f>
        <v>36.40000000000008</v>
      </c>
      <c r="G14">
        <f>(D14^2+(C13-C14)^2)^0.5</f>
        <v>10.00511868995066</v>
      </c>
    </row>
    <row r="15">
      <c r="A15">
        <v>90</v>
      </c>
      <c r="B15">
        <v>96.46999999999998</v>
      </c>
      <c r="C15">
        <f>IF(B15&gt;$F$4,0,$F$4-B15)</f>
        <v>4.13000000000001</v>
      </c>
      <c r="D15">
        <f>(A15-A14)</f>
        <v>10</v>
      </c>
      <c r="E15">
        <f>(C15+C14)/2</f>
        <v>3.9650000000000105</v>
      </c>
      <c r="F15">
        <f>D15*E15</f>
        <v>39.650000000000105</v>
      </c>
      <c r="G15">
        <f>(D15^2+(C14-C15)^2)^0.5</f>
        <v>10.005443518405368</v>
      </c>
    </row>
    <row r="16">
      <c r="A16">
        <v>100</v>
      </c>
      <c r="B16">
        <v>96.49</v>
      </c>
      <c r="C16">
        <f>IF(B16&gt;$F$4,0,$F$4-B16)</f>
        <v>4.109999999999999</v>
      </c>
      <c r="D16">
        <f>(A16-A15)</f>
        <v>10</v>
      </c>
      <c r="E16">
        <f>(C16+C15)/2</f>
        <v>4.1200000000000045</v>
      </c>
      <c r="F16">
        <f>D16*E16</f>
        <v>41.200000000000045</v>
      </c>
      <c r="G16">
        <f>(D16^2+(C15-C16)^2)^0.5</f>
        <v>10.00001999998</v>
      </c>
    </row>
    <row r="17">
      <c r="A17">
        <v>110</v>
      </c>
      <c r="B17">
        <v>97.03999999999998</v>
      </c>
      <c r="C17">
        <f>IF(B17&gt;$F$4,0,$F$4-B17)</f>
        <v>3.5600000000000165</v>
      </c>
      <c r="D17">
        <f>(A17-A16)</f>
        <v>10</v>
      </c>
      <c r="E17">
        <f>(C17+C16)/2</f>
        <v>3.835000000000008</v>
      </c>
      <c r="F17">
        <f>D17*E17</f>
        <v>38.35000000000008</v>
      </c>
      <c r="G17">
        <f>(D17^2+(C16-C17)^2)^0.5</f>
        <v>10.01511357898651</v>
      </c>
    </row>
    <row r="18">
      <c r="A18">
        <v>120</v>
      </c>
      <c r="B18">
        <v>97.28999999999998</v>
      </c>
      <c r="C18">
        <f>IF(B18&gt;$F$4,0,$F$4-B18)</f>
        <v>3.3100000000000165</v>
      </c>
      <c r="D18">
        <f>(A18-A17)</f>
        <v>10</v>
      </c>
      <c r="E18">
        <f>(C18+C17)/2</f>
        <v>3.4350000000000165</v>
      </c>
      <c r="F18">
        <f>D18*E18</f>
        <v>34.350000000000165</v>
      </c>
      <c r="G18">
        <f>(D18^2+(C17-C18)^2)^0.5</f>
        <v>10.003124511871277</v>
      </c>
    </row>
    <row r="19">
      <c r="A19">
        <v>130</v>
      </c>
      <c r="B19">
        <v>97.73999999999998</v>
      </c>
      <c r="C19">
        <f>IF(B19&gt;$F$4,0,$F$4-B19)</f>
        <v>2.8600000000000136</v>
      </c>
      <c r="D19">
        <f>(A19-A18)</f>
        <v>10</v>
      </c>
      <c r="E19">
        <f>(C19+C18)/2</f>
        <v>3.085000000000015</v>
      </c>
      <c r="F19">
        <f>D19*E19</f>
        <v>30.85000000000015</v>
      </c>
      <c r="G19">
        <f>(D19^2+(C18-C19)^2)^0.5</f>
        <v>10.010119879402044</v>
      </c>
    </row>
    <row r="20">
      <c r="A20">
        <v>140</v>
      </c>
      <c r="B20">
        <v>98.12999999999998</v>
      </c>
      <c r="C20">
        <f>IF(B20&gt;$F$4,0,$F$4-B20)</f>
        <v>2.470000000000013</v>
      </c>
      <c r="D20">
        <f>(A20-A19)</f>
        <v>10</v>
      </c>
      <c r="E20">
        <f>(C20+C19)/2</f>
        <v>2.6650000000000134</v>
      </c>
      <c r="F20">
        <f>D20*E20</f>
        <v>26.650000000000134</v>
      </c>
      <c r="G20">
        <f>(D20^2+(C19-C20)^2)^0.5</f>
        <v>10.007602110395876</v>
      </c>
    </row>
    <row r="21">
      <c r="A21">
        <v>150</v>
      </c>
      <c r="B21">
        <v>98.84999999999998</v>
      </c>
      <c r="C21">
        <f>IF(B21&gt;$F$4,0,$F$4-B21)</f>
        <v>1.7500000000000142</v>
      </c>
      <c r="D21">
        <f>(A21-A20)</f>
        <v>10</v>
      </c>
      <c r="E21">
        <f>(C21+C20)/2</f>
        <v>2.1100000000000136</v>
      </c>
      <c r="F21">
        <f>D21*E21</f>
        <v>21.100000000000136</v>
      </c>
      <c r="G21">
        <f>(D21^2+(C20-C21)^2)^0.5</f>
        <v>10.025886494470202</v>
      </c>
    </row>
    <row r="22">
      <c r="A22">
        <v>160</v>
      </c>
      <c r="B22">
        <v>98.07</v>
      </c>
      <c r="C22">
        <f>IF(B22&gt;$F$4,0,$F$4-B22)</f>
        <v>2.530000000000001</v>
      </c>
      <c r="D22">
        <f>(A22-A21)</f>
        <v>10</v>
      </c>
      <c r="E22">
        <f>(C22+C21)/2</f>
        <v>2.1400000000000077</v>
      </c>
      <c r="F22">
        <f>D22*E22</f>
        <v>21.400000000000077</v>
      </c>
      <c r="G22">
        <f>(D22^2+(C21-C22)^2)^0.5</f>
        <v>10.030373871396817</v>
      </c>
    </row>
    <row r="23">
      <c r="A23">
        <v>170</v>
      </c>
      <c r="B23">
        <v>98.75</v>
      </c>
      <c r="C23">
        <f>IF(B23&gt;$F$4,0,$F$4-B23)</f>
        <v>1.8499999999999943</v>
      </c>
      <c r="D23">
        <f>(A23-A22)</f>
        <v>10</v>
      </c>
      <c r="E23">
        <f>(C23+C22)/2</f>
        <v>2.1899999999999977</v>
      </c>
      <c r="F23">
        <f>D23*E23</f>
        <v>21.899999999999977</v>
      </c>
      <c r="G23">
        <f>(D23^2+(C22-C23)^2)^0.5</f>
        <v>10.023093334894174</v>
      </c>
    </row>
    <row r="24">
      <c r="A24">
        <v>180</v>
      </c>
      <c r="B24">
        <v>101.85</v>
      </c>
      <c r="C24">
        <f>IF(B24&gt;$F$4,0,$F$4-B24)</f>
        <v>0</v>
      </c>
      <c r="D24">
        <f>(A24-A23)</f>
        <v>10</v>
      </c>
      <c r="E24">
        <f>(C24+C23)/2</f>
        <v>0.9249999999999972</v>
      </c>
      <c r="F24">
        <f>D24*E24</f>
        <v>9.249999999999972</v>
      </c>
      <c r="G24">
        <f>(D24^2+(C23-C24)^2)^0.5</f>
        <v>10.169685344198216</v>
      </c>
    </row>
    <row r="25">
      <c r="A25">
        <v>190</v>
      </c>
      <c r="B25">
        <v>102</v>
      </c>
      <c r="C25">
        <f>IF(B25&gt;$F$4,0,$F$4-B25)</f>
        <v>0</v>
      </c>
      <c r="D25">
        <f>(A25-A24)</f>
        <v>10</v>
      </c>
      <c r="E25">
        <f>(C25+C24)/2</f>
        <v>0</v>
      </c>
      <c r="F25">
        <f>D25*E25</f>
        <v>0</v>
      </c>
      <c r="G25">
        <f>(D25^2+(C24-C25)^2)^0.5</f>
        <v>10</v>
      </c>
    </row>
    <row r="27">
      <c r="C27" t="str">
        <v>TOTAL</v>
      </c>
      <c r="D27">
        <f>SUM(D6:D26)</f>
        <v>190</v>
      </c>
      <c r="F27">
        <f>SUM(F6:F26)</f>
        <v>490.3000000000011</v>
      </c>
      <c r="G27">
        <f>SUM(G6:G26)</f>
        <v>190.70731489786334</v>
      </c>
    </row>
    <row r="28">
      <c r="A28">
        <f>A6</f>
        <v>0</v>
      </c>
      <c r="B28">
        <f>HYDRAULICS!F4</f>
        <v>100.6</v>
      </c>
    </row>
    <row r="29">
      <c r="A29">
        <f>A25</f>
        <v>190</v>
      </c>
      <c r="B29">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sheetData>
    <row r="1">
      <c r="A1" t="str">
        <v>DETERMINATION  OF BED SLOPE OF THE RIVER</v>
      </c>
    </row>
    <row r="2">
      <c r="A2" t="str">
        <f>'CROSS SECTION'!A2:J2</f>
        <v>Name Of Work :- Construction of Submersible Bridge on ON KHERWARA - JAWAS - SUVERI ROAD IN KM 9/000, ACROSS RIVER SOM</v>
      </c>
    </row>
    <row r="3">
      <c r="A3" t="str">
        <v>Chainage in M (u/s or d/s)</v>
      </c>
      <c r="B3" t="str">
        <v>RL in M</v>
      </c>
    </row>
    <row r="4">
      <c r="A4">
        <v>0</v>
      </c>
      <c r="B4">
        <v>94.505</v>
      </c>
    </row>
    <row r="5">
      <c r="A5">
        <v>25</v>
      </c>
      <c r="B5">
        <f>B4-0.025</f>
        <v>94.47999999999999</v>
      </c>
    </row>
    <row r="6">
      <c r="A6">
        <f>A5+25</f>
        <v>50</v>
      </c>
      <c r="B6">
        <f>B5-0.025</f>
        <v>94.45499999999998</v>
      </c>
    </row>
    <row r="7">
      <c r="A7">
        <f>A6+25</f>
        <v>75</v>
      </c>
      <c r="B7">
        <f>B6-0.025</f>
        <v>94.42999999999998</v>
      </c>
    </row>
    <row r="8">
      <c r="A8">
        <f>A7+25</f>
        <v>100</v>
      </c>
      <c r="B8">
        <f>B7-0.025</f>
        <v>94.40499999999997</v>
      </c>
    </row>
    <row r="9">
      <c r="A9">
        <f>A8+25</f>
        <v>125</v>
      </c>
      <c r="B9">
        <v>94.37</v>
      </c>
    </row>
    <row r="10">
      <c r="A10">
        <f>A9+25</f>
        <v>150</v>
      </c>
      <c r="B10">
        <v>94.36</v>
      </c>
    </row>
    <row r="11">
      <c r="A11">
        <f>A10+25</f>
        <v>175</v>
      </c>
      <c r="B11">
        <f>B10-0.025</f>
        <v>94.335</v>
      </c>
    </row>
    <row r="12">
      <c r="A12">
        <f>A11+25</f>
        <v>200</v>
      </c>
      <c r="B12">
        <f>B11-0.025</f>
        <v>94.30999999999999</v>
      </c>
    </row>
    <row r="13">
      <c r="A13">
        <f>A12+25</f>
        <v>225</v>
      </c>
      <c r="B13">
        <f>B12-0.025</f>
        <v>94.28499999999998</v>
      </c>
    </row>
    <row r="14">
      <c r="A14">
        <v>235</v>
      </c>
      <c r="B14">
        <f>B13-0.025</f>
        <v>94.25999999999998</v>
      </c>
    </row>
    <row r="17">
      <c r="D17" t="str">
        <v>Reference Poits</v>
      </c>
    </row>
    <row r="18">
      <c r="D18" t="str">
        <v>Ch</v>
      </c>
      <c r="E18" t="str">
        <v>RL</v>
      </c>
    </row>
    <row r="19">
      <c r="D19">
        <f>A4</f>
        <v>0</v>
      </c>
      <c r="E19">
        <f>B4</f>
        <v>94.505</v>
      </c>
    </row>
    <row r="20">
      <c r="D20">
        <f>A14</f>
        <v>235</v>
      </c>
      <c r="E20">
        <f>B14</f>
        <v>94.25999999999998</v>
      </c>
    </row>
    <row r="22">
      <c r="G22" t="str">
        <v>DISTANCE</v>
      </c>
      <c r="I22">
        <f>D20-D19</f>
        <v>235</v>
      </c>
      <c r="J22" t="str">
        <v>M</v>
      </c>
    </row>
    <row r="23">
      <c r="G23" t="str">
        <v>FALL</v>
      </c>
      <c r="I23">
        <f>E19-E20</f>
        <v>0.24500000000001876</v>
      </c>
      <c r="J23" t="str">
        <v>M</v>
      </c>
    </row>
    <row r="24">
      <c r="G24" t="str">
        <v>SLOPE</v>
      </c>
      <c r="H24">
        <v>1</v>
      </c>
      <c r="I24" t="str">
        <v>IN</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c r="A70" t="str">
        <v xml:space="preserve">SBC RECOMMENDATION AT 3 M DEPTH IN THE WEATHERED ROCK IS 21.5, 22.45, 21.5 TONNE PER SQUARE METER; </v>
      </c>
    </row>
    <row r="71">
      <c r="A71" t="str">
        <v xml:space="preserve">SBC RECOMMENDATION AT 3 M DEPTH IN THE WEATHERED ROCK IS 21.5, 22.45, 21.5 TONNE PER SQUARE METER; </v>
      </c>
    </row>
    <row r="73">
      <c r="A73" t="str">
        <v xml:space="preserve"> HOWEVER ADOPTED SBC IS </v>
      </c>
    </row>
    <row r="74">
      <c r="D74">
        <v>20</v>
      </c>
      <c r="E74" t="str">
        <v>TONNE PER SQUARE METER</v>
      </c>
    </row>
    <row r="76">
      <c r="C76" t="str">
        <v>OR</v>
      </c>
      <c r="D76">
        <f>D74*10</f>
        <v>200</v>
      </c>
      <c r="E76" t="str">
        <v>KN PER SQUARE METER</v>
      </c>
    </row>
    <row r="78">
      <c r="D78" t="str">
        <v>Hard Rock</v>
      </c>
      <c r="F78" t="str">
        <v>no</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sheetData>
    <row r="1">
      <c r="A1" t="str">
        <v xml:space="preserve">DESIGN OF PIER AND CHECK FOR STABILITY- SUBMERSIBLE BRIDGE </v>
      </c>
    </row>
    <row r="2">
      <c r="A2" t="str">
        <f>'abstract of stresses'!A2:N2</f>
        <v>Name Of Work :- Construction of Submersible Bridge on ON KHERWARA - JAWAS - SUVERI ROAD IN KM 9/000, ACROSS RIVER SOM</v>
      </c>
    </row>
    <row r="3">
      <c r="A3" t="str">
        <v>DESIGN DATA</v>
      </c>
    </row>
    <row r="5">
      <c r="A5">
        <v>1</v>
      </c>
      <c r="B5" t="str">
        <v>RIGHT EFFECTIVE SPAN</v>
      </c>
      <c r="D5" t="str">
        <v>=</v>
      </c>
      <c r="E5">
        <v>7.6</v>
      </c>
      <c r="F5" t="str">
        <v>M</v>
      </c>
      <c r="G5" t="str">
        <v>Degree of Skew</v>
      </c>
      <c r="K5" t="str">
        <v>Degrees</v>
      </c>
    </row>
    <row r="6">
      <c r="A6">
        <f>A5+1</f>
        <v>2</v>
      </c>
      <c r="B6" t="str">
        <v>SPAN C/C OF PIERS</v>
      </c>
      <c r="D6" t="str">
        <v>=</v>
      </c>
      <c r="E6">
        <f>E5+1.2</f>
        <v>8.799999999999999</v>
      </c>
      <c r="F6" t="str">
        <v>M</v>
      </c>
    </row>
    <row r="7">
      <c r="A7">
        <f>A6+1</f>
        <v>3</v>
      </c>
      <c r="B7" t="str">
        <v>OVERALL WIDTH OF PIER CAP</v>
      </c>
      <c r="D7" t="str">
        <v>=</v>
      </c>
      <c r="E7">
        <v>8.4</v>
      </c>
      <c r="F7" t="str">
        <v>M</v>
      </c>
      <c r="H7" t="str">
        <v>COS Theta</v>
      </c>
    </row>
    <row r="8">
      <c r="A8">
        <f>A7+1</f>
        <v>4</v>
      </c>
      <c r="B8" t="str">
        <v>H.F.L.</v>
      </c>
      <c r="D8" t="str">
        <v>=</v>
      </c>
      <c r="E8">
        <f>HYDRAULICS!F4</f>
        <v>100.6</v>
      </c>
      <c r="F8" t="str">
        <v>M</v>
      </c>
    </row>
    <row r="9">
      <c r="A9">
        <f>A8+1</f>
        <v>5</v>
      </c>
      <c r="B9" t="str">
        <v>BUOYANCY</v>
      </c>
    </row>
    <row r="10">
      <c r="A10">
        <f>A9+1</f>
        <v>6</v>
      </c>
      <c r="C10" t="str">
        <v>AT FOOTING LEVEL</v>
      </c>
      <c r="D10" t="str">
        <v>=</v>
      </c>
      <c r="E10">
        <v>100</v>
      </c>
      <c r="F10" t="str">
        <v>%</v>
      </c>
    </row>
    <row r="11">
      <c r="A11">
        <f>A10+1</f>
        <v>7</v>
      </c>
      <c r="C11" t="str">
        <v>AT PIER LEVEL</v>
      </c>
      <c r="D11" t="str">
        <v>=</v>
      </c>
      <c r="E11">
        <v>100</v>
      </c>
      <c r="F11" t="str">
        <v>%</v>
      </c>
    </row>
    <row r="12">
      <c r="A12">
        <f>A11+1</f>
        <v>8</v>
      </c>
      <c r="B12" t="str">
        <v>AQUEDUCT FALLS UNDER ZONE-II SO SEISMIC CASE IS NOT GOVERNING HERE.</v>
      </c>
    </row>
    <row r="13">
      <c r="A13">
        <f>A12+1</f>
        <v>9</v>
      </c>
      <c r="B13" t="str">
        <v>FLOOD DISCHARGE</v>
      </c>
      <c r="D13" t="str">
        <v>=</v>
      </c>
      <c r="E13">
        <f>HYDRAULICS!C35</f>
        <v>899.9299344694022</v>
      </c>
      <c r="F13" t="str">
        <v>CUMECS</v>
      </c>
    </row>
    <row r="14">
      <c r="A14">
        <f>A13+1</f>
        <v>10</v>
      </c>
      <c r="B14" t="str">
        <v>RIVER BED SLOPE</v>
      </c>
      <c r="D14" t="str">
        <v>=</v>
      </c>
      <c r="E14">
        <v>1</v>
      </c>
      <c r="F14" t="str">
        <v>IN</v>
      </c>
      <c r="G14">
        <f>HYDRAULICS!C33</f>
        <v>960</v>
      </c>
    </row>
    <row r="15">
      <c r="A15">
        <f>A14+1</f>
        <v>11</v>
      </c>
      <c r="B15" t="str">
        <v>DESIGN VELOCITY</v>
      </c>
      <c r="D15" t="str">
        <v>=</v>
      </c>
      <c r="E15">
        <f>HYDRAULICS!C34</f>
        <v>1.8354679471127884</v>
      </c>
      <c r="F15" t="str">
        <v>m/sec</v>
      </c>
    </row>
    <row r="16">
      <c r="A16">
        <f>A15+1</f>
        <v>12</v>
      </c>
      <c r="B16" t="str">
        <v>BED LEVEL OF THE HEIGHEST PIER</v>
      </c>
      <c r="D16" t="str">
        <v>=</v>
      </c>
      <c r="E16">
        <f>HYDRAULICS!E43</f>
        <v>96.46999999999998</v>
      </c>
      <c r="F16" t="str">
        <v>M</v>
      </c>
    </row>
    <row r="17">
      <c r="A17">
        <f>A16+1</f>
        <v>13</v>
      </c>
      <c r="B17" t="str">
        <v xml:space="preserve">SAFE BEARING CAPACITY </v>
      </c>
      <c r="D17" t="str">
        <v>=</v>
      </c>
      <c r="E17">
        <v>20</v>
      </c>
      <c r="F17" t="str">
        <v>t/m2</v>
      </c>
      <c r="G17">
        <f>E17*10</f>
        <v>200</v>
      </c>
      <c r="H17" t="str">
        <v>kN/m2</v>
      </c>
    </row>
    <row r="18">
      <c r="A18">
        <f>A17+1</f>
        <v>14</v>
      </c>
      <c r="B18" t="str">
        <v>TOP LEVEL OF FOUNDING ROCK</v>
      </c>
      <c r="D18" t="str">
        <v>=</v>
      </c>
      <c r="E18">
        <f>HYDRAULICS!E45</f>
        <v>93.46999999999998</v>
      </c>
      <c r="F18" t="str">
        <v>M</v>
      </c>
    </row>
    <row r="19">
      <c r="A19">
        <f>A18+1</f>
        <v>15</v>
      </c>
      <c r="B19" t="str">
        <v>EMBEDMENT OF PIER IN HARD ROCK</v>
      </c>
      <c r="D19" t="str">
        <v>=</v>
      </c>
      <c r="E19">
        <v>1.5</v>
      </c>
      <c r="F19" t="str">
        <v>M</v>
      </c>
      <c r="G19" t="str">
        <v>Weathered Rock</v>
      </c>
    </row>
    <row r="20">
      <c r="A20">
        <f>A19+1</f>
        <v>16</v>
      </c>
      <c r="B20" t="str">
        <v>FOUNDATION LEVEL OF THE HIGHEST PIER</v>
      </c>
      <c r="D20" t="str">
        <v>=</v>
      </c>
      <c r="E20">
        <f>E18-E19</f>
        <v>91.96999999999998</v>
      </c>
      <c r="F20" t="str">
        <v>M</v>
      </c>
    </row>
    <row r="21">
      <c r="A21">
        <f>A20+1</f>
        <v>17</v>
      </c>
      <c r="B21" t="str">
        <v>DECK LEVEL OF THE BRIDGE</v>
      </c>
      <c r="D21" t="str">
        <v>=</v>
      </c>
      <c r="E21">
        <f>'afflux calculation'!B50</f>
        <v>101.6</v>
      </c>
      <c r="F21" t="str">
        <v>M</v>
      </c>
    </row>
    <row r="22">
      <c r="A22">
        <f>A21+1</f>
        <v>18</v>
      </c>
      <c r="B22" t="str">
        <v>TOP LEVEL OF THE PIER CAP</v>
      </c>
      <c r="D22" t="str">
        <v>=</v>
      </c>
      <c r="E22">
        <f>E21-H27-H28</f>
        <v>100.77499999999999</v>
      </c>
      <c r="F22" t="str">
        <v>M</v>
      </c>
    </row>
    <row r="23">
      <c r="A23">
        <f>A22+1</f>
        <v>19</v>
      </c>
      <c r="B23" t="str">
        <v>LEVEL DIFFERENCE OF PIER CAP TOP AND FOUNDING LEVEL</v>
      </c>
      <c r="D23" t="str">
        <v>=</v>
      </c>
      <c r="E23">
        <f>E22-E20</f>
        <v>8.805000000000007</v>
      </c>
      <c r="F23" t="str">
        <v>M</v>
      </c>
    </row>
    <row r="24">
      <c r="A24" t="str">
        <f>CONCATENATE("CHECKING STABILITY OF PIER AT R.L.",E20," ",F20, "  FOOTING LEVEL")</f>
        <v>CHECKING STABILITY OF PIER AT R.L.91.97 M  FOOTING LEVEL</v>
      </c>
    </row>
    <row r="25">
      <c r="A25" t="str">
        <v>A</v>
      </c>
      <c r="B25" t="str">
        <v>DEAD LOAD CALCULATION</v>
      </c>
    </row>
    <row r="26">
      <c r="B26" t="str">
        <v>SUPER STRUCTURE</v>
      </c>
      <c r="H26" t="str">
        <v>SLAB 775 TO 925 MM</v>
      </c>
    </row>
    <row r="27">
      <c r="B27" t="str">
        <v>Self Weight of  Slab</v>
      </c>
      <c r="C27" t="str">
        <v>=</v>
      </c>
      <c r="D27">
        <f>E6</f>
        <v>8.799999999999999</v>
      </c>
      <c r="E27" t="str">
        <v>x</v>
      </c>
      <c r="F27">
        <v>8.4</v>
      </c>
      <c r="G27" t="str">
        <v>x</v>
      </c>
      <c r="H27">
        <v>0.75</v>
      </c>
      <c r="I27" t="str">
        <v>x</v>
      </c>
      <c r="J27">
        <v>24</v>
      </c>
      <c r="K27" t="str">
        <v>=</v>
      </c>
      <c r="L27">
        <f>D27*F27*H27*J27</f>
        <v>1330.5599999999997</v>
      </c>
      <c r="M27" t="str">
        <v>kN</v>
      </c>
    </row>
    <row r="28">
      <c r="B28" t="str">
        <v>Self Weight of Wearing Coat</v>
      </c>
      <c r="C28" t="str">
        <v>=</v>
      </c>
      <c r="D28">
        <f>D27</f>
        <v>8.799999999999999</v>
      </c>
      <c r="E28" t="str">
        <v>x</v>
      </c>
      <c r="F28">
        <v>8.4</v>
      </c>
      <c r="G28" t="str">
        <v>x</v>
      </c>
      <c r="H28">
        <v>0.075</v>
      </c>
      <c r="I28" t="str">
        <v>x</v>
      </c>
      <c r="J28">
        <v>24</v>
      </c>
      <c r="K28" t="str">
        <v>=</v>
      </c>
      <c r="L28">
        <f>D28*F28*H28*J28</f>
        <v>133.05599999999998</v>
      </c>
      <c r="M28" t="str">
        <v>kN</v>
      </c>
    </row>
    <row r="29">
      <c r="B29" t="str">
        <v>TOTAL</v>
      </c>
      <c r="L29">
        <f>SUM(L27:L28)</f>
        <v>1463.6159999999998</v>
      </c>
      <c r="M29" t="str">
        <v>kN</v>
      </c>
    </row>
    <row r="30">
      <c r="B30" t="str">
        <v>SUB STRUCTURE</v>
      </c>
    </row>
    <row r="31">
      <c r="B31" t="str">
        <v>Pier Cap</v>
      </c>
    </row>
    <row r="32">
      <c r="B32" t="str">
        <v>Pier Cap</v>
      </c>
      <c r="C32" t="str">
        <v>=</v>
      </c>
      <c r="D32">
        <v>1.5</v>
      </c>
      <c r="E32" t="str">
        <v>x</v>
      </c>
      <c r="F32">
        <v>8.4</v>
      </c>
      <c r="G32" t="str">
        <v>x</v>
      </c>
      <c r="H32">
        <v>0.6</v>
      </c>
      <c r="I32" t="str">
        <v>x</v>
      </c>
      <c r="J32">
        <v>24</v>
      </c>
      <c r="O32" t="str">
        <v>=</v>
      </c>
      <c r="P32">
        <f>J32*H32*F32*D32</f>
        <v>181.44</v>
      </c>
      <c r="Q32" t="str">
        <v>kN</v>
      </c>
    </row>
    <row r="33">
      <c r="B33" t="str">
        <v>Flared Portion Sides</v>
      </c>
      <c r="C33" t="str">
        <v>=</v>
      </c>
      <c r="D33">
        <v>0.5</v>
      </c>
      <c r="E33" t="str">
        <v>x</v>
      </c>
      <c r="F33">
        <v>0.15</v>
      </c>
      <c r="G33" t="str">
        <v>x</v>
      </c>
      <c r="H33">
        <v>0.6</v>
      </c>
      <c r="I33" t="str">
        <v>x</v>
      </c>
      <c r="J33">
        <f>F32</f>
        <v>8.4</v>
      </c>
      <c r="K33" t="str">
        <v>x</v>
      </c>
      <c r="L33">
        <v>2</v>
      </c>
      <c r="M33" t="str">
        <v>x</v>
      </c>
      <c r="N33">
        <v>24</v>
      </c>
      <c r="O33" t="str">
        <v>=</v>
      </c>
      <c r="P33">
        <f>D33*F33*H33*J33*L33*N33</f>
        <v>18.144</v>
      </c>
      <c r="Q33" t="str">
        <v>kN</v>
      </c>
    </row>
    <row r="34">
      <c r="C34" t="str">
        <v>=</v>
      </c>
      <c r="D34">
        <v>0.5</v>
      </c>
      <c r="E34" t="str">
        <v>x</v>
      </c>
      <c r="F34">
        <f>F33</f>
        <v>0.15</v>
      </c>
      <c r="G34" t="str">
        <v>x</v>
      </c>
      <c r="H34">
        <v>0.6</v>
      </c>
      <c r="I34" t="str">
        <v>x</v>
      </c>
      <c r="J34">
        <v>3.14</v>
      </c>
      <c r="K34" t="str">
        <v>x</v>
      </c>
      <c r="L34">
        <v>1.2</v>
      </c>
      <c r="M34" t="str">
        <v>x</v>
      </c>
      <c r="N34">
        <v>24</v>
      </c>
      <c r="O34" t="str">
        <v>=</v>
      </c>
      <c r="P34">
        <f>D34*F34*H34*J34*L34*N34</f>
        <v>4.06944</v>
      </c>
      <c r="Q34" t="str">
        <v>kN</v>
      </c>
    </row>
    <row r="35">
      <c r="B35" t="str">
        <v>Flared Portion u/s &amp; d/s Sides</v>
      </c>
      <c r="C35" t="str">
        <v>=</v>
      </c>
      <c r="D35">
        <v>0.6</v>
      </c>
      <c r="E35" t="str">
        <v>x</v>
      </c>
      <c r="F35">
        <v>0.6</v>
      </c>
      <c r="G35" t="str">
        <v>x</v>
      </c>
      <c r="H35">
        <v>1.5</v>
      </c>
      <c r="I35" t="str">
        <v>x</v>
      </c>
      <c r="J35">
        <v>24</v>
      </c>
      <c r="O35" t="str">
        <v>=</v>
      </c>
      <c r="P35">
        <f>J35*H35*F35*D35</f>
        <v>12.959999999999999</v>
      </c>
      <c r="Q35" t="str">
        <v>kN</v>
      </c>
    </row>
    <row r="36">
      <c r="C36" t="str">
        <v>=</v>
      </c>
      <c r="D36">
        <v>3.14</v>
      </c>
      <c r="E36" t="str">
        <v>/</v>
      </c>
      <c r="F36">
        <v>4</v>
      </c>
      <c r="G36" t="str">
        <v>x</v>
      </c>
      <c r="H36">
        <v>1.2</v>
      </c>
      <c r="I36" t="str">
        <v>x</v>
      </c>
      <c r="J36">
        <v>1.2</v>
      </c>
      <c r="K36" t="str">
        <v>x</v>
      </c>
      <c r="L36">
        <v>0.6</v>
      </c>
      <c r="M36" t="str">
        <v>x</v>
      </c>
      <c r="N36">
        <v>24</v>
      </c>
      <c r="O36" t="str">
        <v>=</v>
      </c>
      <c r="P36">
        <f>D36/F36*H36*J36*L36*N36</f>
        <v>16.277759999999997</v>
      </c>
      <c r="Q36" t="str">
        <v>kN</v>
      </c>
    </row>
    <row r="37">
      <c r="B37" t="str">
        <v>TOTAL</v>
      </c>
      <c r="P37">
        <f>SUM(P32:P36)</f>
        <v>232.8912</v>
      </c>
      <c r="Q37" t="str">
        <v>kN</v>
      </c>
    </row>
    <row r="38">
      <c r="B38" t="str">
        <v xml:space="preserve">Pier </v>
      </c>
    </row>
    <row r="39">
      <c r="B39" t="str">
        <v>Flared Portion Top</v>
      </c>
      <c r="C39" t="str">
        <v>=</v>
      </c>
      <c r="D39">
        <v>0.5</v>
      </c>
      <c r="E39" t="str">
        <v>x</v>
      </c>
      <c r="F39">
        <f>F33</f>
        <v>0.15</v>
      </c>
      <c r="G39" t="str">
        <v>x</v>
      </c>
      <c r="H39">
        <v>0.6</v>
      </c>
      <c r="I39" t="str">
        <v>x</v>
      </c>
      <c r="J39">
        <f>F32</f>
        <v>8.4</v>
      </c>
      <c r="K39" t="str">
        <v>x</v>
      </c>
      <c r="L39">
        <v>2</v>
      </c>
      <c r="M39" t="str">
        <v>x</v>
      </c>
      <c r="N39">
        <v>24</v>
      </c>
      <c r="O39" t="str">
        <v>=</v>
      </c>
      <c r="P39">
        <f>D39*F39*H39*J39*L39*N39</f>
        <v>18.144</v>
      </c>
      <c r="Q39" t="str">
        <v>kN</v>
      </c>
    </row>
    <row r="40">
      <c r="C40" t="str">
        <v>=</v>
      </c>
      <c r="D40">
        <v>0.5</v>
      </c>
      <c r="E40" t="str">
        <v>x</v>
      </c>
      <c r="F40">
        <f>F34</f>
        <v>0.15</v>
      </c>
      <c r="G40" t="str">
        <v>x</v>
      </c>
      <c r="H40">
        <v>0.6</v>
      </c>
      <c r="I40" t="str">
        <v>x</v>
      </c>
      <c r="J40">
        <v>3.14</v>
      </c>
      <c r="K40" t="str">
        <v>x</v>
      </c>
      <c r="L40">
        <f>L34</f>
        <v>1.2</v>
      </c>
      <c r="M40" t="str">
        <v>x</v>
      </c>
      <c r="N40">
        <v>24</v>
      </c>
      <c r="O40" t="str">
        <v>=</v>
      </c>
      <c r="P40">
        <f>D40*F40*H40*J40*L40*N40</f>
        <v>4.06944</v>
      </c>
      <c r="Q40" t="str">
        <v>kN</v>
      </c>
    </row>
    <row r="41">
      <c r="B41" t="str">
        <v>Pier Rectangular portion</v>
      </c>
      <c r="C41" t="str">
        <v>=</v>
      </c>
      <c r="D41">
        <v>1.2</v>
      </c>
      <c r="E41" t="str">
        <v>x</v>
      </c>
      <c r="F41">
        <v>7.5</v>
      </c>
      <c r="G41" t="str">
        <v>x</v>
      </c>
      <c r="H41">
        <f>E23-1.2-0.6-1.05</f>
        <v>5.955000000000007</v>
      </c>
      <c r="I41" t="str">
        <v>x</v>
      </c>
      <c r="J41">
        <v>24</v>
      </c>
      <c r="O41" t="str">
        <v>=</v>
      </c>
      <c r="P41">
        <f>J41*H41*F41*D41</f>
        <v>1286.2800000000018</v>
      </c>
      <c r="Q41" t="str">
        <v>kN</v>
      </c>
    </row>
    <row r="42">
      <c r="B42" t="str">
        <v>Pier Curved portion</v>
      </c>
      <c r="C42" t="str">
        <v>=</v>
      </c>
      <c r="D42">
        <v>3.14</v>
      </c>
      <c r="E42" t="str">
        <v>/</v>
      </c>
      <c r="F42">
        <v>4</v>
      </c>
      <c r="G42" t="str">
        <v>x</v>
      </c>
      <c r="H42">
        <f>D41</f>
        <v>1.2</v>
      </c>
      <c r="I42" t="str">
        <v>x</v>
      </c>
      <c r="J42">
        <f>D41</f>
        <v>1.2</v>
      </c>
      <c r="K42" t="str">
        <v>x</v>
      </c>
      <c r="L42">
        <f>H41</f>
        <v>5.955000000000007</v>
      </c>
      <c r="M42" t="str">
        <v>x</v>
      </c>
      <c r="N42">
        <v>24</v>
      </c>
      <c r="O42" t="str">
        <v>=</v>
      </c>
      <c r="P42">
        <f>D42/F42*H42*J42*L42*N42</f>
        <v>161.55676800000018</v>
      </c>
      <c r="Q42" t="str">
        <v>kN</v>
      </c>
    </row>
    <row r="43">
      <c r="B43" t="str">
        <v>Flared Portion U/S &amp; D/S Sides</v>
      </c>
      <c r="C43" t="str">
        <v>=</v>
      </c>
      <c r="D43">
        <v>0.5</v>
      </c>
      <c r="E43" t="str">
        <v>x</v>
      </c>
      <c r="F43">
        <v>0.3</v>
      </c>
      <c r="G43" t="str">
        <v>x</v>
      </c>
      <c r="H43">
        <v>0.6</v>
      </c>
      <c r="I43" t="str">
        <v>x</v>
      </c>
      <c r="J43">
        <v>3.14</v>
      </c>
      <c r="K43" t="str">
        <v>x</v>
      </c>
      <c r="L43">
        <v>0.8</v>
      </c>
      <c r="M43" t="str">
        <v>x</v>
      </c>
      <c r="N43">
        <v>24</v>
      </c>
      <c r="O43" t="str">
        <v>=</v>
      </c>
      <c r="P43">
        <f>D43*F43*H43*J43*L43*N43</f>
        <v>5.4259200000000005</v>
      </c>
      <c r="Q43" t="str">
        <v>kN</v>
      </c>
    </row>
    <row r="44">
      <c r="B44" t="str">
        <v>Flared Portion bottom</v>
      </c>
      <c r="C44" t="str">
        <v>=</v>
      </c>
      <c r="D44">
        <v>0.5</v>
      </c>
      <c r="E44" t="str">
        <v>x</v>
      </c>
      <c r="F44">
        <v>0.6</v>
      </c>
      <c r="G44" t="str">
        <v>x</v>
      </c>
      <c r="H44">
        <f>F43</f>
        <v>0.3</v>
      </c>
      <c r="I44" t="str">
        <v>x</v>
      </c>
      <c r="J44">
        <v>24</v>
      </c>
      <c r="O44" t="str">
        <v>=</v>
      </c>
      <c r="P44">
        <f>J44*H44*F44*D44</f>
        <v>2.1599999999999997</v>
      </c>
      <c r="Q44" t="str">
        <v>kN</v>
      </c>
    </row>
    <row r="45">
      <c r="C45" t="str">
        <v>=</v>
      </c>
      <c r="D45">
        <v>3.14</v>
      </c>
      <c r="E45" t="str">
        <v>/</v>
      </c>
      <c r="F45">
        <v>4</v>
      </c>
      <c r="G45" t="str">
        <v>x</v>
      </c>
      <c r="H45">
        <v>1.2</v>
      </c>
      <c r="I45" t="str">
        <v>x</v>
      </c>
      <c r="J45">
        <v>1.2</v>
      </c>
      <c r="K45" t="str">
        <v>x</v>
      </c>
      <c r="L45">
        <v>0.6</v>
      </c>
      <c r="M45" t="str">
        <v>x</v>
      </c>
      <c r="N45">
        <v>24</v>
      </c>
      <c r="O45" t="str">
        <v>=</v>
      </c>
      <c r="P45">
        <f>D45/F45*H45*J45*L45*N45</f>
        <v>16.277759999999997</v>
      </c>
      <c r="Q45" t="str">
        <v>kN</v>
      </c>
    </row>
    <row r="46">
      <c r="B46" t="str">
        <v>TOTAL</v>
      </c>
      <c r="P46">
        <f>SUM(P39:P45)</f>
        <v>1493.9138880000019</v>
      </c>
      <c r="Q46" t="str">
        <v>kN</v>
      </c>
    </row>
    <row r="48">
      <c r="B48" t="str">
        <v>Weight of Pier Above H.F.L.</v>
      </c>
      <c r="C48" t="str">
        <v>=</v>
      </c>
      <c r="P48">
        <v>0</v>
      </c>
      <c r="Q48" t="str">
        <v>kN</v>
      </c>
    </row>
    <row r="49">
      <c r="B49" t="str">
        <v>Weight of Pier Below H.F.L.</v>
      </c>
      <c r="C49" t="str">
        <v>=</v>
      </c>
      <c r="D49">
        <f>P46</f>
        <v>1493.9138880000019</v>
      </c>
      <c r="E49" t="str">
        <v>-</v>
      </c>
      <c r="F49">
        <f>P48</f>
        <v>0</v>
      </c>
      <c r="O49" t="str">
        <v>=</v>
      </c>
      <c r="P49">
        <f>P46-P48</f>
        <v>1493.9138880000019</v>
      </c>
      <c r="Q49" t="str">
        <v>kN</v>
      </c>
    </row>
    <row r="51">
      <c r="B51" t="str">
        <v>Weight of Sub Structure with 15% Buoyancy</v>
      </c>
      <c r="C51" t="str">
        <v>=</v>
      </c>
      <c r="D51">
        <f>P48</f>
        <v>0</v>
      </c>
      <c r="E51" t="str">
        <v>+ (</v>
      </c>
      <c r="F51">
        <f>P49</f>
        <v>1493.9138880000019</v>
      </c>
      <c r="G51" t="str">
        <v>x</v>
      </c>
      <c r="H51">
        <v>22.5</v>
      </c>
      <c r="I51" t="str">
        <v>/</v>
      </c>
      <c r="J51">
        <v>24</v>
      </c>
      <c r="K51" t="str">
        <v>)</v>
      </c>
      <c r="O51" t="str">
        <v>=</v>
      </c>
      <c r="P51">
        <f>P48+P49*2.25/2.4</f>
        <v>1400.544270000002</v>
      </c>
      <c r="Q51" t="str">
        <v>kN</v>
      </c>
    </row>
    <row r="52">
      <c r="B52" t="str">
        <v>Footing</v>
      </c>
      <c r="D52" t="str">
        <v>SIZE</v>
      </c>
      <c r="E52">
        <f>'STABILITY CHECK FOR PIER'!E7+2*(M63+M64+M65)</f>
        <v>12</v>
      </c>
      <c r="F52" t="str">
        <v>M x</v>
      </c>
      <c r="G52">
        <f>'afflux calculation'!B62+2*(M63+M64+M66)</f>
        <v>3.8</v>
      </c>
      <c r="H52" t="str">
        <v>M x</v>
      </c>
      <c r="J52">
        <v>1</v>
      </c>
      <c r="K52" t="str">
        <v>M</v>
      </c>
    </row>
    <row r="53">
      <c r="B53" t="str">
        <v>Weight without Buoyancy</v>
      </c>
      <c r="C53" t="str">
        <v>=</v>
      </c>
      <c r="D53">
        <f>E52</f>
        <v>12</v>
      </c>
      <c r="E53" t="str">
        <v>x</v>
      </c>
      <c r="F53">
        <f>G52</f>
        <v>3.8</v>
      </c>
      <c r="G53" t="str">
        <v>x</v>
      </c>
      <c r="H53">
        <f>J52</f>
        <v>1</v>
      </c>
      <c r="I53" t="str">
        <v>x</v>
      </c>
      <c r="J53">
        <v>24</v>
      </c>
      <c r="O53" t="str">
        <v>=</v>
      </c>
      <c r="P53">
        <f>J53*H53*F53*D53</f>
        <v>1094.3999999999999</v>
      </c>
      <c r="Q53" t="str">
        <v>kN</v>
      </c>
    </row>
    <row r="54">
      <c r="B54" t="str">
        <v>Weight with 100% Buoyancy</v>
      </c>
      <c r="C54" t="str">
        <v>=</v>
      </c>
      <c r="D54">
        <f>D53</f>
        <v>12</v>
      </c>
      <c r="E54" t="str">
        <f>E53</f>
        <v>x</v>
      </c>
      <c r="F54">
        <f>F53</f>
        <v>3.8</v>
      </c>
      <c r="G54" t="str">
        <f>G53</f>
        <v>x</v>
      </c>
      <c r="H54">
        <f>H53</f>
        <v>1</v>
      </c>
      <c r="I54" t="str">
        <f>I53</f>
        <v>x</v>
      </c>
      <c r="J54">
        <v>14</v>
      </c>
      <c r="O54" t="str">
        <f>O53</f>
        <v>=</v>
      </c>
      <c r="P54">
        <f>J54*H54*F54*D54</f>
        <v>638.4</v>
      </c>
      <c r="Q54" t="str">
        <f>Q53</f>
        <v>kN</v>
      </c>
    </row>
    <row r="55">
      <c r="B55" t="str">
        <v>Total Weight of Substructure Without Buoyancy</v>
      </c>
    </row>
    <row r="56">
      <c r="C56" t="str">
        <v>=</v>
      </c>
      <c r="D56">
        <f>P37</f>
        <v>232.8912</v>
      </c>
      <c r="E56" t="str">
        <v>+</v>
      </c>
      <c r="F56">
        <f>P46</f>
        <v>1493.9138880000019</v>
      </c>
      <c r="G56" t="str">
        <v>+</v>
      </c>
      <c r="H56">
        <f>P53</f>
        <v>1094.3999999999999</v>
      </c>
      <c r="O56" t="str">
        <v>=</v>
      </c>
      <c r="P56">
        <f>H56+F56+D56</f>
        <v>2821.2050880000015</v>
      </c>
      <c r="Q56" t="str">
        <v>kN</v>
      </c>
    </row>
    <row r="57">
      <c r="B57" t="str">
        <v>Flared Portion U/S &amp; D/S Sides</v>
      </c>
      <c r="C57" t="str">
        <v>=</v>
      </c>
      <c r="D57">
        <v>0.5</v>
      </c>
      <c r="E57" t="str">
        <v>x</v>
      </c>
      <c r="F57">
        <v>0.3</v>
      </c>
      <c r="G57" t="str">
        <v>x</v>
      </c>
      <c r="H57">
        <v>0.6</v>
      </c>
      <c r="I57" t="str">
        <v>x</v>
      </c>
      <c r="J57">
        <v>3.14</v>
      </c>
      <c r="K57" t="str">
        <v>x</v>
      </c>
      <c r="L57">
        <v>0.8</v>
      </c>
      <c r="M57" t="str">
        <v>x</v>
      </c>
      <c r="N57">
        <v>24</v>
      </c>
      <c r="O57" t="str">
        <v>=</v>
      </c>
      <c r="P57">
        <f>D57*F57*H57*J57*L57*N57</f>
        <v>5.4259200000000005</v>
      </c>
      <c r="Q57" t="str">
        <v>kN</v>
      </c>
    </row>
    <row r="58">
      <c r="B58" t="str">
        <v>Total Weight of Substructure With Buoyancy</v>
      </c>
    </row>
    <row r="59">
      <c r="C59" t="str">
        <v>=</v>
      </c>
      <c r="D59">
        <f>D56</f>
        <v>232.8912</v>
      </c>
      <c r="E59" t="str">
        <v>+</v>
      </c>
      <c r="F59">
        <f>P51</f>
        <v>1400.544270000002</v>
      </c>
      <c r="G59" t="str">
        <v>+</v>
      </c>
      <c r="H59">
        <f>P54</f>
        <v>638.4</v>
      </c>
      <c r="O59" t="str">
        <v>=</v>
      </c>
      <c r="P59">
        <f>H59+F59+D59</f>
        <v>2271.835470000002</v>
      </c>
      <c r="Q59" t="str">
        <v>kN</v>
      </c>
    </row>
    <row r="61">
      <c r="A61" t="str">
        <v>B</v>
      </c>
      <c r="B61" t="str">
        <v>LIVE LOAD CALCULATION</v>
      </c>
    </row>
    <row r="62">
      <c r="B62" t="str">
        <v>Maximum Reaction due Live Load including Impact</v>
      </c>
      <c r="C62" t="str">
        <v>=</v>
      </c>
      <c r="D62">
        <f>F63</f>
        <v>788.2663473053892</v>
      </c>
      <c r="E62" t="str">
        <v>x</v>
      </c>
      <c r="F62">
        <v>1</v>
      </c>
      <c r="G62" t="str">
        <v>=</v>
      </c>
      <c r="H62">
        <f>D62*F62</f>
        <v>788.2663473053892</v>
      </c>
      <c r="J62" t="str">
        <v>kN</v>
      </c>
    </row>
    <row r="63">
      <c r="B63" t="str">
        <v xml:space="preserve">Refer Live load Computation sheet showing maximum reaction </v>
      </c>
      <c r="C63" t="str">
        <v>=</v>
      </c>
      <c r="D63">
        <f>'LL-ABSTRACT'!H2</f>
        <v>78.82663473053893</v>
      </c>
      <c r="E63" t="str">
        <v>T which is =</v>
      </c>
      <c r="F63">
        <f>D63*10</f>
        <v>788.2663473053892</v>
      </c>
      <c r="G63" t="str">
        <v>kN</v>
      </c>
      <c r="L63" t="str">
        <v>Haunch</v>
      </c>
      <c r="M63">
        <v>0.6</v>
      </c>
      <c r="N63" t="str">
        <v>M</v>
      </c>
    </row>
    <row r="64">
      <c r="L64" t="str">
        <v>PCC Offset</v>
      </c>
      <c r="M64">
        <v>0.2</v>
      </c>
      <c r="N64" t="str">
        <v>M</v>
      </c>
    </row>
    <row r="65">
      <c r="B65" t="str">
        <v>TOTAL LONGITUDINAL MOMENT DUE TO LIVE LOAD &amp; BREAKING FORCE</v>
      </c>
      <c r="L65" t="str">
        <v>Length Variant</v>
      </c>
      <c r="M65">
        <v>1</v>
      </c>
      <c r="N65" t="str">
        <v>M</v>
      </c>
    </row>
    <row r="66">
      <c r="B66" t="str">
        <v xml:space="preserve">Maximum Longitudinal moment due to Live Load including Impact and Breaking Force </v>
      </c>
      <c r="C66" t="str">
        <v>=</v>
      </c>
      <c r="D66">
        <f>F68</f>
        <v>122.12665868263474</v>
      </c>
      <c r="E66" t="str">
        <v>x</v>
      </c>
      <c r="F66">
        <v>2</v>
      </c>
      <c r="G66" t="str">
        <v>=</v>
      </c>
      <c r="H66">
        <f>D66*F66</f>
        <v>244.25331736526948</v>
      </c>
      <c r="J66" t="str">
        <v>kN-m</v>
      </c>
      <c r="L66" t="str">
        <v>Width Variant</v>
      </c>
      <c r="M66">
        <f>M65/2</f>
        <v>0.5</v>
      </c>
      <c r="N66" t="str">
        <v>M</v>
      </c>
    </row>
    <row r="67">
      <c r="B67" t="str">
        <v xml:space="preserve">Refer Live load Computation sheet showing maximum reaction  </v>
      </c>
      <c r="C67" t="str">
        <v>=</v>
      </c>
      <c r="D67">
        <f>'LL-ABSTRACT'!H4</f>
        <v>12.212665868263475</v>
      </c>
      <c r="E67" t="str">
        <v xml:space="preserve">T- m </v>
      </c>
    </row>
    <row r="68">
      <c r="E68" t="str">
        <v>which is =</v>
      </c>
      <c r="F68">
        <f>D67*10</f>
        <v>122.12665868263474</v>
      </c>
      <c r="G68" t="str">
        <v>kN-m</v>
      </c>
      <c r="M68">
        <f>'abstract of stresses'!D9</f>
        <v>138.66109635051396</v>
      </c>
      <c r="N68" t="str">
        <v>Stress</v>
      </c>
    </row>
    <row r="69">
      <c r="M69">
        <f>'abstract of stresses'!F9</f>
        <v>59.565540394928775</v>
      </c>
    </row>
    <row r="70">
      <c r="B70" t="str">
        <v>TOTAL TRANSVERSE MOMENT DUE TO LIVE LOAD &amp; BREAKING FORCE</v>
      </c>
    </row>
    <row r="71">
      <c r="B71" t="str">
        <v>Maximum Transverse moment due to Live Load including Impact and Breaking Force</v>
      </c>
      <c r="C71" t="str">
        <v>=</v>
      </c>
      <c r="D71">
        <f>F73</f>
        <v>1123.9405976047906</v>
      </c>
      <c r="E71" t="str">
        <v>x</v>
      </c>
      <c r="F71">
        <v>2</v>
      </c>
      <c r="G71" t="str">
        <v>=</v>
      </c>
      <c r="H71">
        <f>D71*F71</f>
        <v>2247.881195209581</v>
      </c>
      <c r="J71" t="str">
        <v>kN-m</v>
      </c>
    </row>
    <row r="72">
      <c r="B72" t="str">
        <v xml:space="preserve">Refer Live load Computation sheet showing maximum reaction  </v>
      </c>
      <c r="C72" t="str">
        <v>=</v>
      </c>
      <c r="D72">
        <f>'LL-ABSTRACT'!H6</f>
        <v>112.39405976047905</v>
      </c>
      <c r="E72" t="str">
        <v xml:space="preserve">T- m </v>
      </c>
    </row>
    <row r="73">
      <c r="E73" t="str">
        <v>which is =</v>
      </c>
      <c r="F73">
        <f>D72*10</f>
        <v>1123.9405976047906</v>
      </c>
      <c r="G73" t="str">
        <v>kN-m</v>
      </c>
    </row>
    <row r="75">
      <c r="A75" t="str">
        <v>C</v>
      </c>
      <c r="B75" t="str">
        <v>LOADS DUE TO WATER CURRENT</v>
      </c>
    </row>
    <row r="76">
      <c r="B76" t="str">
        <v>WATER CURRENT IN LONGITUDINAL DIRECTION ( ALONG THE BRIDGE)</v>
      </c>
    </row>
    <row r="77">
      <c r="B77" t="str">
        <v>As per IRC- II ( 6-1966) clause 213.5</v>
      </c>
      <c r="D77" t="str">
        <v>For V=</v>
      </c>
      <c r="E77">
        <f>E15</f>
        <v>1.8354679471127884</v>
      </c>
      <c r="F77" t="str">
        <f>F15</f>
        <v>m/sec</v>
      </c>
    </row>
    <row r="78">
      <c r="B78" t="str">
        <v>Since the bridge is at Zero Degrees skew from the direction of current as per IRC- II ( 6-1966) clause 213.5 it should be designed for (20+0) =20 Degrees or (20-0) = 20 Degrees whichever gives higher quantum of water current forces.</v>
      </c>
    </row>
    <row r="79">
      <c r="B79" t="str">
        <v>Obstructed Velocity = V Sin 20 0</v>
      </c>
      <c r="C79" t="str">
        <v>=</v>
      </c>
      <c r="D79">
        <f>E77</f>
        <v>1.8354679471127884</v>
      </c>
      <c r="E79" t="str">
        <v>x</v>
      </c>
      <c r="F79" t="str">
        <v>Sin 20 0</v>
      </c>
      <c r="H79" t="str">
        <v>Obstructed Velocity = V Sin 10 Degrees</v>
      </c>
      <c r="K79" t="str">
        <v>=</v>
      </c>
      <c r="M79" t="str">
        <v>x</v>
      </c>
      <c r="N79" t="str">
        <v>Sin 10 Degrees</v>
      </c>
    </row>
    <row r="80">
      <c r="C80" t="str">
        <v>=</v>
      </c>
      <c r="D80">
        <f>D79*SIN(20*3.14/180)</f>
        <v>0.6274617816037061</v>
      </c>
      <c r="K80" t="str">
        <v>=</v>
      </c>
    </row>
    <row r="81">
      <c r="B81" t="str">
        <v>2v2</v>
      </c>
      <c r="C81" t="str">
        <v>=</v>
      </c>
      <c r="D81">
        <f>D80^2*2</f>
        <v>0.787416574746594</v>
      </c>
      <c r="J81" t="str">
        <v>2v2</v>
      </c>
      <c r="K81" t="str">
        <v>=</v>
      </c>
    </row>
    <row r="82">
      <c r="B82" t="str">
        <v>Total SUBMERGED Height</v>
      </c>
      <c r="C82" t="str">
        <v>=</v>
      </c>
      <c r="D82">
        <f>E8-E18</f>
        <v>7.13000000000001</v>
      </c>
      <c r="E82" t="str">
        <v>M</v>
      </c>
      <c r="F82">
        <f>D81</f>
        <v>0.787416574746594</v>
      </c>
      <c r="G82">
        <f>$F$82*($D$82-0.975)/$D$82</f>
        <v>0.679740395170447</v>
      </c>
      <c r="H82">
        <f>$F$82*($D$82-1.1)/$D$82</f>
        <v>0.6659357567632487</v>
      </c>
      <c r="J82">
        <v>0</v>
      </c>
    </row>
    <row r="83">
      <c r="B83" t="e">
        <f>CONCAT("FORCE ON DECK SLAB BETWEEN Deck Level ",$E$21,"  M to Soffit Level  ",$E$21-'Deck Anchorage'!$H$11-'Deck Anchorage'!$H$12, " M")</f>
        <v>#NAME?</v>
      </c>
    </row>
    <row r="84">
      <c r="B84" t="str">
        <v>2v2</v>
      </c>
      <c r="C84" t="str">
        <v>= (</v>
      </c>
      <c r="D84">
        <f>F82</f>
        <v>0.787416574746594</v>
      </c>
      <c r="E84" t="str">
        <v>+</v>
      </c>
      <c r="F84">
        <f>G82</f>
        <v>0.679740395170447</v>
      </c>
      <c r="G84" t="str">
        <v>) /2  =</v>
      </c>
      <c r="H84">
        <f>(D84+F84)/2</f>
        <v>0.7335784849585205</v>
      </c>
      <c r="L84" t="str">
        <v>DECK LEVEL</v>
      </c>
      <c r="M84" t="str">
        <v>SOFFIT LEVEL</v>
      </c>
    </row>
    <row r="85">
      <c r="B85" t="str">
        <v>Area Obstructed</v>
      </c>
      <c r="C85" t="str">
        <v>=</v>
      </c>
      <c r="D85">
        <f>'afflux calculation'!C18</f>
        <v>12</v>
      </c>
      <c r="E85" t="str">
        <v>x</v>
      </c>
      <c r="F85">
        <v>0</v>
      </c>
      <c r="G85" t="str">
        <v>=</v>
      </c>
      <c r="H85">
        <f>D85*F85</f>
        <v>0</v>
      </c>
      <c r="I85" t="str">
        <v>Sqm</v>
      </c>
    </row>
    <row r="87">
      <c r="B87" t="str">
        <v>Force on Pier</v>
      </c>
      <c r="C87" t="str">
        <v>=</v>
      </c>
      <c r="D87">
        <v>52</v>
      </c>
      <c r="E87" t="str">
        <v>x</v>
      </c>
      <c r="F87" t="str">
        <v>k</v>
      </c>
      <c r="G87" t="str">
        <v>x</v>
      </c>
      <c r="H87" t="str">
        <v>v2</v>
      </c>
      <c r="I87" t="str">
        <v>x</v>
      </c>
      <c r="J87" t="str">
        <v>Area Obstructed</v>
      </c>
    </row>
    <row r="88">
      <c r="C88" t="str">
        <v>=</v>
      </c>
      <c r="D88">
        <f>D87</f>
        <v>52</v>
      </c>
      <c r="E88" t="str">
        <v>x</v>
      </c>
      <c r="F88">
        <v>1.5</v>
      </c>
      <c r="G88" t="str">
        <v>x</v>
      </c>
      <c r="H88">
        <f>H84</f>
        <v>0.7335784849585205</v>
      </c>
      <c r="I88" t="str">
        <v>x</v>
      </c>
      <c r="J88">
        <f>H85</f>
        <v>0</v>
      </c>
      <c r="K88" t="str">
        <v>/ 100</v>
      </c>
      <c r="L88" t="str">
        <v>=</v>
      </c>
      <c r="M88">
        <f>D88*F88*H88*J88/100</f>
        <v>0</v>
      </c>
      <c r="N88" t="str">
        <v>kN</v>
      </c>
      <c r="O88" t="str">
        <v>at R.L.</v>
      </c>
      <c r="P88">
        <f>$E$21-('Deck Anchorage'!$H$11+'Deck Anchorage'!$H$12)/2</f>
        <v>101.1875</v>
      </c>
      <c r="Q88" t="str">
        <v>M</v>
      </c>
    </row>
    <row r="89">
      <c r="B89" t="str">
        <v>Moment @ R. L.</v>
      </c>
      <c r="D89">
        <f>D90+0.6</f>
        <v>93.56999999999998</v>
      </c>
      <c r="E89" t="str">
        <v>M =</v>
      </c>
      <c r="F89">
        <f>$M$88</f>
        <v>0</v>
      </c>
      <c r="G89" t="str">
        <v>x</v>
      </c>
      <c r="H89">
        <f>$P$88-D89</f>
        <v>7.617500000000021</v>
      </c>
      <c r="I89" t="str">
        <v>=</v>
      </c>
      <c r="J89">
        <f>F89*H89</f>
        <v>0</v>
      </c>
      <c r="K89" t="str">
        <v>kN-m</v>
      </c>
      <c r="N89" t="str">
        <v>(Mid-height of deck slab)</v>
      </c>
    </row>
    <row r="90">
      <c r="B90" t="str">
        <v>Moment @ R. L.</v>
      </c>
      <c r="D90">
        <f>D91+1</f>
        <v>92.96999999999998</v>
      </c>
      <c r="E90" t="str">
        <v>M =</v>
      </c>
      <c r="F90">
        <f>$M$88</f>
        <v>0</v>
      </c>
      <c r="G90" t="str">
        <v>x</v>
      </c>
      <c r="H90">
        <f>$P$88-D90</f>
        <v>8.217500000000015</v>
      </c>
      <c r="I90" t="str">
        <v>=</v>
      </c>
      <c r="J90">
        <f>F90*H90</f>
        <v>0</v>
      </c>
      <c r="K90" t="str">
        <v>kN-m</v>
      </c>
    </row>
    <row r="91">
      <c r="B91" t="str">
        <v>Moment @ R. L.</v>
      </c>
      <c r="D91">
        <f>$E$20</f>
        <v>91.96999999999998</v>
      </c>
      <c r="E91" t="str">
        <v>M =</v>
      </c>
      <c r="F91">
        <f>$M$88</f>
        <v>0</v>
      </c>
      <c r="G91" t="str">
        <v>x</v>
      </c>
      <c r="H91">
        <f>$P$88-D91</f>
        <v>9.217500000000015</v>
      </c>
      <c r="I91" t="str">
        <v>=</v>
      </c>
      <c r="J91">
        <f>F91*H91</f>
        <v>0</v>
      </c>
      <c r="K91" t="str">
        <v>kN-m</v>
      </c>
    </row>
    <row r="92">
      <c r="B92" t="e">
        <f>CONCAT("FORCE ON PIER CAP BETWEEN  ",$E$21-'Deck Anchorage'!$H$11-'Deck Anchorage'!$H$12,"  M to Soffit Level  ",$E$21-'Deck Anchorage'!$H$11-'Deck Anchorage'!$H$12-$F$94, " M")</f>
        <v>#NAME?</v>
      </c>
    </row>
    <row r="93">
      <c r="B93" t="str">
        <v>2v2</v>
      </c>
      <c r="C93" t="str">
        <v>= (</v>
      </c>
      <c r="D93">
        <f>G82</f>
        <v>0.679740395170447</v>
      </c>
      <c r="E93" t="str">
        <v>+</v>
      </c>
      <c r="F93">
        <f>H82</f>
        <v>0.6659357567632487</v>
      </c>
      <c r="G93" t="str">
        <v>) /2  =</v>
      </c>
      <c r="H93">
        <f>(D93+F93)/2</f>
        <v>0.6728380759668479</v>
      </c>
      <c r="L93" t="str">
        <v>SOFFIT LEVEL</v>
      </c>
      <c r="M93" t="str">
        <v>CAP BOTTOM</v>
      </c>
    </row>
    <row r="94">
      <c r="B94" t="str">
        <v>Area Obstructed</v>
      </c>
      <c r="C94" t="str">
        <v>=</v>
      </c>
      <c r="D94">
        <f>D85</f>
        <v>12</v>
      </c>
      <c r="E94" t="str">
        <v>x</v>
      </c>
      <c r="F94">
        <v>0.6</v>
      </c>
      <c r="G94" t="str">
        <v>=</v>
      </c>
      <c r="H94">
        <f>D94*F94</f>
        <v>7.199999999999999</v>
      </c>
      <c r="I94" t="str">
        <v>Sqm</v>
      </c>
    </row>
    <row r="96">
      <c r="B96" t="str">
        <v>Force on Pier</v>
      </c>
      <c r="C96" t="str">
        <v>=</v>
      </c>
      <c r="D96">
        <v>52</v>
      </c>
      <c r="E96" t="str">
        <v>x</v>
      </c>
      <c r="F96" t="str">
        <v>k</v>
      </c>
      <c r="G96" t="str">
        <v>x</v>
      </c>
      <c r="H96" t="str">
        <v>v2</v>
      </c>
      <c r="I96" t="str">
        <v>x</v>
      </c>
      <c r="J96" t="str">
        <v>Area Obstructed</v>
      </c>
    </row>
    <row r="97">
      <c r="C97" t="str">
        <v>=</v>
      </c>
      <c r="D97">
        <f>D96</f>
        <v>52</v>
      </c>
      <c r="E97" t="str">
        <v>x</v>
      </c>
      <c r="F97">
        <v>1.5</v>
      </c>
      <c r="G97" t="str">
        <v>x</v>
      </c>
      <c r="H97">
        <f>H93</f>
        <v>0.6728380759668479</v>
      </c>
      <c r="I97" t="str">
        <v>x</v>
      </c>
      <c r="J97">
        <f>H94</f>
        <v>7.199999999999999</v>
      </c>
      <c r="K97" t="str">
        <v>/ 100</v>
      </c>
      <c r="L97" t="str">
        <v>=</v>
      </c>
      <c r="M97">
        <f>D97*F97*H97*J97/100</f>
        <v>3.778658634629817</v>
      </c>
      <c r="N97" t="str">
        <v>kN</v>
      </c>
      <c r="O97" t="str">
        <v>at R.L.</v>
      </c>
      <c r="P97">
        <f>$E$21-'Deck Anchorage'!$H$11-'Deck Anchorage'!$H$12-$F$94/2</f>
        <v>100.475</v>
      </c>
      <c r="Q97" t="str">
        <v>M</v>
      </c>
    </row>
    <row r="98">
      <c r="B98" t="str">
        <v>Moment @ R. L.</v>
      </c>
      <c r="D98">
        <f>D99+0.6</f>
        <v>93.56999999999998</v>
      </c>
      <c r="E98" t="str">
        <v>M =</v>
      </c>
      <c r="F98">
        <f>$M$97</f>
        <v>3.778658634629817</v>
      </c>
      <c r="G98" t="str">
        <v>x</v>
      </c>
      <c r="H98">
        <f>$P$97-D98</f>
        <v>6.905000000000015</v>
      </c>
      <c r="I98" t="str">
        <v>=</v>
      </c>
      <c r="J98">
        <f>F98*H98</f>
        <v>26.091637872118945</v>
      </c>
      <c r="K98" t="str">
        <v>kN-m</v>
      </c>
      <c r="N98" t="str">
        <v>(Mid-height of pier cap)</v>
      </c>
    </row>
    <row r="99">
      <c r="B99" t="str">
        <v>Moment @ R. L.</v>
      </c>
      <c r="D99">
        <f>D100+1</f>
        <v>92.96999999999998</v>
      </c>
      <c r="E99" t="str">
        <v>M =</v>
      </c>
      <c r="F99">
        <f>$M$97</f>
        <v>3.778658634629817</v>
      </c>
      <c r="G99" t="str">
        <v>x</v>
      </c>
      <c r="H99">
        <f>$P$97-D99</f>
        <v>7.50500000000001</v>
      </c>
      <c r="I99" t="str">
        <v>=</v>
      </c>
      <c r="J99">
        <f>F99*H99</f>
        <v>28.358833052896816</v>
      </c>
      <c r="K99" t="str">
        <v>kN-m</v>
      </c>
    </row>
    <row r="100">
      <c r="B100" t="str">
        <v>Moment @ R. L.</v>
      </c>
      <c r="D100">
        <f>$E$20</f>
        <v>91.96999999999998</v>
      </c>
      <c r="E100" t="str">
        <v>M =</v>
      </c>
      <c r="F100">
        <f>$M$97</f>
        <v>3.778658634629817</v>
      </c>
      <c r="G100" t="str">
        <v>x</v>
      </c>
      <c r="H100">
        <f>$P$97-D100</f>
        <v>8.50500000000001</v>
      </c>
      <c r="I100" t="str">
        <v>=</v>
      </c>
      <c r="J100">
        <f>F100*H100</f>
        <v>32.137491687526634</v>
      </c>
      <c r="K100" t="str">
        <v>kN-m</v>
      </c>
    </row>
    <row r="101">
      <c r="B101" t="e">
        <f>CONCAT("FORCE ON PIER BETWEEN  ",$E$21-'Deck Anchorage'!$H$11-'Deck Anchorage'!$H$12-$F$94,"  M to   ",$E$20+$E$19, " M")</f>
        <v>#NAME?</v>
      </c>
    </row>
    <row r="102">
      <c r="B102" t="str">
        <v>2v2</v>
      </c>
      <c r="C102" t="str">
        <v>= (</v>
      </c>
      <c r="D102">
        <f>H82</f>
        <v>0.6659357567632487</v>
      </c>
      <c r="E102" t="str">
        <v>+</v>
      </c>
      <c r="F102">
        <v>0</v>
      </c>
      <c r="G102" t="str">
        <v>) /2  =</v>
      </c>
      <c r="H102">
        <f>(D102+F102)/2</f>
        <v>0.33296787838162434</v>
      </c>
      <c r="L102" t="str">
        <v>CAP BOTTOM</v>
      </c>
      <c r="M102" t="str">
        <v>Footing Top</v>
      </c>
    </row>
    <row r="103">
      <c r="B103" t="str">
        <v>Area Obstructed</v>
      </c>
      <c r="C103" t="str">
        <v>=</v>
      </c>
      <c r="D103">
        <f>98.925-91.59</f>
        <v>7.334999999999994</v>
      </c>
      <c r="E103" t="str">
        <v>x</v>
      </c>
      <c r="F103">
        <f>F41+1.2</f>
        <v>8.7</v>
      </c>
      <c r="G103" t="str">
        <v>=</v>
      </c>
      <c r="H103">
        <f>D103*F103</f>
        <v>63.81449999999994</v>
      </c>
      <c r="I103" t="str">
        <v>Sqm</v>
      </c>
    </row>
    <row r="105">
      <c r="B105" t="str">
        <v>Force on Pier</v>
      </c>
      <c r="C105" t="str">
        <v>=</v>
      </c>
      <c r="D105">
        <v>52</v>
      </c>
      <c r="E105" t="str">
        <v>x</v>
      </c>
      <c r="F105" t="str">
        <v>k</v>
      </c>
      <c r="G105" t="str">
        <v>x</v>
      </c>
      <c r="H105" t="str">
        <v>v2</v>
      </c>
      <c r="I105" t="str">
        <v>x</v>
      </c>
      <c r="J105" t="str">
        <v>Area Obstructed</v>
      </c>
    </row>
    <row r="106">
      <c r="C106" t="str">
        <v>=</v>
      </c>
      <c r="D106">
        <f>D105</f>
        <v>52</v>
      </c>
      <c r="E106" t="str">
        <v>x</v>
      </c>
      <c r="F106">
        <v>1.5</v>
      </c>
      <c r="G106" t="str">
        <v>x</v>
      </c>
      <c r="H106">
        <f>H102</f>
        <v>0.33296787838162434</v>
      </c>
      <c r="I106" t="str">
        <v>x</v>
      </c>
      <c r="J106">
        <f>H103</f>
        <v>63.81449999999994</v>
      </c>
      <c r="K106" t="str">
        <v>/ 100</v>
      </c>
      <c r="L106" t="str">
        <v>=</v>
      </c>
      <c r="M106">
        <f>D106*F106*H106*J106/100</f>
        <v>16.573579366487635</v>
      </c>
      <c r="N106" t="str">
        <v>kN</v>
      </c>
      <c r="O106" t="str">
        <v>at R.L.</v>
      </c>
      <c r="P106">
        <f>(($E$21-'Deck Anchorage'!$H$11-'Deck Anchorage'!$H$12-$F$94)+($E$20+$E$19))/2</f>
        <v>96.82249999999999</v>
      </c>
      <c r="Q106" t="str">
        <v>M</v>
      </c>
    </row>
    <row r="107">
      <c r="B107" t="str">
        <v>Moment @ R. L.</v>
      </c>
      <c r="D107">
        <f>D108+0.6</f>
        <v>93.56999999999998</v>
      </c>
      <c r="E107" t="str">
        <v>M =</v>
      </c>
      <c r="F107">
        <f>$M$106</f>
        <v>16.573579366487635</v>
      </c>
      <c r="G107" t="str">
        <v>x</v>
      </c>
      <c r="H107">
        <f>$P$106-D107</f>
        <v>3.252500000000012</v>
      </c>
      <c r="I107" t="str">
        <v>=</v>
      </c>
      <c r="J107">
        <f>F107*H107</f>
        <v>53.90556688950123</v>
      </c>
      <c r="K107" t="str">
        <v>kN-m</v>
      </c>
      <c r="N107" t="str">
        <v>(Mid-height of pier body)</v>
      </c>
    </row>
    <row r="108">
      <c r="B108" t="str">
        <v>Moment @ R. L.</v>
      </c>
      <c r="D108">
        <f>D109+J52</f>
        <v>92.96999999999998</v>
      </c>
      <c r="E108" t="str">
        <v>M =</v>
      </c>
      <c r="F108">
        <f>$M$106</f>
        <v>16.573579366487635</v>
      </c>
      <c r="G108" t="str">
        <v>x</v>
      </c>
      <c r="H108">
        <f>$P$106-D108</f>
        <v>3.8525000000000063</v>
      </c>
      <c r="I108" t="str">
        <v>=</v>
      </c>
      <c r="J108">
        <f>F108*H108</f>
        <v>63.84971450939372</v>
      </c>
      <c r="K108" t="str">
        <v>kN-m</v>
      </c>
    </row>
    <row r="109">
      <c r="B109" t="str">
        <v>Moment @ R. L.</v>
      </c>
      <c r="D109">
        <f>$E$20</f>
        <v>91.96999999999998</v>
      </c>
      <c r="E109" t="str">
        <v>M =</v>
      </c>
      <c r="F109">
        <f>$M$106</f>
        <v>16.573579366487635</v>
      </c>
      <c r="G109" t="str">
        <v>x</v>
      </c>
      <c r="H109">
        <f>$P$106-D109</f>
        <v>4.852500000000006</v>
      </c>
      <c r="I109" t="str">
        <v>=</v>
      </c>
      <c r="J109">
        <f>F109*H109</f>
        <v>80.42329387588136</v>
      </c>
      <c r="K109" t="str">
        <v>kN-m</v>
      </c>
    </row>
    <row r="111">
      <c r="B111" t="str">
        <v xml:space="preserve">TOTAL LONGITUDINAL MOMENT DUE TO WATER CURRENT </v>
      </c>
    </row>
    <row r="112">
      <c r="B112" t="str">
        <v>Moment @ R. L.</v>
      </c>
      <c r="D112">
        <f>D107</f>
        <v>93.56999999999998</v>
      </c>
      <c r="E112" t="str">
        <v>M =</v>
      </c>
      <c r="F112">
        <f>J89</f>
        <v>0</v>
      </c>
      <c r="G112" t="str">
        <v>+</v>
      </c>
      <c r="H112">
        <f>J98</f>
        <v>26.091637872118945</v>
      </c>
    </row>
    <row r="113">
      <c r="G113" t="str">
        <v>+</v>
      </c>
      <c r="H113">
        <f>J107</f>
        <v>53.90556688950123</v>
      </c>
      <c r="I113" t="str">
        <v>=</v>
      </c>
      <c r="J113">
        <f>F112+H112+H113</f>
        <v>79.99720476162017</v>
      </c>
      <c r="K113" t="str">
        <v>kN-m</v>
      </c>
    </row>
    <row r="114">
      <c r="B114" t="str">
        <v>Moment @ R. L.</v>
      </c>
      <c r="D114">
        <f>D108</f>
        <v>92.96999999999998</v>
      </c>
      <c r="E114" t="str">
        <v>M =</v>
      </c>
      <c r="F114">
        <f>J90</f>
        <v>0</v>
      </c>
      <c r="G114" t="str">
        <v>+</v>
      </c>
      <c r="H114">
        <f>J99</f>
        <v>28.358833052896816</v>
      </c>
    </row>
    <row r="115">
      <c r="G115" t="str">
        <v>+</v>
      </c>
      <c r="H115">
        <f>J108</f>
        <v>63.84971450939372</v>
      </c>
      <c r="I115" t="str">
        <v>=</v>
      </c>
      <c r="J115">
        <f>F114+H114+H115</f>
        <v>92.20854756229053</v>
      </c>
      <c r="K115" t="str">
        <v>kN-m</v>
      </c>
    </row>
    <row r="116">
      <c r="B116" t="str">
        <v>Moment @ R. L.</v>
      </c>
      <c r="D116">
        <f>$E$20</f>
        <v>91.96999999999998</v>
      </c>
      <c r="E116" t="str">
        <v>M =</v>
      </c>
      <c r="F116">
        <f>J91</f>
        <v>0</v>
      </c>
      <c r="G116" t="str">
        <v>+</v>
      </c>
      <c r="H116">
        <f>J100</f>
        <v>32.137491687526634</v>
      </c>
    </row>
    <row r="117">
      <c r="G117" t="str">
        <v>+</v>
      </c>
      <c r="H117">
        <f>J109</f>
        <v>80.42329387588136</v>
      </c>
      <c r="I117" t="str">
        <v>=</v>
      </c>
      <c r="J117">
        <f>F116+H116+H117</f>
        <v>112.56078556340799</v>
      </c>
      <c r="K117" t="str">
        <v>kN-m</v>
      </c>
    </row>
    <row r="118">
      <c r="B118" t="str">
        <v>WATER CURRENT IN TRANSVERSE DIRECTION ( ACROSS THE BRIDGE)</v>
      </c>
    </row>
    <row r="119">
      <c r="B119" t="str">
        <v>As per IRC- II ( 6-1966) clause 213.5</v>
      </c>
      <c r="D119" t="str">
        <v>For V=</v>
      </c>
      <c r="E119">
        <f>E77</f>
        <v>1.8354679471127884</v>
      </c>
      <c r="F119" t="str">
        <f>F77</f>
        <v>m/sec</v>
      </c>
      <c r="G119" t="str">
        <v>Maximum velocity being 1.414 x mean velocity</v>
      </c>
      <c r="M119" t="str">
        <v>(1.414= Root of 2)</v>
      </c>
    </row>
    <row r="120">
      <c r="B120" t="str">
        <v>Obstructed Velocity = V Cos 20 0</v>
      </c>
      <c r="C120" t="str">
        <v>=</v>
      </c>
      <c r="D120">
        <f>E119</f>
        <v>1.8354679471127884</v>
      </c>
      <c r="E120" t="str">
        <v>x</v>
      </c>
      <c r="F120" t="str">
        <v>Cos 20 0</v>
      </c>
    </row>
    <row r="121">
      <c r="C121" t="str">
        <v>=</v>
      </c>
      <c r="D121">
        <f>D120*COS(20*3.14/180)</f>
        <v>1.7248867491824316</v>
      </c>
    </row>
    <row r="122">
      <c r="B122" t="str">
        <v>2v2</v>
      </c>
      <c r="C122" t="str">
        <v>=</v>
      </c>
      <c r="D122">
        <f>D121^2*2</f>
        <v>5.950468595010273</v>
      </c>
    </row>
    <row r="123">
      <c r="B123" t="str">
        <v>Total Height</v>
      </c>
      <c r="C123" t="str">
        <v>=</v>
      </c>
      <c r="D123">
        <f>D82</f>
        <v>7.13000000000001</v>
      </c>
      <c r="E123" t="str">
        <v>M</v>
      </c>
      <c r="F123">
        <f>D122</f>
        <v>5.950468595010273</v>
      </c>
      <c r="G123">
        <f>$F$123*($D$123-0.975)/$D$123</f>
        <v>5.136764965257817</v>
      </c>
      <c r="H123">
        <f>$F$123*($D$123-1.1)/$D$123</f>
        <v>5.0324439870844255</v>
      </c>
      <c r="J123">
        <v>0</v>
      </c>
    </row>
    <row r="124">
      <c r="B124" t="e">
        <f>B83</f>
        <v>#NAME?</v>
      </c>
    </row>
    <row r="125">
      <c r="B125" t="str">
        <v>2v2</v>
      </c>
      <c r="C125" t="str">
        <v>= (</v>
      </c>
      <c r="D125">
        <f>F123</f>
        <v>5.950468595010273</v>
      </c>
      <c r="E125" t="str">
        <v>+</v>
      </c>
      <c r="F125">
        <f>G123</f>
        <v>5.136764965257817</v>
      </c>
      <c r="G125" t="str">
        <v>) /2  =</v>
      </c>
      <c r="H125">
        <f>(D125+F125)/2</f>
        <v>5.543616780134045</v>
      </c>
    </row>
    <row r="126">
      <c r="B126" t="str">
        <v>Area Obstructed</v>
      </c>
      <c r="C126" t="str">
        <v>=</v>
      </c>
      <c r="D126">
        <f>D28</f>
        <v>8.799999999999999</v>
      </c>
      <c r="E126" t="str">
        <v>x</v>
      </c>
      <c r="F126">
        <v>0</v>
      </c>
      <c r="G126" t="str">
        <v>=</v>
      </c>
      <c r="H126">
        <f>D126*F126</f>
        <v>0</v>
      </c>
      <c r="I126" t="str">
        <v>Sqm</v>
      </c>
    </row>
    <row r="128">
      <c r="B128" t="str">
        <v xml:space="preserve">Force </v>
      </c>
      <c r="C128" t="str">
        <v>=</v>
      </c>
      <c r="D128">
        <v>52</v>
      </c>
      <c r="E128" t="str">
        <v>x</v>
      </c>
      <c r="F128" t="str">
        <v>k</v>
      </c>
      <c r="G128" t="str">
        <v>x</v>
      </c>
      <c r="H128" t="str">
        <v>v2</v>
      </c>
      <c r="I128" t="str">
        <v>x</v>
      </c>
      <c r="J128" t="str">
        <v>Area Obstructed</v>
      </c>
    </row>
    <row r="129">
      <c r="C129" t="str">
        <v>=</v>
      </c>
      <c r="D129">
        <f>D128</f>
        <v>52</v>
      </c>
      <c r="E129" t="str">
        <v>x</v>
      </c>
      <c r="F129">
        <v>1.5</v>
      </c>
      <c r="G129" t="str">
        <v>x</v>
      </c>
      <c r="H129">
        <f>H125</f>
        <v>5.543616780134045</v>
      </c>
      <c r="I129" t="str">
        <v>x</v>
      </c>
      <c r="J129">
        <f>H126</f>
        <v>0</v>
      </c>
      <c r="K129" t="str">
        <v>/ 100</v>
      </c>
      <c r="L129" t="str">
        <v>=</v>
      </c>
      <c r="M129">
        <f>D129*F129*H129*J129/100</f>
        <v>0</v>
      </c>
      <c r="N129" t="str">
        <v>kN</v>
      </c>
      <c r="O129" t="str">
        <v>at R.L.</v>
      </c>
      <c r="P129">
        <f>P88</f>
        <v>101.1875</v>
      </c>
      <c r="Q129" t="str">
        <v>M</v>
      </c>
    </row>
    <row r="130">
      <c r="B130" t="str">
        <v>Moment @ R. L.</v>
      </c>
      <c r="D130">
        <f>D131+0.6</f>
        <v>93.56999999999998</v>
      </c>
      <c r="E130" t="str">
        <v>M =</v>
      </c>
      <c r="F130">
        <f>$M$88</f>
        <v>0</v>
      </c>
      <c r="G130" t="str">
        <v>x</v>
      </c>
      <c r="H130">
        <f>$P$129-D130</f>
        <v>7.617500000000021</v>
      </c>
      <c r="I130" t="str">
        <v>=</v>
      </c>
      <c r="J130">
        <f>F130*H130</f>
        <v>0</v>
      </c>
      <c r="K130" t="str">
        <v>kN-m</v>
      </c>
    </row>
    <row r="131">
      <c r="B131" t="str">
        <v>Moment @ R. L.</v>
      </c>
      <c r="D131">
        <f>D132+1</f>
        <v>92.96999999999998</v>
      </c>
      <c r="E131" t="str">
        <v>M =</v>
      </c>
      <c r="F131">
        <f>$M$88</f>
        <v>0</v>
      </c>
      <c r="G131" t="str">
        <v>x</v>
      </c>
      <c r="H131">
        <f>$P$129-D131</f>
        <v>8.217500000000015</v>
      </c>
      <c r="I131" t="str">
        <v>=</v>
      </c>
      <c r="J131">
        <f>F131*H131</f>
        <v>0</v>
      </c>
      <c r="K131" t="str">
        <v>kN-m</v>
      </c>
    </row>
    <row r="132">
      <c r="B132" t="str">
        <v>Moment @ R. L.</v>
      </c>
      <c r="D132">
        <f>$E$20</f>
        <v>91.96999999999998</v>
      </c>
      <c r="E132" t="str">
        <v>M =</v>
      </c>
      <c r="F132">
        <f>$M$88</f>
        <v>0</v>
      </c>
      <c r="G132" t="str">
        <v>x</v>
      </c>
      <c r="H132">
        <f>$P$129-D132</f>
        <v>9.217500000000015</v>
      </c>
      <c r="I132" t="str">
        <v>=</v>
      </c>
      <c r="J132">
        <f>F132*H132</f>
        <v>0</v>
      </c>
      <c r="K132" t="str">
        <v>kN-m</v>
      </c>
    </row>
    <row r="133">
      <c r="B133" t="e">
        <f>B92</f>
        <v>#NAME?</v>
      </c>
    </row>
    <row r="134">
      <c r="B134" t="str">
        <v>2v2</v>
      </c>
      <c r="C134" t="str">
        <v>= (</v>
      </c>
      <c r="D134">
        <f>G123</f>
        <v>5.136764965257817</v>
      </c>
      <c r="E134" t="str">
        <v>+</v>
      </c>
      <c r="F134">
        <f>H123</f>
        <v>5.0324439870844255</v>
      </c>
      <c r="G134" t="str">
        <v>) /2  =</v>
      </c>
      <c r="H134">
        <f>(D134+F134)/2</f>
        <v>5.084604476171121</v>
      </c>
    </row>
    <row r="135">
      <c r="B135" t="str">
        <v>Area Obstructed</v>
      </c>
      <c r="C135" t="str">
        <v>=</v>
      </c>
      <c r="D135">
        <v>1.5</v>
      </c>
      <c r="E135" t="str">
        <v>x</v>
      </c>
      <c r="F135">
        <v>0.6</v>
      </c>
      <c r="G135" t="str">
        <v>=</v>
      </c>
      <c r="H135">
        <f>D135*F135</f>
        <v>0.8999999999999999</v>
      </c>
      <c r="I135" t="str">
        <v>Sqm</v>
      </c>
    </row>
    <row r="137">
      <c r="B137" t="str">
        <v>Force on Pier</v>
      </c>
      <c r="C137" t="str">
        <v>=</v>
      </c>
      <c r="D137">
        <v>52</v>
      </c>
      <c r="E137" t="str">
        <v>x</v>
      </c>
      <c r="F137" t="str">
        <v>k</v>
      </c>
      <c r="G137" t="str">
        <v>x</v>
      </c>
      <c r="H137" t="str">
        <v>v2</v>
      </c>
      <c r="I137" t="str">
        <v>x</v>
      </c>
      <c r="J137" t="str">
        <v>Area Obstructed</v>
      </c>
    </row>
    <row r="138">
      <c r="C138" t="str">
        <v>=</v>
      </c>
      <c r="D138">
        <f>D137</f>
        <v>52</v>
      </c>
      <c r="E138" t="str">
        <v>x</v>
      </c>
      <c r="F138">
        <v>1.5</v>
      </c>
      <c r="G138" t="str">
        <v>x</v>
      </c>
      <c r="H138">
        <f>H134</f>
        <v>5.084604476171121</v>
      </c>
      <c r="I138" t="str">
        <v>x</v>
      </c>
      <c r="J138">
        <f>H135</f>
        <v>0.8999999999999999</v>
      </c>
      <c r="K138" t="str">
        <v>/ 100</v>
      </c>
      <c r="L138" t="str">
        <v>=</v>
      </c>
      <c r="M138">
        <f>D138*F138*H138*J138/100</f>
        <v>3.5693923422721263</v>
      </c>
      <c r="N138" t="str">
        <v>kN</v>
      </c>
      <c r="O138" t="str">
        <v>at R.L.</v>
      </c>
      <c r="P138">
        <f>P97</f>
        <v>100.475</v>
      </c>
      <c r="Q138" t="str">
        <v>M</v>
      </c>
    </row>
    <row r="139">
      <c r="B139" t="str">
        <v>Moment @ R. L.</v>
      </c>
      <c r="D139">
        <f>D140+0.6</f>
        <v>93.56999999999998</v>
      </c>
      <c r="E139" t="str">
        <v>M =</v>
      </c>
      <c r="F139">
        <f>$M$97</f>
        <v>3.778658634629817</v>
      </c>
      <c r="G139" t="str">
        <v>x</v>
      </c>
      <c r="H139">
        <f>$P$138-D139</f>
        <v>6.905000000000015</v>
      </c>
      <c r="I139" t="str">
        <v>=</v>
      </c>
      <c r="J139">
        <f>F139*H139</f>
        <v>26.091637872118945</v>
      </c>
      <c r="K139" t="str">
        <v>kN-m</v>
      </c>
    </row>
    <row r="140">
      <c r="B140" t="str">
        <v>Moment @ R. L.</v>
      </c>
      <c r="D140">
        <f>D141+1</f>
        <v>92.96999999999998</v>
      </c>
      <c r="E140" t="str">
        <v>M =</v>
      </c>
      <c r="F140">
        <f>$M$97</f>
        <v>3.778658634629817</v>
      </c>
      <c r="G140" t="str">
        <v>x</v>
      </c>
      <c r="H140">
        <f>$P$138-D140</f>
        <v>7.50500000000001</v>
      </c>
      <c r="I140" t="str">
        <v>=</v>
      </c>
      <c r="J140">
        <f>F140*H140</f>
        <v>28.358833052896816</v>
      </c>
      <c r="K140" t="str">
        <v>kN-m</v>
      </c>
    </row>
    <row r="141">
      <c r="B141" t="str">
        <v>Moment @ R. L.</v>
      </c>
      <c r="D141">
        <f>$E$20</f>
        <v>91.96999999999998</v>
      </c>
      <c r="E141" t="str">
        <v>M =</v>
      </c>
      <c r="F141">
        <f>$M$97</f>
        <v>3.778658634629817</v>
      </c>
      <c r="G141" t="str">
        <v>x</v>
      </c>
      <c r="H141">
        <f>$P$138-D141</f>
        <v>8.50500000000001</v>
      </c>
      <c r="I141" t="str">
        <v>=</v>
      </c>
      <c r="J141">
        <f>F141*H141</f>
        <v>32.137491687526634</v>
      </c>
      <c r="K141" t="str">
        <v>kN-m</v>
      </c>
    </row>
    <row r="142">
      <c r="B142" t="e">
        <f>B101</f>
        <v>#NAME?</v>
      </c>
    </row>
    <row r="143">
      <c r="B143" t="str">
        <v>2v2</v>
      </c>
      <c r="C143" t="str">
        <v>= (</v>
      </c>
      <c r="D143">
        <f>H123</f>
        <v>5.0324439870844255</v>
      </c>
      <c r="E143" t="str">
        <v>+</v>
      </c>
      <c r="F143">
        <v>0</v>
      </c>
      <c r="G143" t="str">
        <v>) /2  =</v>
      </c>
      <c r="H143">
        <f>(D143+F143)/2</f>
        <v>2.5162219935422128</v>
      </c>
    </row>
    <row r="144">
      <c r="B144" t="str">
        <v>Area Obstructed</v>
      </c>
      <c r="C144" t="str">
        <v>=</v>
      </c>
      <c r="D144">
        <f>98.925-91.59</f>
        <v>7.334999999999994</v>
      </c>
      <c r="E144" t="str">
        <v>x</v>
      </c>
      <c r="F144">
        <f>F83+1.2</f>
        <v>1.2</v>
      </c>
      <c r="G144" t="str">
        <v>=</v>
      </c>
      <c r="H144">
        <f>D144*F144</f>
        <v>8.801999999999992</v>
      </c>
      <c r="I144" t="str">
        <v>Sqm</v>
      </c>
    </row>
    <row r="146">
      <c r="B146" t="str">
        <v>Force on Pier</v>
      </c>
      <c r="C146" t="str">
        <v>=</v>
      </c>
      <c r="D146">
        <v>52</v>
      </c>
      <c r="E146" t="str">
        <v>x</v>
      </c>
      <c r="F146" t="str">
        <v>k</v>
      </c>
      <c r="G146" t="str">
        <v>x</v>
      </c>
      <c r="H146" t="str">
        <v>v2</v>
      </c>
      <c r="I146" t="str">
        <v>x</v>
      </c>
      <c r="J146" t="str">
        <v>Area Obstructed</v>
      </c>
    </row>
    <row r="147">
      <c r="C147" t="str">
        <v>=</v>
      </c>
      <c r="D147">
        <f>D146</f>
        <v>52</v>
      </c>
      <c r="E147" t="str">
        <v>x</v>
      </c>
      <c r="F147">
        <v>1.5</v>
      </c>
      <c r="G147" t="str">
        <v>x</v>
      </c>
      <c r="H147">
        <f>H143</f>
        <v>2.5162219935422128</v>
      </c>
      <c r="I147" t="str">
        <v>x</v>
      </c>
      <c r="J147">
        <f>H144</f>
        <v>8.801999999999992</v>
      </c>
      <c r="K147" t="str">
        <v>/ 100</v>
      </c>
      <c r="L147" t="str">
        <v>=</v>
      </c>
      <c r="M147">
        <f>D147*F147*H147*J147/100</f>
        <v>17.27527306998366</v>
      </c>
      <c r="N147" t="str">
        <v>kN</v>
      </c>
      <c r="O147" t="str">
        <v>at R.L.</v>
      </c>
      <c r="P147">
        <f>P106</f>
        <v>96.82249999999999</v>
      </c>
      <c r="Q147" t="str">
        <v>M</v>
      </c>
    </row>
    <row r="148">
      <c r="B148" t="str">
        <v>Moment @ R. L.</v>
      </c>
      <c r="D148">
        <f>D149+0.6</f>
        <v>93.56999999999998</v>
      </c>
      <c r="E148" t="str">
        <v>M =</v>
      </c>
      <c r="F148">
        <f>$M$106</f>
        <v>16.573579366487635</v>
      </c>
      <c r="G148" t="str">
        <v>x</v>
      </c>
      <c r="H148">
        <f>$P$106-D148</f>
        <v>3.252500000000012</v>
      </c>
      <c r="I148" t="str">
        <v>=</v>
      </c>
      <c r="J148">
        <f>F148*H148</f>
        <v>53.90556688950123</v>
      </c>
      <c r="K148" t="str">
        <v>kN-m</v>
      </c>
    </row>
    <row r="149">
      <c r="B149" t="str">
        <v>Moment @ R. L.</v>
      </c>
      <c r="D149">
        <f>D150+1</f>
        <v>92.96999999999998</v>
      </c>
      <c r="E149" t="str">
        <v>M =</v>
      </c>
      <c r="F149">
        <f>$M$106</f>
        <v>16.573579366487635</v>
      </c>
      <c r="G149" t="str">
        <v>x</v>
      </c>
      <c r="H149">
        <f>$P$106-D149</f>
        <v>3.8525000000000063</v>
      </c>
      <c r="I149" t="str">
        <v>=</v>
      </c>
      <c r="J149">
        <f>F149*H149</f>
        <v>63.84971450939372</v>
      </c>
      <c r="K149" t="str">
        <v>kN-m</v>
      </c>
    </row>
    <row r="150">
      <c r="B150" t="str">
        <v>Moment @ R. L.</v>
      </c>
      <c r="D150">
        <f>$E$20</f>
        <v>91.96999999999998</v>
      </c>
      <c r="E150" t="str">
        <v>M =</v>
      </c>
      <c r="F150">
        <f>$M$106</f>
        <v>16.573579366487635</v>
      </c>
      <c r="G150" t="str">
        <v>x</v>
      </c>
      <c r="H150">
        <f>$P$106-D150</f>
        <v>4.852500000000006</v>
      </c>
      <c r="I150" t="str">
        <v>=</v>
      </c>
      <c r="J150">
        <f>F150*H150</f>
        <v>80.42329387588136</v>
      </c>
      <c r="K150" t="str">
        <v>kN-m</v>
      </c>
    </row>
    <row r="152">
      <c r="B152" t="str">
        <v>TOTAL TRANSVERSE MOMENT DUE TO WATER CURRENT</v>
      </c>
    </row>
    <row r="153">
      <c r="B153" t="str">
        <v>Moment @ R. L.</v>
      </c>
      <c r="D153">
        <f>D155+0.6</f>
        <v>93.56999999999998</v>
      </c>
      <c r="E153" t="str">
        <v>M =</v>
      </c>
      <c r="F153">
        <f>J130</f>
        <v>0</v>
      </c>
      <c r="G153" t="str">
        <v>+</v>
      </c>
      <c r="H153">
        <f>J139</f>
        <v>26.091637872118945</v>
      </c>
      <c r="I153" t="str">
        <v>=</v>
      </c>
    </row>
    <row r="154">
      <c r="G154" t="str">
        <v>+</v>
      </c>
      <c r="H154">
        <f>J148</f>
        <v>53.90556688950123</v>
      </c>
      <c r="J154">
        <f>F153+H153+H154</f>
        <v>79.99720476162017</v>
      </c>
      <c r="K154" t="str">
        <v>kN-m</v>
      </c>
    </row>
    <row r="155">
      <c r="B155" t="str">
        <v>Moment @ R. L.</v>
      </c>
      <c r="D155">
        <f>D157+1</f>
        <v>92.96999999999998</v>
      </c>
      <c r="E155" t="str">
        <v>M =</v>
      </c>
      <c r="F155">
        <f>J131</f>
        <v>0</v>
      </c>
      <c r="G155" t="str">
        <v>+</v>
      </c>
      <c r="H155">
        <f>J140</f>
        <v>28.358833052896816</v>
      </c>
      <c r="I155" t="str">
        <v>=</v>
      </c>
    </row>
    <row r="156">
      <c r="G156" t="str">
        <v>+</v>
      </c>
      <c r="H156">
        <f>J149</f>
        <v>63.84971450939372</v>
      </c>
      <c r="J156">
        <f>F155+H155+H156</f>
        <v>92.20854756229053</v>
      </c>
      <c r="K156" t="str">
        <v>kN-m</v>
      </c>
    </row>
    <row r="157">
      <c r="B157" t="str">
        <v>Moment @ R. L.</v>
      </c>
      <c r="D157">
        <f>$E$20</f>
        <v>91.96999999999998</v>
      </c>
      <c r="E157" t="str">
        <v>M =</v>
      </c>
      <c r="F157">
        <f>J132</f>
        <v>0</v>
      </c>
      <c r="G157" t="str">
        <v>+</v>
      </c>
      <c r="H157">
        <f>J141</f>
        <v>32.137491687526634</v>
      </c>
      <c r="I157" t="str">
        <v>=</v>
      </c>
    </row>
    <row r="158">
      <c r="G158" t="str">
        <v>+</v>
      </c>
      <c r="H158">
        <f>J150</f>
        <v>80.42329387588136</v>
      </c>
      <c r="J158">
        <f>F157+H157+H158</f>
        <v>112.56078556340799</v>
      </c>
      <c r="K158" t="str">
        <v>kN-m</v>
      </c>
    </row>
    <row r="159">
      <c r="A159" t="str">
        <v>D</v>
      </c>
      <c r="B159" t="str">
        <v>SEISMIC CONDITION</v>
      </c>
    </row>
    <row r="160">
      <c r="B160" t="str">
        <v>According to clause 222.1 of IRC : 6- 1966 the Aqueduct is situated in the standard Zone- II ; therefore the aqueduct need not to be designed for Seismic Forces.</v>
      </c>
    </row>
    <row r="161">
      <c r="A161" t="str">
        <v>E</v>
      </c>
      <c r="B161" t="str">
        <v>WIND FORCE</v>
      </c>
    </row>
    <row r="162">
      <c r="B162" t="str">
        <v>Slab</v>
      </c>
    </row>
    <row r="163">
      <c r="B163" t="str">
        <v>Area</v>
      </c>
      <c r="C163" t="str">
        <v>=</v>
      </c>
      <c r="D163">
        <v>11.1</v>
      </c>
      <c r="E163" t="str">
        <v>x</v>
      </c>
      <c r="F163">
        <v>0.975</v>
      </c>
      <c r="L163" t="str">
        <v>=</v>
      </c>
      <c r="M163">
        <f>D163*F163</f>
        <v>10.8225</v>
      </c>
      <c r="N163" t="str">
        <v>Sqm</v>
      </c>
    </row>
    <row r="164">
      <c r="B164" t="str">
        <v>height of C.G. above Bed level</v>
      </c>
      <c r="C164" t="str">
        <v>=</v>
      </c>
      <c r="D164">
        <f>P129</f>
        <v>101.1875</v>
      </c>
      <c r="E164" t="str">
        <v>-</v>
      </c>
      <c r="F164">
        <f>$E$16</f>
        <v>96.46999999999998</v>
      </c>
      <c r="G164" t="str">
        <v>=</v>
      </c>
      <c r="H164">
        <f>D164-F164</f>
        <v>4.717500000000015</v>
      </c>
      <c r="I164" t="str">
        <v>m</v>
      </c>
    </row>
    <row r="165">
      <c r="B165" t="str">
        <v xml:space="preserve">According to Clause 212.3 IRC -6 -1966 </v>
      </c>
      <c r="D165" t="str">
        <v>Wind pressure =</v>
      </c>
      <c r="F165">
        <f>130+(141-130)*(H164-25)/(30-25)</f>
        <v>85.37850000000003</v>
      </c>
      <c r="G165" t="str">
        <v>Kg/Sqm</v>
      </c>
      <c r="H165" t="str">
        <v>=</v>
      </c>
      <c r="J165">
        <f>F165*10/1000</f>
        <v>0.8537850000000003</v>
      </c>
      <c r="K165" t="str">
        <v>kN/Sqm</v>
      </c>
    </row>
    <row r="166">
      <c r="B166" t="str">
        <v>Wind Force</v>
      </c>
      <c r="C166" t="str">
        <v>=</v>
      </c>
      <c r="D166">
        <f>M163</f>
        <v>10.8225</v>
      </c>
      <c r="E166" t="str">
        <v>x</v>
      </c>
      <c r="F166">
        <f>J165</f>
        <v>0.8537850000000003</v>
      </c>
      <c r="L166" t="str">
        <v>=</v>
      </c>
      <c r="M166">
        <f>D166*F166</f>
        <v>9.240088162500003</v>
      </c>
      <c r="N166" t="str">
        <v>kN</v>
      </c>
    </row>
    <row r="167">
      <c r="B167" t="str">
        <v>Moment @ R. L.</v>
      </c>
      <c r="D167">
        <f>D168+0.6</f>
        <v>93.56999999999998</v>
      </c>
      <c r="E167" t="str">
        <v>M =</v>
      </c>
      <c r="F167">
        <f>$M$166</f>
        <v>9.240088162500003</v>
      </c>
      <c r="G167" t="str">
        <v>x</v>
      </c>
      <c r="H167">
        <f>$D$164-D167</f>
        <v>7.617500000000021</v>
      </c>
      <c r="I167" t="str">
        <v>=</v>
      </c>
      <c r="J167">
        <f>F167*H167</f>
        <v>70.38637157784396</v>
      </c>
      <c r="K167" t="str">
        <v>kN-m</v>
      </c>
    </row>
    <row r="168">
      <c r="B168" t="str">
        <v>Moment @ R. L.</v>
      </c>
      <c r="D168">
        <f>D169+1</f>
        <v>92.96999999999998</v>
      </c>
      <c r="E168" t="str">
        <v>M =</v>
      </c>
      <c r="F168">
        <f>$M$166</f>
        <v>9.240088162500003</v>
      </c>
      <c r="G168" t="str">
        <v>x</v>
      </c>
      <c r="H168">
        <f>$D$164-D168</f>
        <v>8.217500000000015</v>
      </c>
      <c r="I168" t="str">
        <v>=</v>
      </c>
      <c r="J168">
        <f>F168*H168</f>
        <v>75.93042447534391</v>
      </c>
      <c r="K168" t="str">
        <v>kN-m</v>
      </c>
    </row>
    <row r="169">
      <c r="B169" t="str">
        <v>Moment @ R. L.</v>
      </c>
      <c r="D169">
        <f>$E$20</f>
        <v>91.96999999999998</v>
      </c>
      <c r="E169" t="str">
        <v>M =</v>
      </c>
      <c r="F169">
        <f>$M$166</f>
        <v>9.240088162500003</v>
      </c>
      <c r="G169" t="str">
        <v>x</v>
      </c>
      <c r="H169">
        <f>$D$164-D169</f>
        <v>9.217500000000015</v>
      </c>
      <c r="I169" t="str">
        <v>=</v>
      </c>
      <c r="J169">
        <f>F169*H169</f>
        <v>85.17051263784391</v>
      </c>
      <c r="K169" t="str">
        <v>kN-m</v>
      </c>
    </row>
    <row r="170">
      <c r="B170" t="str">
        <v>Pier Cap</v>
      </c>
    </row>
    <row r="171">
      <c r="B171" t="str">
        <v>Area A1</v>
      </c>
      <c r="C171" t="str">
        <v>=</v>
      </c>
      <c r="D171">
        <v>1.5</v>
      </c>
      <c r="E171" t="str">
        <v>x</v>
      </c>
      <c r="F171">
        <v>0.6</v>
      </c>
      <c r="L171" t="str">
        <v>=</v>
      </c>
      <c r="M171">
        <f>D171*F171</f>
        <v>0.8999999999999999</v>
      </c>
      <c r="N171" t="str">
        <v>Sqm</v>
      </c>
    </row>
    <row r="172">
      <c r="B172" t="str">
        <v>Area A2</v>
      </c>
      <c r="C172" t="str">
        <v>=</v>
      </c>
      <c r="D172">
        <v>1.35</v>
      </c>
      <c r="E172" t="str">
        <v>x</v>
      </c>
      <c r="F172">
        <v>0.6</v>
      </c>
      <c r="L172" t="str">
        <v>=</v>
      </c>
      <c r="M172">
        <f>D172*F172</f>
        <v>0.81</v>
      </c>
      <c r="N172" t="str">
        <v>Sqm</v>
      </c>
    </row>
    <row r="173">
      <c r="L173" t="str">
        <v>Total</v>
      </c>
      <c r="M173">
        <f>SUM(M171:M172)</f>
        <v>1.71</v>
      </c>
      <c r="N173" t="str">
        <v>Sqm</v>
      </c>
    </row>
    <row r="174">
      <c r="B174" t="str">
        <v>Y</v>
      </c>
      <c r="C174" t="str">
        <v>= (</v>
      </c>
      <c r="D174">
        <f>M171</f>
        <v>0.8999999999999999</v>
      </c>
      <c r="E174" t="str">
        <v>x</v>
      </c>
      <c r="F174">
        <v>0.9</v>
      </c>
      <c r="G174" t="str">
        <v xml:space="preserve"> )+ (</v>
      </c>
      <c r="H174">
        <f>M172</f>
        <v>0.81</v>
      </c>
      <c r="I174" t="str">
        <v>x</v>
      </c>
      <c r="J174">
        <v>0.3</v>
      </c>
      <c r="K174" t="str">
        <v>) /</v>
      </c>
      <c r="L174">
        <f>M173</f>
        <v>1.71</v>
      </c>
      <c r="M174">
        <f>((M171*0.9)+(M172*0.3))/M173</f>
        <v>0.6157894736842106</v>
      </c>
      <c r="N174" t="str">
        <v>M</v>
      </c>
    </row>
    <row r="176">
      <c r="B176" t="str">
        <v>height of C.G. above Bed level</v>
      </c>
      <c r="C176" t="str">
        <v>=</v>
      </c>
      <c r="D176">
        <f>P138</f>
        <v>100.475</v>
      </c>
      <c r="E176" t="str">
        <v>-</v>
      </c>
      <c r="F176">
        <f>$E$16</f>
        <v>96.46999999999998</v>
      </c>
      <c r="G176" t="str">
        <v>=</v>
      </c>
      <c r="H176">
        <f>D176-F176</f>
        <v>4.00500000000001</v>
      </c>
      <c r="I176" t="str">
        <v>m</v>
      </c>
    </row>
    <row r="177">
      <c r="B177" t="str">
        <v xml:space="preserve">According to Clause 212.3 IRC -6 -1966 </v>
      </c>
      <c r="D177" t="str">
        <v>Wind pressure =</v>
      </c>
      <c r="F177">
        <f>119+(130-119)*(H176-20)/(25-20)</f>
        <v>83.81100000000002</v>
      </c>
      <c r="G177" t="str">
        <v>Kg/Sqm</v>
      </c>
      <c r="H177" t="str">
        <v>=</v>
      </c>
      <c r="J177">
        <f>F177*10/1000</f>
        <v>0.8381100000000002</v>
      </c>
      <c r="K177" t="str">
        <v>kN/Sqm</v>
      </c>
    </row>
    <row r="178">
      <c r="B178" t="str">
        <v>Wind Force</v>
      </c>
      <c r="C178" t="str">
        <v>=</v>
      </c>
      <c r="D178">
        <f>M173</f>
        <v>1.71</v>
      </c>
      <c r="E178" t="str">
        <v>x</v>
      </c>
      <c r="F178">
        <f>J177</f>
        <v>0.8381100000000002</v>
      </c>
      <c r="L178" t="str">
        <v>=</v>
      </c>
      <c r="M178">
        <f>D178*F178</f>
        <v>1.4331681000000003</v>
      </c>
      <c r="N178" t="str">
        <v>kN</v>
      </c>
    </row>
    <row r="179">
      <c r="B179" t="str">
        <v>Moment @ R. L.</v>
      </c>
      <c r="D179">
        <f>D180+0.6</f>
        <v>93.56999999999998</v>
      </c>
      <c r="E179" t="str">
        <v>M =</v>
      </c>
      <c r="F179">
        <f>$M$178</f>
        <v>1.4331681000000003</v>
      </c>
      <c r="G179" t="str">
        <v>x</v>
      </c>
      <c r="H179">
        <f>$D$176-D179</f>
        <v>6.905000000000015</v>
      </c>
      <c r="I179" t="str">
        <v>=</v>
      </c>
      <c r="J179">
        <f>F179*H179</f>
        <v>9.896025730500025</v>
      </c>
      <c r="K179" t="str">
        <v>kN-m</v>
      </c>
    </row>
    <row r="180">
      <c r="B180" t="str">
        <v>Moment @ R. L.</v>
      </c>
      <c r="D180">
        <f>D181+1</f>
        <v>92.96999999999998</v>
      </c>
      <c r="E180" t="str">
        <v>M =</v>
      </c>
      <c r="F180">
        <f>$M$178</f>
        <v>1.4331681000000003</v>
      </c>
      <c r="G180" t="str">
        <v>x</v>
      </c>
      <c r="H180">
        <f>$D$176-D180</f>
        <v>7.50500000000001</v>
      </c>
      <c r="I180" t="str">
        <v>=</v>
      </c>
      <c r="J180">
        <f>F180*H180</f>
        <v>10.755926590500016</v>
      </c>
      <c r="K180" t="str">
        <v>kN-m</v>
      </c>
    </row>
    <row r="181">
      <c r="B181" t="str">
        <v>Moment @ R. L.</v>
      </c>
      <c r="D181">
        <f>$E$20</f>
        <v>91.96999999999998</v>
      </c>
      <c r="E181" t="str">
        <v>M =</v>
      </c>
      <c r="F181">
        <f>$M$178</f>
        <v>1.4331681000000003</v>
      </c>
      <c r="G181" t="str">
        <v>x</v>
      </c>
      <c r="H181">
        <f>$D$176-D181</f>
        <v>8.50500000000001</v>
      </c>
      <c r="I181" t="str">
        <v>=</v>
      </c>
      <c r="J181">
        <f>F181*H181</f>
        <v>12.189094690500017</v>
      </c>
      <c r="K181" t="str">
        <v>kN-m</v>
      </c>
    </row>
    <row r="182">
      <c r="A182" t="str">
        <v>(I)</v>
      </c>
      <c r="B182" t="str">
        <v>Pier from R.L.</v>
      </c>
      <c r="D182">
        <f>E22</f>
        <v>100.77499999999999</v>
      </c>
      <c r="E182" t="str">
        <v>to</v>
      </c>
      <c r="F182">
        <f>E16</f>
        <v>96.46999999999998</v>
      </c>
      <c r="G182" t="str">
        <v>M</v>
      </c>
    </row>
    <row r="183">
      <c r="B183" t="str">
        <v xml:space="preserve">Area </v>
      </c>
      <c r="C183" t="str">
        <v>=</v>
      </c>
      <c r="D183">
        <v>1.2</v>
      </c>
      <c r="E183" t="str">
        <v>x</v>
      </c>
      <c r="F183">
        <f>D182-F182</f>
        <v>4.305000000000007</v>
      </c>
      <c r="L183" t="str">
        <v>=</v>
      </c>
      <c r="M183">
        <f>D183*F183</f>
        <v>5.166000000000008</v>
      </c>
      <c r="N183" t="str">
        <v>Sqm</v>
      </c>
    </row>
    <row r="184">
      <c r="B184" t="str">
        <v>height of C.G. above Bed level</v>
      </c>
      <c r="C184" t="str">
        <v>=</v>
      </c>
      <c r="D184">
        <f>(D182+F182)/2</f>
        <v>98.62249999999999</v>
      </c>
      <c r="E184" t="str">
        <v>-</v>
      </c>
      <c r="F184">
        <f>$E$16</f>
        <v>96.46999999999998</v>
      </c>
      <c r="G184" t="str">
        <v>=</v>
      </c>
      <c r="H184">
        <f>D184-F184</f>
        <v>2.1525000000000034</v>
      </c>
      <c r="I184" t="str">
        <v>m</v>
      </c>
    </row>
    <row r="185">
      <c r="B185" t="str">
        <v xml:space="preserve">According to Clause 212.3 IRC -6 -1966 </v>
      </c>
      <c r="D185" t="str">
        <v>Wind pressure =</v>
      </c>
      <c r="F185">
        <f>119+(130-119)*(H184-20)/(25-20)</f>
        <v>79.7355</v>
      </c>
      <c r="G185" t="str">
        <v>Kg/Sqm</v>
      </c>
      <c r="H185" t="str">
        <v>=</v>
      </c>
      <c r="J185">
        <f>F185*10/1000</f>
        <v>0.797355</v>
      </c>
      <c r="K185" t="str">
        <v>kN/Sqm</v>
      </c>
    </row>
    <row r="186">
      <c r="B186" t="str">
        <v>Wind Force</v>
      </c>
      <c r="C186" t="str">
        <v>=</v>
      </c>
      <c r="D186">
        <f>M183</f>
        <v>5.166000000000008</v>
      </c>
      <c r="E186" t="str">
        <v>x</v>
      </c>
      <c r="F186">
        <f>J185</f>
        <v>0.797355</v>
      </c>
      <c r="L186" t="str">
        <v>=</v>
      </c>
      <c r="M186">
        <f>D186*F186</f>
        <v>4.119135930000007</v>
      </c>
      <c r="N186" t="str">
        <v>kN</v>
      </c>
    </row>
    <row r="187">
      <c r="B187" t="str">
        <v>Moment @ R. L.</v>
      </c>
      <c r="D187">
        <f>D188+0.6</f>
        <v>93.56999999999998</v>
      </c>
      <c r="E187" t="str">
        <v>M =</v>
      </c>
      <c r="F187">
        <f>$M$186</f>
        <v>4.119135930000007</v>
      </c>
      <c r="G187" t="str">
        <v>x</v>
      </c>
      <c r="H187">
        <f>$D$184-D187</f>
        <v>5.052500000000009</v>
      </c>
      <c r="I187" t="str">
        <v>=</v>
      </c>
      <c r="J187">
        <f>F187*H187</f>
        <v>20.811934286325073</v>
      </c>
      <c r="K187" t="str">
        <v>kN-m</v>
      </c>
    </row>
    <row r="188">
      <c r="B188" t="str">
        <v>Moment @ R. L.</v>
      </c>
      <c r="D188">
        <f>D189+1</f>
        <v>92.96999999999998</v>
      </c>
      <c r="E188" t="str">
        <v>M =</v>
      </c>
      <c r="F188">
        <f>$M$178</f>
        <v>1.4331681000000003</v>
      </c>
      <c r="G188" t="str">
        <v>x</v>
      </c>
      <c r="H188">
        <f>$D$184-D188</f>
        <v>5.652500000000003</v>
      </c>
      <c r="I188" t="str">
        <v>=</v>
      </c>
      <c r="J188">
        <f>F188*H188</f>
        <v>8.100982685250006</v>
      </c>
      <c r="K188" t="str">
        <v>kN-m</v>
      </c>
    </row>
    <row r="189">
      <c r="B189" t="str">
        <v>Moment @ R. L.</v>
      </c>
      <c r="D189">
        <f>$E$20</f>
        <v>91.96999999999998</v>
      </c>
      <c r="E189" t="str">
        <v>M =</v>
      </c>
      <c r="F189">
        <f>$M$178</f>
        <v>1.4331681000000003</v>
      </c>
      <c r="G189" t="str">
        <v>x</v>
      </c>
      <c r="H189">
        <f>$D$184-D189</f>
        <v>6.652500000000003</v>
      </c>
      <c r="I189" t="str">
        <v>=</v>
      </c>
      <c r="J189">
        <f>F189*H189</f>
        <v>9.534150785250008</v>
      </c>
      <c r="K189" t="str">
        <v>kN-m</v>
      </c>
    </row>
    <row r="190">
      <c r="B190" t="str">
        <v>TOTAL TRANSVERSE MOMENT DUE TO WIND FORCE</v>
      </c>
    </row>
    <row r="191">
      <c r="B191" t="str">
        <v>Moment @ R. L.</v>
      </c>
      <c r="D191">
        <f>D187</f>
        <v>93.56999999999998</v>
      </c>
      <c r="E191" t="str">
        <v>M =</v>
      </c>
      <c r="F191">
        <f>J167</f>
        <v>70.38637157784396</v>
      </c>
      <c r="G191" t="str">
        <v>+</v>
      </c>
      <c r="H191">
        <f>J179</f>
        <v>9.896025730500025</v>
      </c>
      <c r="I191" t="str">
        <v>+</v>
      </c>
      <c r="J191">
        <f>J187</f>
        <v>20.811934286325073</v>
      </c>
      <c r="K191" t="str">
        <v>+</v>
      </c>
    </row>
    <row r="192">
      <c r="K192" t="str">
        <v>=</v>
      </c>
      <c r="L192">
        <f>SUM(F191:R191)</f>
        <v>101.09433159466906</v>
      </c>
      <c r="M192" t="str">
        <v>kN-m</v>
      </c>
    </row>
    <row r="193">
      <c r="B193" t="str">
        <v>Moment @ R. L.</v>
      </c>
      <c r="D193">
        <f>D188</f>
        <v>92.96999999999998</v>
      </c>
      <c r="E193" t="str">
        <v>M =</v>
      </c>
      <c r="F193">
        <f>J168</f>
        <v>75.93042447534391</v>
      </c>
      <c r="G193" t="str">
        <v>+</v>
      </c>
      <c r="H193">
        <f>J180</f>
        <v>10.755926590500016</v>
      </c>
      <c r="I193" t="str">
        <v>+</v>
      </c>
      <c r="J193">
        <f>J188</f>
        <v>8.100982685250006</v>
      </c>
      <c r="K193" t="str">
        <v>+</v>
      </c>
    </row>
    <row r="194">
      <c r="K194" t="str">
        <v>=</v>
      </c>
      <c r="L194">
        <f>SUM(F193:R193)</f>
        <v>94.78733375109393</v>
      </c>
      <c r="M194" t="str">
        <v>kN-m</v>
      </c>
    </row>
    <row r="195">
      <c r="B195" t="str">
        <v>Moment @ R. L.</v>
      </c>
      <c r="D195">
        <f>D189</f>
        <v>91.96999999999998</v>
      </c>
      <c r="E195" t="str">
        <v>M =</v>
      </c>
      <c r="F195">
        <f>J169</f>
        <v>85.17051263784391</v>
      </c>
      <c r="G195" t="str">
        <v>+</v>
      </c>
      <c r="H195">
        <f>J181</f>
        <v>12.189094690500017</v>
      </c>
      <c r="I195" t="str">
        <v>+</v>
      </c>
      <c r="J195">
        <f>J189</f>
        <v>9.534150785250008</v>
      </c>
      <c r="K195" t="str">
        <v>+</v>
      </c>
    </row>
    <row r="196">
      <c r="K196" t="str">
        <v>=</v>
      </c>
      <c r="L196">
        <f>SUM(F195:R195)</f>
        <v>106.89375811359393</v>
      </c>
      <c r="M196" t="str">
        <v>kN-m</v>
      </c>
    </row>
    <row r="197">
      <c r="B197" t="str">
        <v xml:space="preserve">BASE PRESSURE CALCULATION </v>
      </c>
    </row>
    <row r="198">
      <c r="B198" t="str">
        <f>CONCATENATE("CASE- 1  FOR SERVICE CONDITION AT R. L.",E20," M")</f>
        <v>CASE- 1  FOR SERVICE CONDITION AT R. L.91.97 M</v>
      </c>
    </row>
    <row r="199">
      <c r="B199" t="str">
        <v>VERTICAL LOADS</v>
      </c>
    </row>
    <row r="200">
      <c r="B200" t="str">
        <v>DEAD LOAD CALCULATION</v>
      </c>
    </row>
    <row r="201">
      <c r="B201" t="str">
        <v>SUPER STRUCTURE</v>
      </c>
      <c r="C201" t="str">
        <v>=</v>
      </c>
      <c r="D201">
        <f>L29</f>
        <v>1463.6159999999998</v>
      </c>
      <c r="E201" t="str">
        <v>kN</v>
      </c>
    </row>
    <row r="202">
      <c r="B202" t="str">
        <v>SUB STRUCTURE</v>
      </c>
      <c r="C202" t="str">
        <v>=</v>
      </c>
      <c r="D202">
        <f>P56</f>
        <v>2821.2050880000015</v>
      </c>
      <c r="E202" t="str">
        <v>kN</v>
      </c>
      <c r="F202" t="str">
        <v>Without Buoyancy</v>
      </c>
    </row>
    <row r="203">
      <c r="B203" t="str">
        <v>SUB STRUCTURE</v>
      </c>
      <c r="C203" t="str">
        <v>=</v>
      </c>
      <c r="D203">
        <f>P59</f>
        <v>2271.835470000002</v>
      </c>
      <c r="E203" t="str">
        <v>kN</v>
      </c>
      <c r="F203" t="str">
        <v>With Buoyancy</v>
      </c>
    </row>
    <row r="204">
      <c r="B204" t="str">
        <v xml:space="preserve">LIVE LOAD </v>
      </c>
      <c r="C204" t="str">
        <v>=</v>
      </c>
      <c r="D204">
        <f>H62</f>
        <v>788.2663473053892</v>
      </c>
      <c r="E204" t="str">
        <v>kN</v>
      </c>
    </row>
    <row r="205">
      <c r="B205" t="str">
        <v>Total Load without Buoyancy</v>
      </c>
      <c r="C205" t="str">
        <v>=</v>
      </c>
      <c r="D205">
        <f>D201+D202+D204</f>
        <v>5073.0874353053905</v>
      </c>
      <c r="E205" t="str">
        <v>kN</v>
      </c>
    </row>
    <row r="206">
      <c r="B206" t="str">
        <v>Total Load with Buoyancy</v>
      </c>
      <c r="C206" t="str">
        <v>=</v>
      </c>
      <c r="D206">
        <f>D201+D203+D204</f>
        <v>4523.717817305391</v>
      </c>
      <c r="E206" t="str">
        <v>kN</v>
      </c>
    </row>
    <row r="207">
      <c r="B207" t="str">
        <v>Total LONGITUDINAL MOMENT</v>
      </c>
      <c r="C207" t="str">
        <v>=</v>
      </c>
      <c r="D207">
        <f>$J$117</f>
        <v>112.56078556340799</v>
      </c>
      <c r="E207" t="str">
        <v>+</v>
      </c>
      <c r="F207">
        <f>$H$66</f>
        <v>244.25331736526948</v>
      </c>
      <c r="G207" t="str">
        <v>=</v>
      </c>
      <c r="H207">
        <f>D207+F207</f>
        <v>356.81410292867747</v>
      </c>
      <c r="I207" t="str">
        <v>kN-m</v>
      </c>
    </row>
    <row r="208">
      <c r="B208" t="str">
        <v>Total TRANSVERSE MOMENT</v>
      </c>
      <c r="C208" t="str">
        <v>=</v>
      </c>
      <c r="D208">
        <f>$J$158</f>
        <v>112.56078556340799</v>
      </c>
      <c r="E208" t="str">
        <v>+</v>
      </c>
      <c r="F208">
        <f>$H$71</f>
        <v>2247.881195209581</v>
      </c>
      <c r="G208" t="str">
        <v>=</v>
      </c>
      <c r="H208">
        <f>D208+F208</f>
        <v>2360.441980772989</v>
      </c>
      <c r="I208" t="str">
        <v>kN-m</v>
      </c>
    </row>
    <row r="209">
      <c r="B209" t="str">
        <v>C.S.A.</v>
      </c>
      <c r="C209" t="str">
        <v>=</v>
      </c>
      <c r="D209">
        <f>D53</f>
        <v>12</v>
      </c>
      <c r="E209" t="str">
        <v>x</v>
      </c>
      <c r="F209">
        <f>F53</f>
        <v>3.8</v>
      </c>
      <c r="I209" t="str">
        <v>=</v>
      </c>
      <c r="J209">
        <f>D209*F209</f>
        <v>45.599999999999994</v>
      </c>
      <c r="K209" t="str">
        <v>m2</v>
      </c>
    </row>
    <row r="210">
      <c r="C210" t="str">
        <v>=</v>
      </c>
    </row>
    <row r="211">
      <c r="B211" t="str">
        <v>Ixx</v>
      </c>
      <c r="C211" t="str">
        <v>=</v>
      </c>
      <c r="D211" t="str">
        <v>1/6x</v>
      </c>
      <c r="E211">
        <f>D209</f>
        <v>12</v>
      </c>
      <c r="F211" t="str">
        <v>x</v>
      </c>
      <c r="G211">
        <f>F209</f>
        <v>3.8</v>
      </c>
      <c r="H211" t="str">
        <v xml:space="preserve">2  </v>
      </c>
      <c r="I211" t="str">
        <v>=</v>
      </c>
      <c r="J211">
        <f>E211*G211^2/6</f>
        <v>28.88</v>
      </c>
      <c r="K211" t="str">
        <v>m3</v>
      </c>
    </row>
    <row r="212">
      <c r="B212" t="str">
        <v>Iyy</v>
      </c>
      <c r="C212" t="str">
        <v>=</v>
      </c>
      <c r="D212" t="str">
        <v>1/6x</v>
      </c>
      <c r="E212">
        <f>E211</f>
        <v>12</v>
      </c>
      <c r="F212" t="str">
        <v xml:space="preserve">2  </v>
      </c>
      <c r="G212" t="str">
        <v>x</v>
      </c>
      <c r="H212">
        <f>G211</f>
        <v>3.8</v>
      </c>
      <c r="I212" t="str">
        <v>=</v>
      </c>
      <c r="J212">
        <f>E212^2*H212/6</f>
        <v>91.19999999999999</v>
      </c>
      <c r="K212" t="str">
        <v>m3</v>
      </c>
    </row>
    <row r="213">
      <c r="B213" t="str">
        <v>STRESS with Buoyancy</v>
      </c>
      <c r="C213" t="str">
        <v>= (</v>
      </c>
      <c r="D213">
        <f>D206</f>
        <v>4523.717817305391</v>
      </c>
      <c r="E213" t="str">
        <v>/</v>
      </c>
      <c r="F213">
        <f>$J$209</f>
        <v>45.599999999999994</v>
      </c>
      <c r="G213" t="str">
        <v>)+ / - (</v>
      </c>
      <c r="H213">
        <f>$H$207</f>
        <v>356.81410292867747</v>
      </c>
      <c r="I213" t="str">
        <v>/</v>
      </c>
      <c r="J213">
        <f>$J$211</f>
        <v>28.88</v>
      </c>
      <c r="K213" t="str">
        <v>)+ / - (</v>
      </c>
      <c r="L213">
        <f>$H$208</f>
        <v>2360.441980772989</v>
      </c>
      <c r="M213" t="str">
        <v>/</v>
      </c>
      <c r="N213">
        <f>$J$212</f>
        <v>91.19999999999999</v>
      </c>
      <c r="O213" t="str">
        <v>)</v>
      </c>
    </row>
    <row r="214">
      <c r="C214" t="str">
        <v>=</v>
      </c>
      <c r="D214">
        <f>D213/F213</f>
        <v>99.20433809880244</v>
      </c>
      <c r="E214" t="str">
        <v>+ / -</v>
      </c>
      <c r="F214">
        <f>H213/J213</f>
        <v>12.355058965674429</v>
      </c>
      <c r="G214" t="str">
        <v>+ / -</v>
      </c>
      <c r="H214">
        <f>L213/N213</f>
        <v>25.882039262861728</v>
      </c>
    </row>
    <row r="215">
      <c r="B215" t="str">
        <v>Pmax</v>
      </c>
      <c r="C215" t="str">
        <v>=</v>
      </c>
      <c r="D215">
        <f>D214</f>
        <v>99.20433809880244</v>
      </c>
      <c r="E215" t="str">
        <v>+</v>
      </c>
      <c r="F215">
        <f>F214</f>
        <v>12.355058965674429</v>
      </c>
      <c r="G215" t="str">
        <v>+</v>
      </c>
      <c r="H215">
        <f>H214</f>
        <v>25.882039262861728</v>
      </c>
    </row>
    <row r="216">
      <c r="C216" t="str">
        <v>=</v>
      </c>
      <c r="D216">
        <f>D215+F215+H215</f>
        <v>137.4414363273386</v>
      </c>
      <c r="E216" t="str">
        <v>kN/m2</v>
      </c>
    </row>
    <row r="217">
      <c r="D217" t="str">
        <v>&lt; 250 kN/m2 Hence O.K.</v>
      </c>
    </row>
    <row r="218">
      <c r="B218" t="str">
        <v>Pmin</v>
      </c>
      <c r="C218" t="str">
        <v>=</v>
      </c>
      <c r="D218">
        <f>D215</f>
        <v>99.20433809880244</v>
      </c>
      <c r="E218" t="str">
        <v>-</v>
      </c>
      <c r="F218">
        <f>F215</f>
        <v>12.355058965674429</v>
      </c>
      <c r="G218" t="str">
        <v>-</v>
      </c>
      <c r="H218">
        <f>H215</f>
        <v>25.882039262861728</v>
      </c>
    </row>
    <row r="219">
      <c r="C219" t="str">
        <v>=</v>
      </c>
      <c r="D219">
        <f>D218-F218-H218</f>
        <v>60.96723987026628</v>
      </c>
      <c r="E219" t="str">
        <v>kN/m2</v>
      </c>
    </row>
    <row r="220">
      <c r="D220" t="str">
        <v>&gt; 0 Hence O.K.</v>
      </c>
    </row>
    <row r="222">
      <c r="B222" t="str">
        <v>STRESS without Buoyancy</v>
      </c>
      <c r="C222" t="str">
        <v>= (</v>
      </c>
      <c r="D222">
        <f>D205</f>
        <v>5073.0874353053905</v>
      </c>
      <c r="E222" t="str">
        <v>/</v>
      </c>
      <c r="F222">
        <f>$J$209</f>
        <v>45.599999999999994</v>
      </c>
      <c r="G222" t="str">
        <v>)+ / - (</v>
      </c>
      <c r="H222">
        <f>$H$207</f>
        <v>356.81410292867747</v>
      </c>
      <c r="I222" t="str">
        <v>/</v>
      </c>
      <c r="J222">
        <f>$J$211</f>
        <v>28.88</v>
      </c>
      <c r="K222" t="str">
        <v>)+ / - (</v>
      </c>
      <c r="L222">
        <f>$H$208</f>
        <v>2360.441980772989</v>
      </c>
      <c r="M222" t="str">
        <v>/</v>
      </c>
      <c r="N222">
        <f>$J$212</f>
        <v>91.19999999999999</v>
      </c>
      <c r="O222" t="str">
        <v>)</v>
      </c>
    </row>
    <row r="223">
      <c r="C223" t="str">
        <v>=</v>
      </c>
      <c r="D223">
        <f>D222/F222</f>
        <v>111.2519174409077</v>
      </c>
      <c r="E223" t="str">
        <v>+ / -</v>
      </c>
      <c r="F223">
        <f>H222/J222</f>
        <v>12.355058965674429</v>
      </c>
      <c r="G223" t="str">
        <v>+ / -</v>
      </c>
      <c r="H223">
        <f>L222/N222</f>
        <v>25.882039262861728</v>
      </c>
    </row>
    <row r="224">
      <c r="B224" t="str">
        <v>Pmax</v>
      </c>
      <c r="C224" t="str">
        <v>=</v>
      </c>
      <c r="D224">
        <f>D223</f>
        <v>111.2519174409077</v>
      </c>
      <c r="E224" t="str">
        <v>+</v>
      </c>
      <c r="F224">
        <f>F223</f>
        <v>12.355058965674429</v>
      </c>
      <c r="G224" t="str">
        <v>+</v>
      </c>
      <c r="H224">
        <f>H223</f>
        <v>25.882039262861728</v>
      </c>
    </row>
    <row r="225">
      <c r="C225" t="str">
        <v>=</v>
      </c>
      <c r="D225">
        <f>D224+F224+H224-12</f>
        <v>137.48901566944386</v>
      </c>
      <c r="E225" t="str">
        <v>kN/m2</v>
      </c>
    </row>
    <row r="226">
      <c r="D226" t="str">
        <v>&lt; 250 kN/m2 Hence O.K.</v>
      </c>
    </row>
    <row r="227">
      <c r="B227" t="str">
        <v>Pmin</v>
      </c>
      <c r="C227" t="str">
        <v>=</v>
      </c>
      <c r="D227">
        <f>D224</f>
        <v>111.2519174409077</v>
      </c>
      <c r="E227" t="str">
        <v>-</v>
      </c>
      <c r="F227">
        <f>F224</f>
        <v>12.355058965674429</v>
      </c>
      <c r="G227" t="str">
        <v>-</v>
      </c>
      <c r="H227">
        <f>H224</f>
        <v>25.882039262861728</v>
      </c>
    </row>
    <row r="228">
      <c r="C228" t="str">
        <v>=</v>
      </c>
      <c r="D228">
        <f>D227-F227-H227</f>
        <v>73.01481921237155</v>
      </c>
      <c r="E228" t="str">
        <v>kN/m2</v>
      </c>
    </row>
    <row r="229">
      <c r="D229" t="str">
        <v>&gt; 0 Hence O.K.</v>
      </c>
    </row>
    <row r="231">
      <c r="B231" t="str">
        <f>CONCATENATE("CASE- 2  FOR IDLE CONDITION AT R. L.",E20," M")</f>
        <v>CASE- 2  FOR IDLE CONDITION AT R. L.91.97 M</v>
      </c>
      <c r="F231" t="str">
        <v>(WHEN THERE IS NO LIVE LOAD)</v>
      </c>
    </row>
    <row r="233">
      <c r="B233" t="str">
        <v>SUPER STRUCTURE</v>
      </c>
      <c r="C233" t="str">
        <v>=</v>
      </c>
      <c r="D233">
        <f>D201</f>
        <v>1463.6159999999998</v>
      </c>
      <c r="E233" t="str">
        <v>kN</v>
      </c>
      <c r="F233" t="str">
        <v>A CHECK OF STABILITY DUE TO BUOYANCY EFFECT</v>
      </c>
    </row>
    <row r="234">
      <c r="B234" t="str">
        <v>SUB STRUCTURE</v>
      </c>
      <c r="C234" t="str">
        <v>=</v>
      </c>
      <c r="D234">
        <f>D202</f>
        <v>2821.2050880000015</v>
      </c>
      <c r="E234" t="str">
        <v>kN</v>
      </c>
      <c r="F234" t="str">
        <v>Without Buoyancy</v>
      </c>
    </row>
    <row r="235">
      <c r="B235" t="str">
        <v>SUB STRUCTURE</v>
      </c>
      <c r="C235" t="str">
        <v>=</v>
      </c>
      <c r="D235">
        <f>D203</f>
        <v>2271.835470000002</v>
      </c>
      <c r="E235" t="str">
        <v>kN</v>
      </c>
      <c r="F235" t="str">
        <v>With Buoyancy</v>
      </c>
    </row>
    <row r="236">
      <c r="B236" t="str">
        <v xml:space="preserve">LIVE LOAD </v>
      </c>
      <c r="C236" t="str">
        <v>=</v>
      </c>
      <c r="D236">
        <v>0</v>
      </c>
      <c r="E236" t="str">
        <v>kN</v>
      </c>
    </row>
    <row r="237">
      <c r="B237" t="str">
        <v>Total Load without Buoyancy</v>
      </c>
      <c r="C237" t="str">
        <v>=</v>
      </c>
      <c r="D237">
        <f>D233+D234+D236</f>
        <v>4284.8210880000015</v>
      </c>
      <c r="E237" t="str">
        <v>kN</v>
      </c>
    </row>
    <row r="238">
      <c r="B238" t="str">
        <v>Total Load with Buoyancy</v>
      </c>
      <c r="C238" t="str">
        <v>=</v>
      </c>
      <c r="D238">
        <f>D233+D235+D236</f>
        <v>3735.451470000002</v>
      </c>
      <c r="E238" t="str">
        <v>kN</v>
      </c>
    </row>
    <row r="239">
      <c r="B239" t="str">
        <v>STRESS with Buoyancy</v>
      </c>
      <c r="C239" t="str">
        <v>= (</v>
      </c>
      <c r="D239">
        <f>D238</f>
        <v>3735.451470000002</v>
      </c>
      <c r="E239" t="str">
        <v>/</v>
      </c>
      <c r="F239">
        <f>$J$209</f>
        <v>45.599999999999994</v>
      </c>
      <c r="G239" t="str">
        <v>)+ / - (</v>
      </c>
      <c r="H239">
        <f>$J$117</f>
        <v>112.56078556340799</v>
      </c>
      <c r="I239" t="str">
        <v>/</v>
      </c>
      <c r="J239">
        <f>$J$211</f>
        <v>28.88</v>
      </c>
      <c r="K239" t="str">
        <v>)+ / - (</v>
      </c>
      <c r="L239">
        <f>$J$158</f>
        <v>112.56078556340799</v>
      </c>
      <c r="M239" t="str">
        <v>/</v>
      </c>
      <c r="N239">
        <f>$J$212</f>
        <v>91.19999999999999</v>
      </c>
      <c r="O239" t="str">
        <v>)</v>
      </c>
    </row>
    <row r="240">
      <c r="C240" t="str">
        <v>=</v>
      </c>
      <c r="D240">
        <f>D239/F239</f>
        <v>81.91779539473688</v>
      </c>
      <c r="E240" t="str">
        <v>+ / -</v>
      </c>
      <c r="F240">
        <f>H239/J239</f>
        <v>3.8975341261567866</v>
      </c>
      <c r="G240" t="str">
        <v>+ / -</v>
      </c>
      <c r="H240">
        <f>L239/N239</f>
        <v>1.2342191399496492</v>
      </c>
    </row>
    <row r="241">
      <c r="B241" t="str">
        <v>Pmax</v>
      </c>
      <c r="C241" t="str">
        <v>=</v>
      </c>
      <c r="D241">
        <f>D240</f>
        <v>81.91779539473688</v>
      </c>
      <c r="E241" t="str">
        <v>+</v>
      </c>
      <c r="F241">
        <f>F240</f>
        <v>3.8975341261567866</v>
      </c>
      <c r="G241" t="str">
        <v>+</v>
      </c>
      <c r="H241">
        <f>H240</f>
        <v>1.2342191399496492</v>
      </c>
    </row>
    <row r="242">
      <c r="C242" t="str">
        <v>=</v>
      </c>
      <c r="D242">
        <f>D241+F241+H241</f>
        <v>87.04954866084331</v>
      </c>
      <c r="E242" t="str">
        <v>kN/m2</v>
      </c>
    </row>
    <row r="243">
      <c r="D243" t="str">
        <v>&lt; 250 kN/m2 Hence O.K.</v>
      </c>
    </row>
    <row r="244">
      <c r="B244" t="str">
        <v>Pmin</v>
      </c>
      <c r="C244" t="str">
        <v>=</v>
      </c>
      <c r="D244">
        <f>D241</f>
        <v>81.91779539473688</v>
      </c>
      <c r="E244" t="str">
        <v>-</v>
      </c>
      <c r="F244">
        <f>F241</f>
        <v>3.8975341261567866</v>
      </c>
      <c r="G244" t="str">
        <v>-</v>
      </c>
      <c r="H244">
        <f>H241</f>
        <v>1.2342191399496492</v>
      </c>
    </row>
    <row r="245">
      <c r="C245" t="str">
        <v>=</v>
      </c>
      <c r="D245">
        <f>D244-F244-H244</f>
        <v>76.78604212863046</v>
      </c>
      <c r="E245" t="str">
        <v>kN/m2</v>
      </c>
    </row>
    <row r="246">
      <c r="D246" t="str">
        <v>&gt; 0 Hence O.K.</v>
      </c>
    </row>
    <row r="248">
      <c r="B248" t="str">
        <v>STRESS without Buoyancy</v>
      </c>
      <c r="C248" t="str">
        <v>= (</v>
      </c>
      <c r="D248">
        <f>D237</f>
        <v>4284.8210880000015</v>
      </c>
      <c r="E248" t="str">
        <v>/</v>
      </c>
      <c r="F248">
        <f>$J$209</f>
        <v>45.599999999999994</v>
      </c>
      <c r="G248" t="str">
        <v>)+ / - (</v>
      </c>
      <c r="H248">
        <f>$J$117</f>
        <v>112.56078556340799</v>
      </c>
      <c r="I248" t="str">
        <v>/</v>
      </c>
      <c r="J248">
        <f>$J$211</f>
        <v>28.88</v>
      </c>
      <c r="K248" t="str">
        <v>)+ / - (</v>
      </c>
      <c r="L248">
        <f>$J$158</f>
        <v>112.56078556340799</v>
      </c>
      <c r="M248" t="str">
        <v>/</v>
      </c>
      <c r="N248">
        <f>$J$212</f>
        <v>91.19999999999999</v>
      </c>
      <c r="O248" t="str">
        <v>)</v>
      </c>
    </row>
    <row r="249">
      <c r="C249" t="str">
        <v>=</v>
      </c>
      <c r="D249">
        <f>D248/F248</f>
        <v>93.96537473684215</v>
      </c>
      <c r="E249" t="str">
        <v>+ / -</v>
      </c>
      <c r="F249">
        <f>H248/J248</f>
        <v>3.8975341261567866</v>
      </c>
      <c r="G249" t="str">
        <v>+ / -</v>
      </c>
      <c r="H249">
        <f>L248/N248</f>
        <v>1.2342191399496492</v>
      </c>
    </row>
    <row r="250">
      <c r="B250" t="str">
        <v>Pmax</v>
      </c>
      <c r="C250" t="str">
        <v>=</v>
      </c>
      <c r="D250">
        <f>D249</f>
        <v>93.96537473684215</v>
      </c>
      <c r="E250" t="str">
        <v>+</v>
      </c>
      <c r="F250">
        <f>F249</f>
        <v>3.8975341261567866</v>
      </c>
      <c r="G250" t="str">
        <v>+</v>
      </c>
      <c r="H250">
        <f>H249</f>
        <v>1.2342191399496492</v>
      </c>
    </row>
    <row r="251">
      <c r="C251" t="str">
        <v>=</v>
      </c>
      <c r="D251">
        <f>D250+F250+H250</f>
        <v>99.09712800294858</v>
      </c>
      <c r="E251" t="str">
        <v>kN/m2</v>
      </c>
    </row>
    <row r="252">
      <c r="D252" t="str">
        <v>&lt; 250 kN/m2 Hence O.K.</v>
      </c>
    </row>
    <row r="253">
      <c r="B253" t="str">
        <v>Pmin</v>
      </c>
      <c r="C253" t="str">
        <v>=</v>
      </c>
      <c r="D253">
        <f>D250</f>
        <v>93.96537473684215</v>
      </c>
      <c r="E253" t="str">
        <v>-</v>
      </c>
      <c r="F253">
        <f>F250</f>
        <v>3.8975341261567866</v>
      </c>
      <c r="G253" t="str">
        <v>-</v>
      </c>
      <c r="H253">
        <f>H250</f>
        <v>1.2342191399496492</v>
      </c>
    </row>
    <row r="254">
      <c r="C254" t="str">
        <v>=</v>
      </c>
      <c r="D254">
        <f>D253-F253-H253</f>
        <v>88.83362147073572</v>
      </c>
      <c r="E254" t="str">
        <v>kN/m2</v>
      </c>
    </row>
    <row r="255">
      <c r="D255" t="str">
        <v>&gt; 0 Hence O.K.</v>
      </c>
    </row>
    <row r="257">
      <c r="B257" t="str">
        <f>CONCATENATE("CASE- 3 FOR WIND FORCE AT SERVICE CONDITION AT R. L.",E20," M")</f>
        <v>CASE- 3 FOR WIND FORCE AT SERVICE CONDITION AT R. L.91.97 M</v>
      </c>
    </row>
    <row r="259">
      <c r="B259" t="str">
        <v>SUPER STRUCTURE</v>
      </c>
      <c r="C259" t="str">
        <v>=</v>
      </c>
      <c r="D259">
        <f>D201</f>
        <v>1463.6159999999998</v>
      </c>
      <c r="E259" t="str">
        <v>kN</v>
      </c>
    </row>
    <row r="260">
      <c r="B260" t="str">
        <v>SUB STRUCTURE</v>
      </c>
      <c r="C260" t="str">
        <v>=</v>
      </c>
      <c r="D260">
        <f>D202</f>
        <v>2821.2050880000015</v>
      </c>
      <c r="E260" t="str">
        <v>kN</v>
      </c>
      <c r="F260" t="str">
        <v>Without Buoyancy</v>
      </c>
    </row>
    <row r="261">
      <c r="B261" t="str">
        <v>SUB STRUCTURE</v>
      </c>
      <c r="C261" t="str">
        <v>=</v>
      </c>
      <c r="D261">
        <f>D203</f>
        <v>2271.835470000002</v>
      </c>
      <c r="E261" t="str">
        <v>kN</v>
      </c>
      <c r="F261" t="str">
        <v>With Buoyancy</v>
      </c>
    </row>
    <row r="262">
      <c r="B262" t="str">
        <v xml:space="preserve">LIVE LOAD </v>
      </c>
      <c r="C262" t="str">
        <v>=</v>
      </c>
      <c r="D262">
        <f>D204</f>
        <v>788.2663473053892</v>
      </c>
      <c r="E262" t="str">
        <v>kN</v>
      </c>
    </row>
    <row r="263">
      <c r="B263" t="str">
        <v>Total Load without Buoyancy</v>
      </c>
      <c r="C263" t="str">
        <v>=</v>
      </c>
      <c r="D263">
        <f>D205</f>
        <v>5073.0874353053905</v>
      </c>
      <c r="E263" t="str">
        <v>kN</v>
      </c>
    </row>
    <row r="264">
      <c r="B264" t="str">
        <v>Total Load with Buoyancy</v>
      </c>
      <c r="C264" t="str">
        <v>=</v>
      </c>
      <c r="D264">
        <f>D206</f>
        <v>4523.717817305391</v>
      </c>
      <c r="E264" t="str">
        <v>kN</v>
      </c>
    </row>
    <row r="265">
      <c r="B265" t="str">
        <v>Total LONGITUDINAL MOMENT</v>
      </c>
      <c r="C265" t="str">
        <v>=</v>
      </c>
      <c r="D265">
        <f>$J$117</f>
        <v>112.56078556340799</v>
      </c>
      <c r="E265" t="str">
        <v>+</v>
      </c>
      <c r="F265">
        <f>$H$66</f>
        <v>244.25331736526948</v>
      </c>
      <c r="I265" t="str">
        <v>=</v>
      </c>
      <c r="J265">
        <f>D265+F265</f>
        <v>356.81410292867747</v>
      </c>
      <c r="K265" t="str">
        <v>kN-m</v>
      </c>
    </row>
    <row r="266">
      <c r="B266" t="str">
        <v>Total TRANSVERSE MOMENT</v>
      </c>
      <c r="C266" t="str">
        <v>=</v>
      </c>
      <c r="D266">
        <f>$J$158</f>
        <v>112.56078556340799</v>
      </c>
      <c r="E266" t="str">
        <v>+</v>
      </c>
      <c r="F266">
        <f>$L$196</f>
        <v>106.89375811359393</v>
      </c>
      <c r="G266" t="str">
        <v>+</v>
      </c>
      <c r="H266">
        <f>$H$71</f>
        <v>2247.881195209581</v>
      </c>
      <c r="I266" t="str">
        <v>=</v>
      </c>
      <c r="J266">
        <f>D266+F266+H266</f>
        <v>2467.335738886583</v>
      </c>
      <c r="K266" t="str">
        <v>kN-m</v>
      </c>
    </row>
    <row r="267">
      <c r="B267" t="str">
        <v>STRESS with Buoyancy</v>
      </c>
      <c r="C267" t="str">
        <v>= (</v>
      </c>
      <c r="D267">
        <f>D264</f>
        <v>4523.717817305391</v>
      </c>
      <c r="E267" t="str">
        <v>/</v>
      </c>
      <c r="F267">
        <f>$J$209</f>
        <v>45.599999999999994</v>
      </c>
      <c r="G267" t="str">
        <v>)+ / - (</v>
      </c>
      <c r="H267">
        <f>$J$265</f>
        <v>356.81410292867747</v>
      </c>
      <c r="I267" t="str">
        <v>/</v>
      </c>
      <c r="J267">
        <f>$J$211</f>
        <v>28.88</v>
      </c>
      <c r="K267" t="str">
        <v>)+ / - (</v>
      </c>
      <c r="L267">
        <f>$J$266</f>
        <v>2467.335738886583</v>
      </c>
      <c r="M267" t="str">
        <v>/</v>
      </c>
      <c r="N267">
        <f>$J$212</f>
        <v>91.19999999999999</v>
      </c>
      <c r="O267" t="str">
        <v>)</v>
      </c>
    </row>
    <row r="268">
      <c r="C268" t="str">
        <v>=</v>
      </c>
      <c r="D268">
        <f>D267/F267</f>
        <v>99.20433809880244</v>
      </c>
      <c r="E268" t="str">
        <v>+ / -</v>
      </c>
      <c r="F268">
        <f>H267/J267</f>
        <v>12.355058965674429</v>
      </c>
      <c r="G268" t="str">
        <v>+ / -</v>
      </c>
      <c r="H268">
        <f>L267/N267</f>
        <v>27.054119943931834</v>
      </c>
    </row>
    <row r="269">
      <c r="B269" t="str">
        <v>Pmax</v>
      </c>
      <c r="C269" t="str">
        <v>=</v>
      </c>
      <c r="D269">
        <f>D268</f>
        <v>99.20433809880244</v>
      </c>
      <c r="E269" t="str">
        <v>+</v>
      </c>
      <c r="F269">
        <f>F268</f>
        <v>12.355058965674429</v>
      </c>
      <c r="G269" t="str">
        <v>+</v>
      </c>
      <c r="H269">
        <f>H268</f>
        <v>27.054119943931834</v>
      </c>
    </row>
    <row r="270">
      <c r="C270" t="str">
        <v>=</v>
      </c>
      <c r="D270">
        <f>D269+F269+H269</f>
        <v>138.6135170084087</v>
      </c>
      <c r="E270" t="str">
        <v>kN/m2</v>
      </c>
    </row>
    <row r="271">
      <c r="D271" t="str">
        <v>&lt; 250 kN/m2 Hence O.K.</v>
      </c>
    </row>
    <row r="272">
      <c r="B272" t="str">
        <v>Pmin</v>
      </c>
      <c r="C272" t="str">
        <v>=</v>
      </c>
      <c r="D272">
        <f>D269</f>
        <v>99.20433809880244</v>
      </c>
      <c r="E272" t="str">
        <v>-</v>
      </c>
      <c r="F272">
        <f>F269</f>
        <v>12.355058965674429</v>
      </c>
      <c r="G272" t="str">
        <v>-</v>
      </c>
      <c r="H272">
        <f>H269</f>
        <v>27.054119943931834</v>
      </c>
    </row>
    <row r="273">
      <c r="C273" t="str">
        <v>=</v>
      </c>
      <c r="D273">
        <f>D272-F272-H272</f>
        <v>59.79515918919617</v>
      </c>
      <c r="E273" t="str">
        <v>kN/m2</v>
      </c>
    </row>
    <row r="274">
      <c r="D274" t="str">
        <v>&gt; 0 Hence O.K.</v>
      </c>
    </row>
    <row r="276">
      <c r="B276" t="str">
        <v>STRESS without Buoyancy</v>
      </c>
      <c r="C276" t="str">
        <v>= (</v>
      </c>
      <c r="D276">
        <f>D263</f>
        <v>5073.0874353053905</v>
      </c>
      <c r="E276" t="str">
        <v>/</v>
      </c>
      <c r="F276">
        <f>$J$209</f>
        <v>45.599999999999994</v>
      </c>
      <c r="G276" t="str">
        <v>)+ / - (</v>
      </c>
      <c r="H276">
        <f>$J$265</f>
        <v>356.81410292867747</v>
      </c>
      <c r="I276" t="str">
        <v>/</v>
      </c>
      <c r="J276">
        <f>$J$211</f>
        <v>28.88</v>
      </c>
      <c r="K276" t="str">
        <v>)+ / - (</v>
      </c>
      <c r="L276">
        <f>$J$266</f>
        <v>2467.335738886583</v>
      </c>
      <c r="M276" t="str">
        <v>/</v>
      </c>
      <c r="N276">
        <f>$J$212</f>
        <v>91.19999999999999</v>
      </c>
      <c r="O276" t="str">
        <v>)</v>
      </c>
    </row>
    <row r="277">
      <c r="C277" t="str">
        <v>=</v>
      </c>
      <c r="D277">
        <f>D276/F276</f>
        <v>111.2519174409077</v>
      </c>
      <c r="E277" t="str">
        <v>+ / -</v>
      </c>
      <c r="F277">
        <f>H276/J276</f>
        <v>12.355058965674429</v>
      </c>
      <c r="G277" t="str">
        <v>+ / -</v>
      </c>
      <c r="H277">
        <f>L276/N276</f>
        <v>27.054119943931834</v>
      </c>
    </row>
    <row r="278">
      <c r="B278" t="str">
        <v>Pmax</v>
      </c>
      <c r="C278" t="str">
        <v>=</v>
      </c>
      <c r="D278">
        <f>D277</f>
        <v>111.2519174409077</v>
      </c>
      <c r="E278" t="str">
        <v>+</v>
      </c>
      <c r="F278">
        <f>F277</f>
        <v>12.355058965674429</v>
      </c>
      <c r="G278" t="str">
        <v>+</v>
      </c>
      <c r="H278">
        <f>H277</f>
        <v>27.054119943931834</v>
      </c>
    </row>
    <row r="279">
      <c r="C279" t="str">
        <v>=</v>
      </c>
      <c r="D279">
        <f>D278+F278+H278-12</f>
        <v>138.66109635051396</v>
      </c>
      <c r="E279" t="str">
        <v>kN/m2</v>
      </c>
    </row>
    <row r="280">
      <c r="D280" t="str">
        <v>&lt; 250 kN/m2 Hence O.K.</v>
      </c>
    </row>
    <row r="281">
      <c r="B281" t="str">
        <v>Pmin</v>
      </c>
      <c r="C281" t="str">
        <v>=</v>
      </c>
      <c r="D281">
        <f>D278</f>
        <v>111.2519174409077</v>
      </c>
      <c r="E281" t="str">
        <v>-</v>
      </c>
      <c r="F281">
        <f>F278</f>
        <v>12.355058965674429</v>
      </c>
      <c r="G281" t="str">
        <v>-</v>
      </c>
      <c r="H281">
        <f>H278</f>
        <v>27.054119943931834</v>
      </c>
    </row>
    <row r="282">
      <c r="C282" t="str">
        <v>=</v>
      </c>
      <c r="D282">
        <f>D281-F281-H281</f>
        <v>71.84273853130144</v>
      </c>
      <c r="E282" t="str">
        <v>kN/m2</v>
      </c>
    </row>
    <row r="283">
      <c r="D283" t="str">
        <v>&gt; 0 Hence O.K.</v>
      </c>
    </row>
    <row r="285">
      <c r="B285" t="str">
        <f>CONCATENATE("CASE- 4 FOR WIND FORCE AT IDLE CONDITION AT R. L.",E20," M")</f>
        <v>CASE- 4 FOR WIND FORCE AT IDLE CONDITION AT R. L.91.97 M</v>
      </c>
      <c r="G285" t="str">
        <v>[ NO LIVE LOAD ]</v>
      </c>
    </row>
    <row r="287">
      <c r="B287" t="str">
        <v>SUPER STRUCTURE</v>
      </c>
      <c r="C287" t="str">
        <v>=</v>
      </c>
      <c r="D287">
        <f>D259</f>
        <v>1463.6159999999998</v>
      </c>
      <c r="E287" t="str">
        <v>kN</v>
      </c>
    </row>
    <row r="288">
      <c r="B288" t="str">
        <v>SUB STRUCTURE</v>
      </c>
      <c r="C288" t="str">
        <v>=</v>
      </c>
      <c r="D288">
        <f>D260</f>
        <v>2821.2050880000015</v>
      </c>
      <c r="E288" t="str">
        <v>kN</v>
      </c>
      <c r="F288" t="str">
        <v>Without Buoyancy</v>
      </c>
    </row>
    <row r="289">
      <c r="B289" t="str">
        <v>SUB STRUCTURE</v>
      </c>
      <c r="C289" t="str">
        <v>=</v>
      </c>
      <c r="D289">
        <f>D261</f>
        <v>2271.835470000002</v>
      </c>
      <c r="E289" t="str">
        <v>kN</v>
      </c>
      <c r="F289" t="str">
        <v>With Buoyancy</v>
      </c>
    </row>
    <row r="290">
      <c r="B290" t="str">
        <v xml:space="preserve">LIVE LOAD </v>
      </c>
      <c r="C290" t="str">
        <v>=</v>
      </c>
      <c r="D290">
        <v>0</v>
      </c>
      <c r="E290" t="str">
        <v>kN</v>
      </c>
    </row>
    <row r="291">
      <c r="B291" t="str">
        <v>Total Load without Buoyancy</v>
      </c>
      <c r="C291" t="str">
        <v>=</v>
      </c>
      <c r="D291">
        <f>D287+D288</f>
        <v>4284.8210880000015</v>
      </c>
      <c r="E291" t="str">
        <v>kN</v>
      </c>
    </row>
    <row r="292">
      <c r="B292" t="str">
        <v>Total Load with Buoyancy</v>
      </c>
      <c r="C292" t="str">
        <v>=</v>
      </c>
      <c r="D292">
        <f>D289+D287</f>
        <v>3735.451470000002</v>
      </c>
      <c r="E292" t="str">
        <v>kN</v>
      </c>
    </row>
    <row r="293">
      <c r="B293" t="str">
        <v>Total LONGITUDINAL MOMENT</v>
      </c>
      <c r="C293" t="str">
        <v>=</v>
      </c>
      <c r="D293">
        <f>$J$117</f>
        <v>112.56078556340799</v>
      </c>
      <c r="E293" t="str">
        <v>kN-m</v>
      </c>
    </row>
    <row r="294">
      <c r="B294" t="str">
        <v>Total TRANSVERSE MOMENT</v>
      </c>
      <c r="C294" t="str">
        <v>=</v>
      </c>
      <c r="D294">
        <f>$J$158</f>
        <v>112.56078556340799</v>
      </c>
      <c r="E294" t="str">
        <v>+</v>
      </c>
      <c r="F294">
        <f>$L$196</f>
        <v>106.89375811359393</v>
      </c>
      <c r="G294" t="str">
        <v>=</v>
      </c>
      <c r="H294">
        <f>D294+F294</f>
        <v>219.45454367700194</v>
      </c>
      <c r="I294" t="str">
        <v>kN-m</v>
      </c>
    </row>
    <row r="295">
      <c r="B295" t="str">
        <v>STRESS with Buoyancy</v>
      </c>
      <c r="C295" t="str">
        <v>= (</v>
      </c>
      <c r="D295">
        <f>D292</f>
        <v>3735.451470000002</v>
      </c>
      <c r="E295" t="str">
        <v>/</v>
      </c>
      <c r="F295">
        <f>$J$209</f>
        <v>45.599999999999994</v>
      </c>
      <c r="G295" t="str">
        <v>)+ / - (</v>
      </c>
      <c r="H295">
        <f>$J$117</f>
        <v>112.56078556340799</v>
      </c>
      <c r="I295" t="str">
        <v>/</v>
      </c>
      <c r="J295">
        <f>$J$211</f>
        <v>28.88</v>
      </c>
      <c r="K295" t="str">
        <v>)+ / - (</v>
      </c>
      <c r="L295">
        <f>H294</f>
        <v>219.45454367700194</v>
      </c>
      <c r="M295" t="str">
        <v>/</v>
      </c>
      <c r="N295">
        <f>$J$212</f>
        <v>91.19999999999999</v>
      </c>
      <c r="O295" t="str">
        <v>)</v>
      </c>
    </row>
    <row r="296">
      <c r="C296" t="str">
        <v>=</v>
      </c>
      <c r="D296">
        <f>D295/F295</f>
        <v>81.91779539473688</v>
      </c>
      <c r="E296" t="str">
        <v>+ / -</v>
      </c>
      <c r="F296">
        <f>H295/J295</f>
        <v>3.8975341261567866</v>
      </c>
      <c r="G296" t="str">
        <v>+ / -</v>
      </c>
      <c r="H296">
        <f>L295/N295</f>
        <v>2.4062998210197586</v>
      </c>
    </row>
    <row r="297">
      <c r="B297" t="str">
        <v>Pmax</v>
      </c>
      <c r="C297" t="str">
        <v>=</v>
      </c>
      <c r="D297">
        <f>D296</f>
        <v>81.91779539473688</v>
      </c>
      <c r="E297" t="str">
        <v>+</v>
      </c>
      <c r="F297">
        <f>F296</f>
        <v>3.8975341261567866</v>
      </c>
      <c r="G297" t="str">
        <v>+</v>
      </c>
      <c r="H297">
        <f>H296</f>
        <v>2.4062998210197586</v>
      </c>
    </row>
    <row r="298">
      <c r="C298" t="str">
        <v>=</v>
      </c>
      <c r="D298">
        <f>D297+F297+H297</f>
        <v>88.22162934191343</v>
      </c>
      <c r="E298" t="str">
        <v>kN/m2</v>
      </c>
      <c r="J298">
        <f>D304</f>
        <v>83.40902969987391</v>
      </c>
      <c r="N298">
        <f>D307</f>
        <v>80.42656108959986</v>
      </c>
    </row>
    <row r="299">
      <c r="D299" t="str">
        <v>&lt; 250 kN/m2 Hence O.K.</v>
      </c>
    </row>
    <row r="300">
      <c r="B300" t="str">
        <v>Pmin</v>
      </c>
      <c r="C300" t="str">
        <v>=</v>
      </c>
      <c r="D300">
        <f>D297</f>
        <v>81.91779539473688</v>
      </c>
      <c r="E300" t="str">
        <v>-</v>
      </c>
      <c r="F300">
        <f>F297</f>
        <v>3.8975341261567866</v>
      </c>
      <c r="G300" t="str">
        <v>-</v>
      </c>
      <c r="H300">
        <f>H297</f>
        <v>2.4062998210197586</v>
      </c>
    </row>
    <row r="301">
      <c r="C301" t="str">
        <v>=</v>
      </c>
      <c r="D301">
        <f>D300-F300-H300</f>
        <v>75.61396144756034</v>
      </c>
      <c r="E301" t="str">
        <v>kN/m2</v>
      </c>
    </row>
    <row r="302">
      <c r="D302" t="str">
        <v>&gt; 0 Hence O.K.</v>
      </c>
    </row>
    <row r="303">
      <c r="B303" t="str">
        <v>P3</v>
      </c>
      <c r="C303" t="str">
        <v>=</v>
      </c>
      <c r="D303">
        <f>D297</f>
        <v>81.91779539473688</v>
      </c>
      <c r="E303" t="str">
        <v>+</v>
      </c>
      <c r="F303">
        <f>F297</f>
        <v>3.8975341261567866</v>
      </c>
      <c r="G303" t="str">
        <v>-</v>
      </c>
      <c r="H303">
        <f>H297</f>
        <v>2.4062998210197586</v>
      </c>
    </row>
    <row r="304">
      <c r="C304" t="str">
        <v>=</v>
      </c>
      <c r="D304">
        <f>D303+F303-H303</f>
        <v>83.40902969987391</v>
      </c>
      <c r="E304" t="str">
        <v>kN/m2</v>
      </c>
      <c r="J304">
        <f>D301</f>
        <v>75.61396144756034</v>
      </c>
      <c r="N304">
        <f>D298</f>
        <v>88.22162934191343</v>
      </c>
    </row>
    <row r="305">
      <c r="D305" t="str">
        <v>&lt; 250 kN/m2 Hence O.K.</v>
      </c>
      <c r="K305" t="str">
        <v>Stress Diagram</v>
      </c>
    </row>
    <row r="306">
      <c r="B306" t="str">
        <v>P4</v>
      </c>
      <c r="C306" t="str">
        <v>=</v>
      </c>
      <c r="D306">
        <f>D303</f>
        <v>81.91779539473688</v>
      </c>
      <c r="E306" t="str">
        <v>-</v>
      </c>
      <c r="F306">
        <f>F303</f>
        <v>3.8975341261567866</v>
      </c>
      <c r="G306" t="str">
        <v>+</v>
      </c>
      <c r="H306">
        <f>H303</f>
        <v>2.4062998210197586</v>
      </c>
    </row>
    <row r="307">
      <c r="C307" t="str">
        <v>=</v>
      </c>
      <c r="D307">
        <f>D306-F306+H306</f>
        <v>80.42656108959986</v>
      </c>
      <c r="E307" t="str">
        <v>kN/m2</v>
      </c>
    </row>
    <row r="308">
      <c r="D308" t="str">
        <v>&gt; 0 Hence O.K.</v>
      </c>
    </row>
    <row r="309">
      <c r="B309" t="str">
        <v>STRESS without Buoyancy</v>
      </c>
      <c r="C309" t="str">
        <v>= (</v>
      </c>
      <c r="D309">
        <f>D291</f>
        <v>4284.8210880000015</v>
      </c>
      <c r="E309" t="str">
        <v>/</v>
      </c>
      <c r="F309">
        <f>$J$209</f>
        <v>45.599999999999994</v>
      </c>
      <c r="G309" t="str">
        <v>)+ / - (</v>
      </c>
      <c r="H309">
        <f>$J$117</f>
        <v>112.56078556340799</v>
      </c>
      <c r="I309" t="str">
        <v>/</v>
      </c>
      <c r="J309">
        <f>$J$211</f>
        <v>28.88</v>
      </c>
      <c r="K309" t="str">
        <v>)+ / - (</v>
      </c>
      <c r="L309">
        <f>L295</f>
        <v>219.45454367700194</v>
      </c>
      <c r="M309" t="str">
        <v>/</v>
      </c>
      <c r="N309">
        <f>$J$212</f>
        <v>91.19999999999999</v>
      </c>
      <c r="O309" t="str">
        <v>)</v>
      </c>
    </row>
    <row r="310">
      <c r="C310" t="str">
        <v>=</v>
      </c>
      <c r="D310">
        <f>D309/F309</f>
        <v>93.96537473684215</v>
      </c>
      <c r="E310" t="str">
        <v>+ / -</v>
      </c>
      <c r="F310">
        <f>H309/J309</f>
        <v>3.8975341261567866</v>
      </c>
      <c r="G310" t="str">
        <v>+ / -</v>
      </c>
      <c r="H310">
        <f>L309/N309</f>
        <v>2.4062998210197586</v>
      </c>
    </row>
    <row r="311">
      <c r="B311" t="str">
        <v>Pmax</v>
      </c>
      <c r="C311" t="str">
        <v>=</v>
      </c>
      <c r="D311">
        <f>D310</f>
        <v>93.96537473684215</v>
      </c>
      <c r="E311" t="str">
        <v>+</v>
      </c>
      <c r="F311">
        <f>F310</f>
        <v>3.8975341261567866</v>
      </c>
      <c r="G311" t="str">
        <v>+</v>
      </c>
      <c r="H311">
        <f>H310</f>
        <v>2.4062998210197586</v>
      </c>
      <c r="J311">
        <f>D311-F311+H311</f>
        <v>92.47414043170512</v>
      </c>
      <c r="N311">
        <f>D311+F311-H311</f>
        <v>95.45660904197918</v>
      </c>
    </row>
    <row r="312">
      <c r="C312" t="str">
        <v>=</v>
      </c>
      <c r="D312">
        <f>D311+F311+H311</f>
        <v>100.2692086840187</v>
      </c>
      <c r="E312" t="str">
        <v>kN/m2</v>
      </c>
    </row>
    <row r="313">
      <c r="D313" t="str">
        <v>&lt; 250 kN/m2 Hence O.K.</v>
      </c>
    </row>
    <row r="314">
      <c r="B314" t="str">
        <v>Pmin</v>
      </c>
      <c r="C314" t="str">
        <v>=</v>
      </c>
      <c r="D314">
        <f>D311</f>
        <v>93.96537473684215</v>
      </c>
      <c r="E314" t="str">
        <v>-</v>
      </c>
      <c r="F314">
        <f>F311</f>
        <v>3.8975341261567866</v>
      </c>
      <c r="G314" t="str">
        <v>-</v>
      </c>
      <c r="H314">
        <f>H311</f>
        <v>2.4062998210197586</v>
      </c>
    </row>
    <row r="315">
      <c r="C315" t="str">
        <v>=</v>
      </c>
      <c r="D315">
        <f>D314-F314-H314</f>
        <v>87.66154078966561</v>
      </c>
      <c r="E315" t="str">
        <v>kN/m2</v>
      </c>
    </row>
    <row r="316">
      <c r="D316" t="str">
        <v>&gt; 0 Hence O.K.</v>
      </c>
      <c r="J316">
        <f>D315</f>
        <v>87.66154078966561</v>
      </c>
      <c r="N316">
        <f>D312</f>
        <v>100.2692086840187</v>
      </c>
    </row>
    <row r="317">
      <c r="K317" t="str">
        <v>Stress Diagram</v>
      </c>
    </row>
    <row r="319">
      <c r="B319" t="str">
        <f>CONCATENATE("CASE- 5 FOR ONE SPAN DISLODGED CONDITION AT R. L.",E20," M")</f>
        <v>CASE- 5 FOR ONE SPAN DISLODGED CONDITION AT R. L.91.97 M</v>
      </c>
    </row>
    <row r="321">
      <c r="B321" t="str">
        <v>SUPER STRUCTURE</v>
      </c>
      <c r="C321" t="str">
        <v>=</v>
      </c>
      <c r="D321">
        <f>D287/2</f>
        <v>731.8079999999999</v>
      </c>
      <c r="E321" t="str">
        <v>kN</v>
      </c>
    </row>
    <row r="322">
      <c r="B322" t="str">
        <v>SUB STRUCTURE</v>
      </c>
      <c r="C322" t="str">
        <v>=</v>
      </c>
      <c r="D322">
        <f>D288</f>
        <v>2821.2050880000015</v>
      </c>
      <c r="E322" t="str">
        <v>kN</v>
      </c>
      <c r="F322" t="str">
        <v>Without Buoyancy</v>
      </c>
    </row>
    <row r="323">
      <c r="B323" t="str">
        <v>SUB STRUCTURE</v>
      </c>
      <c r="C323" t="str">
        <v>=</v>
      </c>
      <c r="D323">
        <f>D289</f>
        <v>2271.835470000002</v>
      </c>
      <c r="E323" t="str">
        <v>kN</v>
      </c>
      <c r="F323" t="str">
        <v>With Buoyancy</v>
      </c>
    </row>
    <row r="324">
      <c r="B324" t="str">
        <v xml:space="preserve">LIVE LOAD </v>
      </c>
      <c r="C324" t="str">
        <v>=</v>
      </c>
      <c r="D324">
        <v>0</v>
      </c>
      <c r="E324" t="str">
        <v>kN</v>
      </c>
    </row>
    <row r="325">
      <c r="B325" t="str">
        <v>Total Load without Buoyancy</v>
      </c>
      <c r="C325" t="str">
        <v>=</v>
      </c>
      <c r="D325">
        <f>D321+D322</f>
        <v>3553.0130880000015</v>
      </c>
      <c r="E325" t="str">
        <v>kN</v>
      </c>
    </row>
    <row r="326">
      <c r="B326" t="str">
        <v>Total Load with Buoyancy</v>
      </c>
      <c r="C326" t="str">
        <v>=</v>
      </c>
      <c r="D326">
        <f>D323+D321</f>
        <v>3003.643470000002</v>
      </c>
      <c r="E326" t="str">
        <v>kN</v>
      </c>
    </row>
    <row r="327">
      <c r="B327" t="str">
        <v>Total LONGITUDINAL MOMENT</v>
      </c>
      <c r="C327" t="str">
        <v>=</v>
      </c>
      <c r="D327">
        <f>D293</f>
        <v>112.56078556340799</v>
      </c>
      <c r="E327" t="str">
        <v>kN-m</v>
      </c>
    </row>
    <row r="328">
      <c r="B328" t="str">
        <v>Total TRANSVERSE MOMENT</v>
      </c>
      <c r="C328" t="str">
        <v>=</v>
      </c>
      <c r="D328">
        <f>D294</f>
        <v>112.56078556340799</v>
      </c>
      <c r="E328" t="str">
        <v>+</v>
      </c>
      <c r="F328">
        <f>F294</f>
        <v>106.89375811359393</v>
      </c>
      <c r="G328" t="str">
        <v>=</v>
      </c>
      <c r="H328">
        <f>D328+F328</f>
        <v>219.45454367700194</v>
      </c>
      <c r="I328" t="str">
        <v>kN-m</v>
      </c>
    </row>
    <row r="329">
      <c r="B329" t="str">
        <v>STRESS with Buoyancy</v>
      </c>
      <c r="C329" t="str">
        <v>= (</v>
      </c>
      <c r="D329">
        <f>D326</f>
        <v>3003.643470000002</v>
      </c>
      <c r="E329" t="str">
        <v>/</v>
      </c>
      <c r="F329">
        <f>$J$209</f>
        <v>45.599999999999994</v>
      </c>
      <c r="G329" t="str">
        <v>)+ / - (</v>
      </c>
      <c r="H329">
        <f>$J$117</f>
        <v>112.56078556340799</v>
      </c>
      <c r="I329" t="str">
        <v>/</v>
      </c>
      <c r="J329">
        <f>$J$211</f>
        <v>28.88</v>
      </c>
      <c r="K329" t="str">
        <v>)+ / - (</v>
      </c>
      <c r="L329">
        <f>H328</f>
        <v>219.45454367700194</v>
      </c>
      <c r="M329" t="str">
        <v>/</v>
      </c>
      <c r="N329">
        <f>$J$212</f>
        <v>91.19999999999999</v>
      </c>
      <c r="O329" t="str">
        <v>)</v>
      </c>
    </row>
    <row r="330">
      <c r="C330" t="str">
        <v>=</v>
      </c>
      <c r="D330">
        <f>D329/F329</f>
        <v>65.86937434210532</v>
      </c>
      <c r="E330" t="str">
        <v>+ / -</v>
      </c>
      <c r="F330">
        <f>H329/J329</f>
        <v>3.8975341261567866</v>
      </c>
      <c r="G330" t="str">
        <v>+ / -</v>
      </c>
      <c r="H330">
        <f>L329/N329</f>
        <v>2.4062998210197586</v>
      </c>
    </row>
    <row r="331">
      <c r="B331" t="str">
        <v>Pmax</v>
      </c>
      <c r="C331" t="str">
        <v>=</v>
      </c>
      <c r="D331">
        <f>D330</f>
        <v>65.86937434210532</v>
      </c>
      <c r="E331" t="str">
        <v>+</v>
      </c>
      <c r="F331">
        <f>F330</f>
        <v>3.8975341261567866</v>
      </c>
      <c r="G331" t="str">
        <v>+</v>
      </c>
      <c r="H331">
        <f>H330</f>
        <v>2.4062998210197586</v>
      </c>
    </row>
    <row r="332">
      <c r="C332" t="str">
        <v>=</v>
      </c>
      <c r="D332">
        <f>D331+F331+H331</f>
        <v>72.17320828928186</v>
      </c>
      <c r="E332" t="str">
        <v>kN/m2</v>
      </c>
      <c r="J332">
        <f>D340</f>
        <v>64.37814003696829</v>
      </c>
      <c r="N332">
        <f>D337</f>
        <v>67.36060864724234</v>
      </c>
    </row>
    <row r="333">
      <c r="D333" t="str">
        <v>&lt; 250 kN/m2 Hence O.K.</v>
      </c>
    </row>
    <row r="334">
      <c r="B334" t="str">
        <v>Pmin</v>
      </c>
      <c r="C334" t="str">
        <v>=</v>
      </c>
      <c r="D334">
        <f>D331</f>
        <v>65.86937434210532</v>
      </c>
      <c r="E334" t="str">
        <v>-</v>
      </c>
      <c r="F334">
        <f>F331</f>
        <v>3.8975341261567866</v>
      </c>
      <c r="G334" t="str">
        <v>-</v>
      </c>
      <c r="H334">
        <f>H331</f>
        <v>2.4062998210197586</v>
      </c>
    </row>
    <row r="335">
      <c r="C335" t="str">
        <v>=</v>
      </c>
      <c r="D335">
        <f>D334-F334-H334</f>
        <v>59.565540394928775</v>
      </c>
      <c r="E335" t="str">
        <v>kN/m2</v>
      </c>
    </row>
    <row r="336">
      <c r="B336" t="str">
        <v>P3</v>
      </c>
      <c r="C336" t="str">
        <v>=</v>
      </c>
      <c r="D336">
        <f>D331</f>
        <v>65.86937434210532</v>
      </c>
      <c r="E336" t="str">
        <v>+</v>
      </c>
      <c r="F336">
        <f>F331</f>
        <v>3.8975341261567866</v>
      </c>
      <c r="G336" t="str">
        <v>-</v>
      </c>
      <c r="H336">
        <f>H331</f>
        <v>2.4062998210197586</v>
      </c>
    </row>
    <row r="337">
      <c r="C337" t="str">
        <v>=</v>
      </c>
      <c r="D337">
        <f>D336+F336-H336</f>
        <v>67.36060864724234</v>
      </c>
      <c r="E337" t="str">
        <v>kN/m2</v>
      </c>
      <c r="J337">
        <f>D335</f>
        <v>59.565540394928775</v>
      </c>
      <c r="N337">
        <f>D332</f>
        <v>72.17320828928186</v>
      </c>
    </row>
    <row r="338">
      <c r="K338" t="str">
        <v>Stress Diagram</v>
      </c>
    </row>
    <row r="339">
      <c r="B339" t="str">
        <v>P4</v>
      </c>
      <c r="C339" t="str">
        <v>=</v>
      </c>
      <c r="D339">
        <f>D336</f>
        <v>65.86937434210532</v>
      </c>
      <c r="E339" t="str">
        <v>-</v>
      </c>
      <c r="F339">
        <f>F336</f>
        <v>3.8975341261567866</v>
      </c>
      <c r="G339" t="str">
        <v>+</v>
      </c>
      <c r="H339">
        <f>H336</f>
        <v>2.4062998210197586</v>
      </c>
    </row>
    <row r="340">
      <c r="C340" t="str">
        <v>=</v>
      </c>
      <c r="D340">
        <f>D339-F339+H339</f>
        <v>64.37814003696829</v>
      </c>
      <c r="E340" t="str">
        <v>kN/m2</v>
      </c>
    </row>
    <row r="343">
      <c r="B343" t="str">
        <v>STRESS without Buoyancy</v>
      </c>
      <c r="C343" t="str">
        <v>= (</v>
      </c>
      <c r="D343">
        <f>D325</f>
        <v>3553.0130880000015</v>
      </c>
      <c r="E343" t="str">
        <v>/</v>
      </c>
      <c r="F343">
        <f>$J$209</f>
        <v>45.599999999999994</v>
      </c>
      <c r="G343" t="str">
        <v>)+ / - (</v>
      </c>
      <c r="H343">
        <f>$J$117</f>
        <v>112.56078556340799</v>
      </c>
      <c r="I343" t="str">
        <v>/</v>
      </c>
      <c r="J343">
        <f>$J$211</f>
        <v>28.88</v>
      </c>
      <c r="K343" t="str">
        <v>)+ / - (</v>
      </c>
      <c r="L343">
        <f>H342</f>
        <v>0</v>
      </c>
      <c r="M343" t="str">
        <v>/</v>
      </c>
      <c r="N343">
        <f>$J$212</f>
        <v>91.19999999999999</v>
      </c>
      <c r="O343" t="str">
        <v>)</v>
      </c>
    </row>
    <row r="344">
      <c r="C344" t="str">
        <v>=</v>
      </c>
      <c r="D344">
        <f>D343/F343</f>
        <v>77.91695368421057</v>
      </c>
      <c r="E344" t="str">
        <v>+ / -</v>
      </c>
      <c r="F344">
        <f>H343/J343</f>
        <v>3.8975341261567866</v>
      </c>
      <c r="G344" t="str">
        <v>+ / -</v>
      </c>
      <c r="H344">
        <f>L343/N343</f>
        <v>0</v>
      </c>
    </row>
    <row r="345">
      <c r="B345" t="str">
        <v>Pmax</v>
      </c>
      <c r="C345" t="str">
        <v>=</v>
      </c>
      <c r="D345">
        <f>D344</f>
        <v>77.91695368421057</v>
      </c>
      <c r="E345" t="str">
        <v>+</v>
      </c>
      <c r="F345">
        <f>F344</f>
        <v>3.8975341261567866</v>
      </c>
      <c r="G345" t="str">
        <v>+</v>
      </c>
      <c r="H345">
        <f>H344</f>
        <v>0</v>
      </c>
    </row>
    <row r="346">
      <c r="C346" t="str">
        <v>=</v>
      </c>
      <c r="D346">
        <f>D345+F345+H345</f>
        <v>81.81448781036735</v>
      </c>
      <c r="E346" t="str">
        <v>kN/m2</v>
      </c>
      <c r="J346">
        <f>D354</f>
        <v>74.01941955805378</v>
      </c>
      <c r="N346">
        <f>D351</f>
        <v>81.81448781036735</v>
      </c>
    </row>
    <row r="348">
      <c r="B348" t="str">
        <v>Pmin</v>
      </c>
      <c r="C348" t="str">
        <v>=</v>
      </c>
      <c r="D348">
        <f>D345</f>
        <v>77.91695368421057</v>
      </c>
      <c r="E348" t="str">
        <v>-</v>
      </c>
      <c r="F348">
        <f>F345</f>
        <v>3.8975341261567866</v>
      </c>
      <c r="G348" t="str">
        <v>-</v>
      </c>
      <c r="H348">
        <f>H345</f>
        <v>0</v>
      </c>
    </row>
    <row r="349">
      <c r="C349" t="str">
        <v>=</v>
      </c>
      <c r="D349">
        <f>D348-F348-H348</f>
        <v>74.01941955805378</v>
      </c>
      <c r="E349" t="str">
        <v>kN/m2</v>
      </c>
    </row>
    <row r="350">
      <c r="B350" t="str">
        <v>P3</v>
      </c>
      <c r="C350" t="str">
        <v>=</v>
      </c>
      <c r="D350">
        <f>D345</f>
        <v>77.91695368421057</v>
      </c>
      <c r="E350" t="str">
        <v>+</v>
      </c>
      <c r="F350">
        <f>F345</f>
        <v>3.8975341261567866</v>
      </c>
      <c r="G350" t="str">
        <v>-</v>
      </c>
      <c r="H350">
        <f>H345</f>
        <v>0</v>
      </c>
    </row>
    <row r="351">
      <c r="C351" t="str">
        <v>=</v>
      </c>
      <c r="D351">
        <f>D350+F350-H350</f>
        <v>81.81448781036735</v>
      </c>
      <c r="E351" t="str">
        <v>kN/m2</v>
      </c>
      <c r="J351">
        <f>D349</f>
        <v>74.01941955805378</v>
      </c>
      <c r="N351">
        <f>D346</f>
        <v>81.81448781036735</v>
      </c>
    </row>
    <row r="352">
      <c r="K352" t="str">
        <v>Stress Diagram</v>
      </c>
    </row>
    <row r="353">
      <c r="B353" t="str">
        <v>P4</v>
      </c>
      <c r="C353" t="str">
        <v>=</v>
      </c>
      <c r="D353">
        <f>D350</f>
        <v>77.91695368421057</v>
      </c>
      <c r="E353" t="str">
        <v>-</v>
      </c>
      <c r="F353">
        <f>F350</f>
        <v>3.8975341261567866</v>
      </c>
      <c r="G353" t="str">
        <v>+</v>
      </c>
      <c r="H353">
        <f>H350</f>
        <v>0</v>
      </c>
    </row>
    <row r="354">
      <c r="C354" t="str">
        <v>=</v>
      </c>
      <c r="D354">
        <f>D353-F353+H353</f>
        <v>74.01941955805378</v>
      </c>
      <c r="E354" t="str">
        <v>kN/m2</v>
      </c>
    </row>
    <row r="356">
      <c r="B356" t="str">
        <f>CONCATENATE("CASE- 6  FOR SERVICE CONDITION AT R. L.",E20+1," M")</f>
        <v>CASE- 6  FOR SERVICE CONDITION AT R. L.92.97 M</v>
      </c>
    </row>
    <row r="357">
      <c r="B357" t="str">
        <v>VERTICAL LOADS</v>
      </c>
    </row>
    <row r="358">
      <c r="B358" t="str">
        <v>DEAD LOAD CALCULATION</v>
      </c>
    </row>
    <row r="359">
      <c r="B359" t="str">
        <v>SUPER STRUCTURE</v>
      </c>
      <c r="C359" t="str">
        <v>=</v>
      </c>
      <c r="D359">
        <f>$D$259</f>
        <v>1463.6159999999998</v>
      </c>
      <c r="E359" t="str">
        <v>kN</v>
      </c>
    </row>
    <row r="360">
      <c r="B360" t="str">
        <v>SUB STRUCTURE</v>
      </c>
      <c r="C360" t="str">
        <v>=</v>
      </c>
      <c r="D360">
        <f>P56-P53</f>
        <v>1726.8050880000017</v>
      </c>
      <c r="E360" t="str">
        <v>kN</v>
      </c>
      <c r="F360" t="str">
        <v>Without Buoyancy</v>
      </c>
    </row>
    <row r="361">
      <c r="B361" t="str">
        <v>SUB STRUCTURE</v>
      </c>
      <c r="C361" t="str">
        <v>=</v>
      </c>
      <c r="D361">
        <f>P59-P54</f>
        <v>1633.4354700000017</v>
      </c>
      <c r="E361" t="str">
        <v>kN</v>
      </c>
      <c r="F361" t="str">
        <v>With Buoyancy</v>
      </c>
    </row>
    <row r="362">
      <c r="B362" t="str">
        <v xml:space="preserve">LIVE LOAD </v>
      </c>
      <c r="C362" t="str">
        <v>=</v>
      </c>
      <c r="D362">
        <f>$D$262</f>
        <v>788.2663473053892</v>
      </c>
      <c r="E362" t="str">
        <v>kN</v>
      </c>
    </row>
    <row r="363">
      <c r="B363" t="str">
        <v>Total Load without Buoyancy</v>
      </c>
      <c r="C363" t="str">
        <v>=</v>
      </c>
      <c r="D363">
        <f>D359+D360+D362</f>
        <v>3978.687435305391</v>
      </c>
      <c r="E363" t="str">
        <v>kN</v>
      </c>
    </row>
    <row r="364">
      <c r="B364" t="str">
        <v>Total Load with Buoyancy</v>
      </c>
      <c r="C364" t="str">
        <v>=</v>
      </c>
      <c r="D364">
        <f>D359+D361+D362</f>
        <v>3885.3178173053902</v>
      </c>
      <c r="E364" t="str">
        <v>kN</v>
      </c>
    </row>
    <row r="365">
      <c r="B365" t="str">
        <v>Total LONGITUDINAL MOMENT</v>
      </c>
      <c r="C365" t="str">
        <v>=</v>
      </c>
      <c r="D365">
        <f>$J$113</f>
        <v>79.99720476162017</v>
      </c>
      <c r="E365" t="str">
        <v>+</v>
      </c>
      <c r="F365">
        <f>$H$66</f>
        <v>244.25331736526948</v>
      </c>
      <c r="G365" t="str">
        <v>=</v>
      </c>
      <c r="H365">
        <f>D365+F365</f>
        <v>324.2505221268897</v>
      </c>
      <c r="I365" t="str">
        <v>kN-m</v>
      </c>
    </row>
    <row r="366">
      <c r="B366" t="str">
        <v>Total TRANSVERSE MOMENT</v>
      </c>
      <c r="C366" t="str">
        <v>=</v>
      </c>
      <c r="D366">
        <f>$J$154</f>
        <v>79.99720476162017</v>
      </c>
      <c r="E366" t="str">
        <v>+</v>
      </c>
      <c r="F366">
        <f>$H$71</f>
        <v>2247.881195209581</v>
      </c>
      <c r="G366" t="str">
        <v>=</v>
      </c>
      <c r="H366">
        <f>D366+F366</f>
        <v>2327.8783999712014</v>
      </c>
      <c r="I366" t="str">
        <v>kN-m</v>
      </c>
    </row>
    <row r="367">
      <c r="B367" t="str">
        <v>C.S.A.</v>
      </c>
      <c r="C367" t="str">
        <v>=</v>
      </c>
      <c r="D367">
        <v>12</v>
      </c>
      <c r="E367" t="str">
        <v>x</v>
      </c>
      <c r="F367">
        <v>1.2</v>
      </c>
      <c r="I367" t="str">
        <v>=</v>
      </c>
      <c r="J367">
        <f>D367*F367</f>
        <v>14.399999999999999</v>
      </c>
      <c r="K367" t="str">
        <v>m2</v>
      </c>
    </row>
    <row r="368">
      <c r="C368" t="str">
        <v>=</v>
      </c>
    </row>
    <row r="369">
      <c r="B369" t="str">
        <v>Ixx</v>
      </c>
      <c r="C369" t="str">
        <v>=</v>
      </c>
      <c r="D369" t="str">
        <v>1/6x</v>
      </c>
      <c r="E369">
        <f>D367</f>
        <v>12</v>
      </c>
      <c r="F369" t="str">
        <v>x</v>
      </c>
      <c r="G369">
        <f>F367</f>
        <v>1.2</v>
      </c>
      <c r="H369" t="str">
        <v xml:space="preserve">2  </v>
      </c>
      <c r="I369" t="str">
        <v>=</v>
      </c>
      <c r="J369">
        <f>E369*G369^2/6</f>
        <v>2.8800000000000003</v>
      </c>
      <c r="K369" t="str">
        <v>m3</v>
      </c>
    </row>
    <row r="370">
      <c r="B370" t="str">
        <v>Iyy</v>
      </c>
      <c r="C370" t="str">
        <v>=</v>
      </c>
      <c r="D370" t="str">
        <v>1/6x</v>
      </c>
      <c r="E370">
        <f>E369</f>
        <v>12</v>
      </c>
      <c r="F370" t="str">
        <v xml:space="preserve">2  </v>
      </c>
      <c r="G370" t="str">
        <v>x</v>
      </c>
      <c r="H370">
        <f>G369</f>
        <v>1.2</v>
      </c>
      <c r="I370" t="str">
        <v>=</v>
      </c>
      <c r="J370">
        <f>E370^2*H370/6</f>
        <v>28.799999999999997</v>
      </c>
      <c r="K370" t="str">
        <v>m3</v>
      </c>
    </row>
    <row r="371">
      <c r="B371" t="str">
        <v>STRESS with Buoyancy</v>
      </c>
      <c r="C371" t="str">
        <v>= (</v>
      </c>
      <c r="D371">
        <f>D364</f>
        <v>3885.3178173053902</v>
      </c>
      <c r="E371" t="str">
        <v>/</v>
      </c>
      <c r="F371">
        <f>$J$367</f>
        <v>14.399999999999999</v>
      </c>
      <c r="G371" t="str">
        <v>)+ / - (</v>
      </c>
      <c r="H371">
        <f>$H$365</f>
        <v>324.2505221268897</v>
      </c>
      <c r="I371" t="str">
        <v>/</v>
      </c>
      <c r="J371">
        <f>$J$369</f>
        <v>2.8800000000000003</v>
      </c>
      <c r="K371" t="str">
        <v>)+ / - (</v>
      </c>
      <c r="L371">
        <f>$H$366</f>
        <v>2327.8783999712014</v>
      </c>
      <c r="M371" t="str">
        <v>/</v>
      </c>
      <c r="N371">
        <f>$J$370</f>
        <v>28.799999999999997</v>
      </c>
      <c r="O371" t="str">
        <v>)</v>
      </c>
    </row>
    <row r="372">
      <c r="C372" t="str">
        <v>=</v>
      </c>
      <c r="D372">
        <f>D371/F371</f>
        <v>269.81373731287437</v>
      </c>
      <c r="E372" t="str">
        <v>+ / -</v>
      </c>
      <c r="F372">
        <f>H371/J371</f>
        <v>112.58698684961446</v>
      </c>
      <c r="G372" t="str">
        <v>+ / -</v>
      </c>
      <c r="H372">
        <f>L371/N371</f>
        <v>80.82911111011117</v>
      </c>
    </row>
    <row r="373">
      <c r="B373" t="str">
        <v>Pmax</v>
      </c>
      <c r="C373" t="str">
        <v>=</v>
      </c>
      <c r="D373">
        <f>D372</f>
        <v>269.81373731287437</v>
      </c>
      <c r="E373" t="str">
        <v>+</v>
      </c>
      <c r="F373">
        <f>F372</f>
        <v>112.58698684961446</v>
      </c>
      <c r="G373" t="str">
        <v>+</v>
      </c>
      <c r="H373">
        <f>H372</f>
        <v>80.82911111011117</v>
      </c>
    </row>
    <row r="374">
      <c r="C374" t="str">
        <v>=</v>
      </c>
      <c r="D374">
        <f>D373+F373+H373</f>
        <v>463.2298352726</v>
      </c>
      <c r="E374" t="str">
        <v>kN/m2</v>
      </c>
    </row>
    <row r="375">
      <c r="D375" t="str">
        <v>&lt; 8000 kN/m2 (that is  8 N/mm2 ) Hence O.K.</v>
      </c>
    </row>
    <row r="376">
      <c r="B376" t="str">
        <v>Pmin</v>
      </c>
      <c r="C376" t="str">
        <v>=</v>
      </c>
      <c r="D376">
        <f>D373</f>
        <v>269.81373731287437</v>
      </c>
      <c r="E376" t="str">
        <v>-</v>
      </c>
      <c r="F376">
        <f>F373</f>
        <v>112.58698684961446</v>
      </c>
      <c r="G376" t="str">
        <v>-</v>
      </c>
      <c r="H376">
        <f>H373</f>
        <v>80.82911111011117</v>
      </c>
    </row>
    <row r="377">
      <c r="C377" t="str">
        <v>=</v>
      </c>
      <c r="D377">
        <f>D376-F376-H376</f>
        <v>76.39763935314875</v>
      </c>
      <c r="E377" t="str">
        <v>kN/m2</v>
      </c>
    </row>
    <row r="378">
      <c r="D378" t="str">
        <v>&gt; (- 3600 kN/m2 (that is  3.6 N/mm2 ) Hence O.K.</v>
      </c>
    </row>
    <row r="380">
      <c r="B380" t="str">
        <v>STRESS without Buoyancy</v>
      </c>
      <c r="C380" t="str">
        <v>= (</v>
      </c>
      <c r="D380">
        <f>D363</f>
        <v>3978.687435305391</v>
      </c>
      <c r="E380" t="str">
        <v>/</v>
      </c>
      <c r="F380">
        <f>$J$367</f>
        <v>14.399999999999999</v>
      </c>
      <c r="G380" t="str">
        <v>)+ / - (</v>
      </c>
      <c r="H380">
        <f>$H$365</f>
        <v>324.2505221268897</v>
      </c>
      <c r="I380" t="str">
        <v>/</v>
      </c>
      <c r="J380">
        <f>$J$369</f>
        <v>2.8800000000000003</v>
      </c>
      <c r="K380" t="str">
        <v>)+ / - (</v>
      </c>
      <c r="L380">
        <f>$H$366</f>
        <v>2327.8783999712014</v>
      </c>
      <c r="M380" t="str">
        <v>/</v>
      </c>
      <c r="N380">
        <f>$J$370</f>
        <v>28.799999999999997</v>
      </c>
      <c r="O380" t="str">
        <v>)</v>
      </c>
    </row>
    <row r="381">
      <c r="C381" t="str">
        <v>=</v>
      </c>
      <c r="D381">
        <f>D380/F380</f>
        <v>276.2977385628744</v>
      </c>
      <c r="E381" t="str">
        <v>+ / -</v>
      </c>
      <c r="F381">
        <f>H380/J380</f>
        <v>112.58698684961446</v>
      </c>
      <c r="G381" t="str">
        <v>+ / -</v>
      </c>
      <c r="H381">
        <f>L380/N380</f>
        <v>80.82911111011117</v>
      </c>
    </row>
    <row r="382">
      <c r="B382" t="str">
        <v>Pmax</v>
      </c>
      <c r="C382" t="str">
        <v>=</v>
      </c>
      <c r="D382">
        <f>D381</f>
        <v>276.2977385628744</v>
      </c>
      <c r="E382" t="str">
        <v>+</v>
      </c>
      <c r="F382">
        <f>F381</f>
        <v>112.58698684961446</v>
      </c>
      <c r="G382" t="str">
        <v>+</v>
      </c>
      <c r="H382">
        <f>H381</f>
        <v>80.82911111011117</v>
      </c>
    </row>
    <row r="383">
      <c r="C383" t="str">
        <v>=</v>
      </c>
      <c r="D383">
        <f>D382+F382+H382</f>
        <v>469.7138365226</v>
      </c>
      <c r="E383" t="str">
        <v>kN/m2</v>
      </c>
    </row>
    <row r="384">
      <c r="D384" t="str">
        <v>&lt; 8000 kN/m2 (that is  8 N/mm2 ) Hence O.K.</v>
      </c>
    </row>
    <row r="385">
      <c r="B385" t="str">
        <v>Pmin</v>
      </c>
      <c r="C385" t="str">
        <v>=</v>
      </c>
      <c r="D385">
        <f>D382</f>
        <v>276.2977385628744</v>
      </c>
      <c r="E385" t="str">
        <v>-</v>
      </c>
      <c r="F385">
        <f>F382</f>
        <v>112.58698684961446</v>
      </c>
      <c r="G385" t="str">
        <v>-</v>
      </c>
      <c r="H385">
        <f>H382</f>
        <v>80.82911111011117</v>
      </c>
    </row>
    <row r="386">
      <c r="C386" t="str">
        <v>=</v>
      </c>
      <c r="D386">
        <f>D385-F385-H385</f>
        <v>82.88164060314875</v>
      </c>
      <c r="E386" t="str">
        <v>kN/m2</v>
      </c>
    </row>
    <row r="387">
      <c r="D387" t="str">
        <v>&gt; (- 3600 kN/m2 (that is  3.6 N/mm2 ) Hence O.K.</v>
      </c>
    </row>
    <row r="388">
      <c r="B388" t="str">
        <f>CONCATENATE("CASE- 7 FOR IDLE CONDITION AT R. L.",E20+1," M")</f>
        <v>CASE- 7 FOR IDLE CONDITION AT R. L.92.97 M</v>
      </c>
    </row>
    <row r="390">
      <c r="B390" t="str">
        <v>SUPER STRUCTURE</v>
      </c>
      <c r="C390" t="str">
        <v>=</v>
      </c>
      <c r="D390">
        <f>$D$259</f>
        <v>1463.6159999999998</v>
      </c>
      <c r="E390" t="str">
        <v>kN</v>
      </c>
    </row>
    <row r="391">
      <c r="B391" t="str">
        <v>SUB STRUCTURE</v>
      </c>
      <c r="C391" t="str">
        <v>=</v>
      </c>
      <c r="D391">
        <f>$D$360</f>
        <v>1726.8050880000017</v>
      </c>
      <c r="E391" t="str">
        <v>kN</v>
      </c>
      <c r="F391" t="str">
        <v>Without Buoyancy</v>
      </c>
    </row>
    <row r="392">
      <c r="B392" t="str">
        <v>SUB STRUCTURE</v>
      </c>
      <c r="C392" t="str">
        <v>=</v>
      </c>
      <c r="D392">
        <f>$D$361</f>
        <v>1633.4354700000017</v>
      </c>
      <c r="E392" t="str">
        <v>kN</v>
      </c>
      <c r="F392" t="str">
        <v>With Buoyancy</v>
      </c>
    </row>
    <row r="393">
      <c r="B393" t="str">
        <v xml:space="preserve">LIVE LOAD </v>
      </c>
      <c r="C393" t="str">
        <v>=</v>
      </c>
      <c r="D393">
        <v>0</v>
      </c>
      <c r="E393" t="str">
        <v>kN</v>
      </c>
    </row>
    <row r="394">
      <c r="B394" t="str">
        <v>Total Load without Buoyancy</v>
      </c>
      <c r="C394" t="str">
        <v>=</v>
      </c>
      <c r="D394">
        <f>D390+D391+D393</f>
        <v>3190.4210880000014</v>
      </c>
      <c r="E394" t="str">
        <v>kN</v>
      </c>
    </row>
    <row r="395">
      <c r="B395" t="str">
        <v>Total Load with Buoyancy</v>
      </c>
      <c r="C395" t="str">
        <v>=</v>
      </c>
      <c r="D395">
        <f>D390+D392+D393</f>
        <v>3097.0514700000012</v>
      </c>
      <c r="E395" t="str">
        <v>kN</v>
      </c>
    </row>
    <row r="396">
      <c r="B396" t="str">
        <v>STRESS with Buoyancy</v>
      </c>
      <c r="C396" t="str">
        <v>= (</v>
      </c>
      <c r="D396">
        <f>D395</f>
        <v>3097.0514700000012</v>
      </c>
      <c r="E396" t="str">
        <v>/</v>
      </c>
      <c r="F396">
        <f>$J$367</f>
        <v>14.399999999999999</v>
      </c>
      <c r="G396" t="str">
        <v>)+ / - (</v>
      </c>
      <c r="H396">
        <f>$J$113</f>
        <v>79.99720476162017</v>
      </c>
      <c r="I396" t="str">
        <v>/</v>
      </c>
      <c r="J396">
        <f>$J$369</f>
        <v>2.8800000000000003</v>
      </c>
      <c r="K396" t="str">
        <v>)+ / - (</v>
      </c>
      <c r="L396">
        <f>$J$154</f>
        <v>79.99720476162017</v>
      </c>
      <c r="M396" t="str">
        <v>/</v>
      </c>
      <c r="N396">
        <f>$J$370</f>
        <v>28.799999999999997</v>
      </c>
      <c r="O396" t="str">
        <v>)</v>
      </c>
    </row>
    <row r="397">
      <c r="C397" t="str">
        <v>=</v>
      </c>
      <c r="D397">
        <f>D396/F396</f>
        <v>215.0730187500001</v>
      </c>
      <c r="E397" t="str">
        <v>+ / -</v>
      </c>
      <c r="F397">
        <f>H396/J396</f>
        <v>27.77680720889589</v>
      </c>
      <c r="G397" t="str">
        <v>+ / -</v>
      </c>
      <c r="H397">
        <f>L396/N396</f>
        <v>2.7776807208895895</v>
      </c>
    </row>
    <row r="398">
      <c r="B398" t="str">
        <v>Pmax</v>
      </c>
      <c r="C398" t="str">
        <v>=</v>
      </c>
      <c r="D398">
        <f>D397</f>
        <v>215.0730187500001</v>
      </c>
      <c r="E398" t="str">
        <v>+</v>
      </c>
      <c r="F398">
        <f>F397</f>
        <v>27.77680720889589</v>
      </c>
      <c r="G398" t="str">
        <v>+</v>
      </c>
      <c r="H398">
        <f>H397</f>
        <v>2.7776807208895895</v>
      </c>
    </row>
    <row r="399">
      <c r="C399" t="str">
        <v>=</v>
      </c>
      <c r="D399">
        <f>D398+F398+H398</f>
        <v>245.62750667978557</v>
      </c>
      <c r="E399" t="str">
        <v>kN/m2</v>
      </c>
    </row>
    <row r="400">
      <c r="D400" t="str">
        <v>&lt; 8000 kN/m2 (that is  8 N/mm2 ) Hence O.K.</v>
      </c>
    </row>
    <row r="401">
      <c r="B401" t="str">
        <v>Pmin</v>
      </c>
      <c r="C401" t="str">
        <v>=</v>
      </c>
      <c r="D401">
        <f>D398</f>
        <v>215.0730187500001</v>
      </c>
      <c r="E401" t="str">
        <v>-</v>
      </c>
      <c r="F401">
        <f>F398</f>
        <v>27.77680720889589</v>
      </c>
      <c r="G401" t="str">
        <v>-</v>
      </c>
      <c r="H401">
        <f>H398</f>
        <v>2.7776807208895895</v>
      </c>
    </row>
    <row r="402">
      <c r="C402" t="str">
        <v>=</v>
      </c>
      <c r="D402">
        <f>D401-F401-H401</f>
        <v>184.51853082021464</v>
      </c>
      <c r="E402" t="str">
        <v>kN/m2</v>
      </c>
    </row>
    <row r="403">
      <c r="D403" t="str">
        <v>&gt; (- 3600 kN/m2 (that is  3.6 N/mm2 ) Hence O.K.</v>
      </c>
    </row>
    <row r="405">
      <c r="B405" t="str">
        <v>STRESS without Buoyancy</v>
      </c>
      <c r="C405" t="str">
        <v>= (</v>
      </c>
      <c r="D405">
        <f>D394</f>
        <v>3190.4210880000014</v>
      </c>
      <c r="E405" t="str">
        <v>/</v>
      </c>
      <c r="F405">
        <f>$J$367</f>
        <v>14.399999999999999</v>
      </c>
      <c r="G405" t="str">
        <v>)+ / - (</v>
      </c>
      <c r="H405">
        <f>$J$113</f>
        <v>79.99720476162017</v>
      </c>
      <c r="I405" t="str">
        <v>/</v>
      </c>
      <c r="J405">
        <f>$J$369</f>
        <v>2.8800000000000003</v>
      </c>
      <c r="K405" t="str">
        <v>)+ / - (</v>
      </c>
      <c r="L405">
        <f>$J$154</f>
        <v>79.99720476162017</v>
      </c>
      <c r="M405" t="str">
        <v>/</v>
      </c>
      <c r="N405">
        <f>$J$370</f>
        <v>28.799999999999997</v>
      </c>
      <c r="O405" t="str">
        <v>)</v>
      </c>
    </row>
    <row r="406">
      <c r="C406" t="str">
        <v>=</v>
      </c>
      <c r="D406">
        <f>D405/F405</f>
        <v>221.5570200000001</v>
      </c>
      <c r="E406" t="str">
        <v>+ / -</v>
      </c>
      <c r="F406">
        <f>H405/J405</f>
        <v>27.77680720889589</v>
      </c>
      <c r="G406" t="str">
        <v>+ / -</v>
      </c>
      <c r="H406">
        <f>L405/N405</f>
        <v>2.7776807208895895</v>
      </c>
    </row>
    <row r="407">
      <c r="B407" t="str">
        <v>Pmax</v>
      </c>
      <c r="C407" t="str">
        <v>=</v>
      </c>
      <c r="D407">
        <f>D406</f>
        <v>221.5570200000001</v>
      </c>
      <c r="E407" t="str">
        <v>+</v>
      </c>
      <c r="F407">
        <f>F406</f>
        <v>27.77680720889589</v>
      </c>
      <c r="G407" t="str">
        <v>+</v>
      </c>
      <c r="H407">
        <f>H406</f>
        <v>2.7776807208895895</v>
      </c>
    </row>
    <row r="408">
      <c r="C408" t="str">
        <v>=</v>
      </c>
      <c r="D408">
        <f>D407+F407+H407</f>
        <v>252.11150792978557</v>
      </c>
      <c r="E408" t="str">
        <v>kN/m2</v>
      </c>
    </row>
    <row r="409">
      <c r="D409" t="str">
        <v>&lt; 8000 kN/m2 (that is  8 N/mm2 ) Hence O.K.</v>
      </c>
    </row>
    <row r="410">
      <c r="B410" t="str">
        <v>Pmin</v>
      </c>
      <c r="C410" t="str">
        <v>=</v>
      </c>
      <c r="D410">
        <f>D407</f>
        <v>221.5570200000001</v>
      </c>
      <c r="E410" t="str">
        <v>-</v>
      </c>
      <c r="F410">
        <f>F407</f>
        <v>27.77680720889589</v>
      </c>
      <c r="G410" t="str">
        <v>-</v>
      </c>
      <c r="H410">
        <f>H407</f>
        <v>2.7776807208895895</v>
      </c>
    </row>
    <row r="411">
      <c r="C411" t="str">
        <v>=</v>
      </c>
      <c r="D411">
        <f>D410-F410-H410</f>
        <v>191.00253207021464</v>
      </c>
      <c r="E411" t="str">
        <v>kN/m2</v>
      </c>
    </row>
    <row r="412">
      <c r="D412" t="str">
        <v>&gt; (- 3600 kN/m2 (that is  3.6 N/mm2 ) Hence O.K.</v>
      </c>
    </row>
    <row r="414">
      <c r="B414" t="str">
        <f>CONCATENATE("CASE- 8 FOR WIND FORCE AT SERVICE CONDITION AT R. L.",E20+1," M")</f>
        <v>CASE- 8 FOR WIND FORCE AT SERVICE CONDITION AT R. L.92.97 M</v>
      </c>
    </row>
    <row r="416">
      <c r="B416" t="str">
        <v>SUPER STRUCTURE</v>
      </c>
      <c r="C416" t="str">
        <v>=</v>
      </c>
      <c r="D416">
        <f>$D$259</f>
        <v>1463.6159999999998</v>
      </c>
      <c r="E416" t="str">
        <v>kN</v>
      </c>
    </row>
    <row r="417">
      <c r="B417" t="str">
        <v>SUB STRUCTURE</v>
      </c>
      <c r="C417" t="str">
        <v>=</v>
      </c>
      <c r="D417">
        <f>$D$360</f>
        <v>1726.8050880000017</v>
      </c>
      <c r="E417" t="str">
        <v>kN</v>
      </c>
      <c r="F417" t="str">
        <v>Without Buoyancy</v>
      </c>
    </row>
    <row r="418">
      <c r="B418" t="str">
        <v>SUB STRUCTURE</v>
      </c>
      <c r="C418" t="str">
        <v>=</v>
      </c>
      <c r="D418">
        <f>$D$361</f>
        <v>1633.4354700000017</v>
      </c>
      <c r="E418" t="str">
        <v>kN</v>
      </c>
      <c r="F418" t="str">
        <v>With Buoyancy</v>
      </c>
    </row>
    <row r="419">
      <c r="B419" t="str">
        <v xml:space="preserve">LIVE LOAD </v>
      </c>
      <c r="C419" t="str">
        <v>=</v>
      </c>
      <c r="D419">
        <f>$D$262</f>
        <v>788.2663473053892</v>
      </c>
      <c r="E419" t="str">
        <v>kN</v>
      </c>
    </row>
    <row r="420">
      <c r="B420" t="str">
        <v>Total Load without Buoyancy</v>
      </c>
      <c r="C420" t="str">
        <v>=</v>
      </c>
      <c r="D420">
        <f>D416+D417+D419</f>
        <v>3978.687435305391</v>
      </c>
      <c r="E420" t="str">
        <v>kN</v>
      </c>
    </row>
    <row r="421">
      <c r="B421" t="str">
        <v>Total Load with Buoyancy</v>
      </c>
      <c r="C421" t="str">
        <v>=</v>
      </c>
      <c r="D421">
        <f>D416+D418+D419</f>
        <v>3885.3178173053902</v>
      </c>
      <c r="E421" t="str">
        <v>kN</v>
      </c>
    </row>
    <row r="422">
      <c r="B422" t="str">
        <v>Total LONGITUDINAL MOMENT</v>
      </c>
      <c r="C422" t="str">
        <v>=</v>
      </c>
      <c r="D422">
        <f>$J$113</f>
        <v>79.99720476162017</v>
      </c>
      <c r="E422" t="str">
        <v>+</v>
      </c>
      <c r="F422">
        <f>$H$66</f>
        <v>244.25331736526948</v>
      </c>
      <c r="I422" t="str">
        <v>=</v>
      </c>
      <c r="J422">
        <f>D422+F422</f>
        <v>324.2505221268897</v>
      </c>
      <c r="K422" t="str">
        <v>kN-m</v>
      </c>
    </row>
    <row r="423">
      <c r="B423" t="str">
        <v>Total TRANSVERSE MOMENT</v>
      </c>
      <c r="C423" t="str">
        <v>=</v>
      </c>
      <c r="D423">
        <f>$J$154</f>
        <v>79.99720476162017</v>
      </c>
      <c r="E423" t="str">
        <v>+</v>
      </c>
      <c r="F423">
        <f>$L$192</f>
        <v>101.09433159466906</v>
      </c>
      <c r="G423" t="str">
        <v>+</v>
      </c>
      <c r="H423">
        <f>$H$71</f>
        <v>2247.881195209581</v>
      </c>
      <c r="I423" t="str">
        <v>=</v>
      </c>
      <c r="J423">
        <f>D423+F423+H423</f>
        <v>2428.97273156587</v>
      </c>
      <c r="K423" t="str">
        <v>kN-m</v>
      </c>
    </row>
    <row r="424">
      <c r="B424" t="str">
        <v>STRESS with Buoyancy</v>
      </c>
      <c r="C424" t="str">
        <v>= (</v>
      </c>
      <c r="D424">
        <f>D421</f>
        <v>3885.3178173053902</v>
      </c>
      <c r="E424" t="str">
        <v>/</v>
      </c>
      <c r="F424">
        <f>$J$367</f>
        <v>14.399999999999999</v>
      </c>
      <c r="G424" t="str">
        <v>)+ / - (</v>
      </c>
      <c r="H424">
        <f>$J$422</f>
        <v>324.2505221268897</v>
      </c>
      <c r="I424" t="str">
        <v>/</v>
      </c>
      <c r="J424">
        <f>$J$369</f>
        <v>2.8800000000000003</v>
      </c>
      <c r="K424" t="str">
        <v>)+ / - (</v>
      </c>
      <c r="L424">
        <f>$J$423</f>
        <v>2428.97273156587</v>
      </c>
      <c r="M424" t="str">
        <v>/</v>
      </c>
      <c r="N424">
        <f>$J$370</f>
        <v>28.799999999999997</v>
      </c>
      <c r="O424" t="str">
        <v>)</v>
      </c>
    </row>
    <row r="425">
      <c r="C425" t="str">
        <v>=</v>
      </c>
      <c r="D425">
        <f>D424/F424</f>
        <v>269.81373731287437</v>
      </c>
      <c r="E425" t="str">
        <v>+ / -</v>
      </c>
      <c r="F425">
        <f>H424/J424</f>
        <v>112.58698684961446</v>
      </c>
      <c r="G425" t="str">
        <v>+ / -</v>
      </c>
      <c r="H425">
        <f>L424/N424</f>
        <v>84.33933095714828</v>
      </c>
    </row>
    <row r="426">
      <c r="B426" t="str">
        <v>Pmax</v>
      </c>
      <c r="C426" t="str">
        <v>=</v>
      </c>
      <c r="D426">
        <f>D425</f>
        <v>269.81373731287437</v>
      </c>
      <c r="E426" t="str">
        <v>+</v>
      </c>
      <c r="F426">
        <f>F425</f>
        <v>112.58698684961446</v>
      </c>
      <c r="G426" t="str">
        <v>+</v>
      </c>
      <c r="H426">
        <f>H425</f>
        <v>84.33933095714828</v>
      </c>
    </row>
    <row r="427">
      <c r="C427" t="str">
        <v>=</v>
      </c>
      <c r="D427">
        <f>D426+F426+H426</f>
        <v>466.7400551196371</v>
      </c>
      <c r="E427" t="str">
        <v>kN/m2</v>
      </c>
    </row>
    <row r="428">
      <c r="D428" t="str">
        <v>&lt; 8000 kN/m2 (that is  8 N/mm2 ) Hence O.K.</v>
      </c>
    </row>
    <row r="429">
      <c r="B429" t="str">
        <v>Pmin</v>
      </c>
      <c r="C429" t="str">
        <v>=</v>
      </c>
      <c r="D429">
        <f>D426</f>
        <v>269.81373731287437</v>
      </c>
      <c r="E429" t="str">
        <v>-</v>
      </c>
      <c r="F429">
        <f>F426</f>
        <v>112.58698684961446</v>
      </c>
      <c r="G429" t="str">
        <v>-</v>
      </c>
      <c r="H429">
        <f>H426</f>
        <v>84.33933095714828</v>
      </c>
    </row>
    <row r="430">
      <c r="C430" t="str">
        <v>=</v>
      </c>
      <c r="D430">
        <f>D429-F429-H429</f>
        <v>72.88741950611164</v>
      </c>
      <c r="E430" t="str">
        <v>kN/m2</v>
      </c>
    </row>
    <row r="431">
      <c r="D431" t="str">
        <v>&gt; (- 3600 kN/m2 (that is  3.6 N/mm2 ) Hence O.K.</v>
      </c>
    </row>
    <row r="433">
      <c r="B433" t="str">
        <v>STRESS without Buoyancy</v>
      </c>
      <c r="C433" t="str">
        <v>= (</v>
      </c>
      <c r="D433">
        <f>D420</f>
        <v>3978.687435305391</v>
      </c>
      <c r="E433" t="str">
        <v>/</v>
      </c>
      <c r="F433">
        <f>$J$367</f>
        <v>14.399999999999999</v>
      </c>
      <c r="G433" t="str">
        <v>)+ / - (</v>
      </c>
      <c r="H433">
        <f>$J$422</f>
        <v>324.2505221268897</v>
      </c>
      <c r="I433" t="str">
        <v>/</v>
      </c>
      <c r="J433">
        <f>$J$369</f>
        <v>2.8800000000000003</v>
      </c>
      <c r="K433" t="str">
        <v>)+ / - (</v>
      </c>
      <c r="L433">
        <f>$J$423</f>
        <v>2428.97273156587</v>
      </c>
      <c r="M433" t="str">
        <v>/</v>
      </c>
      <c r="N433">
        <f>$J$370</f>
        <v>28.799999999999997</v>
      </c>
      <c r="O433" t="str">
        <v>)</v>
      </c>
    </row>
    <row r="434">
      <c r="C434" t="str">
        <v>=</v>
      </c>
      <c r="D434">
        <f>D433/F433</f>
        <v>276.2977385628744</v>
      </c>
      <c r="E434" t="str">
        <v>+ / -</v>
      </c>
      <c r="F434">
        <f>H433/J433</f>
        <v>112.58698684961446</v>
      </c>
      <c r="G434" t="str">
        <v>+ / -</v>
      </c>
      <c r="H434">
        <f>L433/N433</f>
        <v>84.33933095714828</v>
      </c>
    </row>
    <row r="435">
      <c r="B435" t="str">
        <v>Pmax</v>
      </c>
      <c r="C435" t="str">
        <v>=</v>
      </c>
      <c r="D435">
        <f>D434</f>
        <v>276.2977385628744</v>
      </c>
      <c r="E435" t="str">
        <v>+</v>
      </c>
      <c r="F435">
        <f>F434</f>
        <v>112.58698684961446</v>
      </c>
      <c r="G435" t="str">
        <v>+</v>
      </c>
      <c r="H435">
        <f>H434</f>
        <v>84.33933095714828</v>
      </c>
    </row>
    <row r="436">
      <c r="C436" t="str">
        <v>=</v>
      </c>
      <c r="D436">
        <f>D435+F435+H435</f>
        <v>473.2240563696371</v>
      </c>
      <c r="E436" t="str">
        <v>kN/m2</v>
      </c>
    </row>
    <row r="437">
      <c r="D437" t="str">
        <v>&lt; 8000 kN/m2 (that is  8 N/mm2 ) Hence O.K.</v>
      </c>
    </row>
    <row r="438">
      <c r="B438" t="str">
        <v>Pmin</v>
      </c>
      <c r="C438" t="str">
        <v>=</v>
      </c>
      <c r="D438">
        <f>D435</f>
        <v>276.2977385628744</v>
      </c>
      <c r="E438" t="str">
        <v>-</v>
      </c>
      <c r="F438">
        <f>F435</f>
        <v>112.58698684961446</v>
      </c>
      <c r="G438" t="str">
        <v>-</v>
      </c>
      <c r="H438">
        <f>H435</f>
        <v>84.33933095714828</v>
      </c>
    </row>
    <row r="439">
      <c r="C439" t="str">
        <v>=</v>
      </c>
      <c r="D439">
        <f>D438-F438-H438</f>
        <v>79.37142075611165</v>
      </c>
      <c r="E439" t="str">
        <v>kN/m2</v>
      </c>
    </row>
    <row r="440">
      <c r="D440" t="str">
        <v>&gt; (- 3600 kN/m2 (that is  3.6 N/mm2 ) Hence O.K.</v>
      </c>
    </row>
    <row r="442">
      <c r="B442" t="str">
        <f>CONCATENATE("CASE- 9 FOR WIND FORCE AT IDLE CONDITION AT R. L.",E20+1," M")</f>
        <v>CASE- 9 FOR WIND FORCE AT IDLE CONDITION AT R. L.92.97 M</v>
      </c>
    </row>
    <row r="444">
      <c r="B444" t="str">
        <v>SUPER STRUCTURE</v>
      </c>
      <c r="C444" t="str">
        <v>=</v>
      </c>
      <c r="D444">
        <f>$D$259</f>
        <v>1463.6159999999998</v>
      </c>
      <c r="E444" t="str">
        <v>kN</v>
      </c>
    </row>
    <row r="445">
      <c r="B445" t="str">
        <v>SUB STRUCTURE</v>
      </c>
      <c r="C445" t="str">
        <v>=</v>
      </c>
      <c r="D445">
        <f>$D$360</f>
        <v>1726.8050880000017</v>
      </c>
      <c r="E445" t="str">
        <v>kN</v>
      </c>
      <c r="F445" t="str">
        <v>Without Buoyancy</v>
      </c>
    </row>
    <row r="446">
      <c r="B446" t="str">
        <v>SUB STRUCTURE</v>
      </c>
      <c r="C446" t="str">
        <v>=</v>
      </c>
      <c r="D446">
        <f>$D$361</f>
        <v>1633.4354700000017</v>
      </c>
      <c r="E446" t="str">
        <v>kN</v>
      </c>
      <c r="F446" t="str">
        <v>With Buoyancy</v>
      </c>
    </row>
    <row r="447">
      <c r="B447" t="str">
        <v xml:space="preserve">LIVE LOAD </v>
      </c>
      <c r="C447" t="str">
        <v>=</v>
      </c>
      <c r="D447">
        <f>$D$262</f>
        <v>788.2663473053892</v>
      </c>
      <c r="E447" t="str">
        <v>kN</v>
      </c>
    </row>
    <row r="448">
      <c r="B448" t="str">
        <v>Total Load without Buoyancy</v>
      </c>
      <c r="C448" t="str">
        <v>=</v>
      </c>
      <c r="D448">
        <f>D444+D445+D447</f>
        <v>3978.687435305391</v>
      </c>
      <c r="E448" t="str">
        <v>kN</v>
      </c>
    </row>
    <row r="449">
      <c r="B449" t="str">
        <v>Total Load with Buoyancy</v>
      </c>
      <c r="C449" t="str">
        <v>=</v>
      </c>
      <c r="D449">
        <f>D444+D446+D447</f>
        <v>3885.3178173053902</v>
      </c>
      <c r="E449" t="str">
        <v>kN</v>
      </c>
    </row>
    <row r="450">
      <c r="B450" t="str">
        <v>Total LONGITUDINAL MOMENT</v>
      </c>
      <c r="C450" t="str">
        <v>=</v>
      </c>
      <c r="D450">
        <f>$J$113</f>
        <v>79.99720476162017</v>
      </c>
      <c r="E450" t="str">
        <v>kN-m</v>
      </c>
    </row>
    <row r="451">
      <c r="B451" t="str">
        <v>Total TRANSVERSE MOMENT</v>
      </c>
      <c r="C451" t="str">
        <v>=</v>
      </c>
      <c r="D451">
        <f>$J$154</f>
        <v>79.99720476162017</v>
      </c>
      <c r="E451" t="str">
        <v>+</v>
      </c>
      <c r="F451">
        <f>$L$192</f>
        <v>101.09433159466906</v>
      </c>
      <c r="G451" t="str">
        <v>=</v>
      </c>
      <c r="H451">
        <f>D451+F451</f>
        <v>181.09153635628923</v>
      </c>
      <c r="I451" t="str">
        <v>kN-m</v>
      </c>
    </row>
    <row r="452">
      <c r="B452" t="str">
        <v>STRESS with Buoyancy</v>
      </c>
      <c r="C452" t="str">
        <v>= (</v>
      </c>
      <c r="D452">
        <f>D449</f>
        <v>3885.3178173053902</v>
      </c>
      <c r="E452" t="str">
        <v>/</v>
      </c>
      <c r="F452">
        <f>$J$367</f>
        <v>14.399999999999999</v>
      </c>
      <c r="G452" t="str">
        <v>)+ / - (</v>
      </c>
      <c r="H452">
        <f>$J$113</f>
        <v>79.99720476162017</v>
      </c>
      <c r="I452" t="str">
        <v>/</v>
      </c>
      <c r="J452">
        <f>$J$369</f>
        <v>2.8800000000000003</v>
      </c>
      <c r="K452" t="str">
        <v>)+ / - (</v>
      </c>
      <c r="L452">
        <f>H451</f>
        <v>181.09153635628923</v>
      </c>
      <c r="M452" t="str">
        <v>/</v>
      </c>
      <c r="N452">
        <f>$J$370</f>
        <v>28.799999999999997</v>
      </c>
      <c r="O452" t="str">
        <v>)</v>
      </c>
    </row>
    <row r="453">
      <c r="C453" t="str">
        <v>=</v>
      </c>
      <c r="D453">
        <f>D452/F452</f>
        <v>269.81373731287437</v>
      </c>
      <c r="E453" t="str">
        <v>+ / -</v>
      </c>
      <c r="F453">
        <f>H452/J452</f>
        <v>27.77680720889589</v>
      </c>
      <c r="G453" t="str">
        <v>+ / -</v>
      </c>
      <c r="H453">
        <f>L452/N452</f>
        <v>6.28790056792671</v>
      </c>
    </row>
    <row r="454">
      <c r="B454" t="str">
        <v>Pmax</v>
      </c>
      <c r="C454" t="str">
        <v>=</v>
      </c>
      <c r="D454">
        <f>D453</f>
        <v>269.81373731287437</v>
      </c>
      <c r="E454" t="str">
        <v>+</v>
      </c>
      <c r="F454">
        <f>F453</f>
        <v>27.77680720889589</v>
      </c>
      <c r="G454" t="str">
        <v>+</v>
      </c>
      <c r="H454">
        <f>H453</f>
        <v>6.28790056792671</v>
      </c>
    </row>
    <row r="455">
      <c r="C455" t="str">
        <v>=</v>
      </c>
      <c r="D455">
        <f>D454+F454+H454</f>
        <v>303.878445089697</v>
      </c>
      <c r="E455" t="str">
        <v>kN/m2</v>
      </c>
    </row>
    <row r="456">
      <c r="D456" t="str">
        <v>&lt; 8000 kN/m2 (that is  8 N/mm2 ) Hence O.K.</v>
      </c>
    </row>
    <row r="457">
      <c r="B457" t="str">
        <v>Pmin</v>
      </c>
      <c r="C457" t="str">
        <v>=</v>
      </c>
      <c r="D457">
        <f>D454</f>
        <v>269.81373731287437</v>
      </c>
      <c r="E457" t="str">
        <v>-</v>
      </c>
      <c r="F457">
        <f>F454</f>
        <v>27.77680720889589</v>
      </c>
      <c r="G457" t="str">
        <v>-</v>
      </c>
      <c r="H457">
        <f>H454</f>
        <v>6.28790056792671</v>
      </c>
    </row>
    <row r="458">
      <c r="C458" t="str">
        <v>=</v>
      </c>
      <c r="D458">
        <f>D457-F457-H457</f>
        <v>235.74902953605178</v>
      </c>
      <c r="E458" t="str">
        <v>kN/m2</v>
      </c>
    </row>
    <row r="459">
      <c r="D459" t="str">
        <v>&gt; (- 3600 kN/m2 (that is  3.6 N/mm2 ) Hence O.K.</v>
      </c>
    </row>
    <row r="461">
      <c r="B461" t="str">
        <v>STRESS without Buoyancy</v>
      </c>
      <c r="C461" t="str">
        <v>= (</v>
      </c>
      <c r="D461">
        <f>D448</f>
        <v>3978.687435305391</v>
      </c>
      <c r="E461" t="str">
        <v>/</v>
      </c>
      <c r="F461">
        <f>$J$367</f>
        <v>14.399999999999999</v>
      </c>
      <c r="G461" t="str">
        <v>)+ / - (</v>
      </c>
      <c r="H461">
        <f>$J$113</f>
        <v>79.99720476162017</v>
      </c>
      <c r="I461" t="str">
        <v>/</v>
      </c>
      <c r="J461">
        <f>$J$369</f>
        <v>2.8800000000000003</v>
      </c>
      <c r="K461" t="str">
        <v>)+ / - (</v>
      </c>
      <c r="L461">
        <f>H451</f>
        <v>181.09153635628923</v>
      </c>
      <c r="M461" t="str">
        <v>/</v>
      </c>
      <c r="N461">
        <f>$J$370</f>
        <v>28.799999999999997</v>
      </c>
      <c r="O461" t="str">
        <v>)</v>
      </c>
    </row>
    <row r="462">
      <c r="C462" t="str">
        <v>=</v>
      </c>
      <c r="D462">
        <f>D461/F461</f>
        <v>276.2977385628744</v>
      </c>
      <c r="E462" t="str">
        <v>+ / -</v>
      </c>
      <c r="F462">
        <f>H461/J461</f>
        <v>27.77680720889589</v>
      </c>
      <c r="G462" t="str">
        <v>+ / -</v>
      </c>
      <c r="H462">
        <f>L461/N461</f>
        <v>6.28790056792671</v>
      </c>
    </row>
    <row r="463">
      <c r="B463" t="str">
        <v>Pmax</v>
      </c>
      <c r="C463" t="str">
        <v>=</v>
      </c>
      <c r="D463">
        <f>D462</f>
        <v>276.2977385628744</v>
      </c>
      <c r="E463" t="str">
        <v>+</v>
      </c>
      <c r="F463">
        <f>F462</f>
        <v>27.77680720889589</v>
      </c>
      <c r="G463" t="str">
        <v>+</v>
      </c>
      <c r="H463">
        <f>H462</f>
        <v>6.28790056792671</v>
      </c>
    </row>
    <row r="464">
      <c r="C464" t="str">
        <v>=</v>
      </c>
      <c r="D464">
        <f>D463+F463+H463</f>
        <v>310.362446339697</v>
      </c>
      <c r="E464" t="str">
        <v>kN/m2</v>
      </c>
    </row>
    <row r="465">
      <c r="D465" t="str">
        <v>&lt; 8000 kN/m2 (that is  8 N/mm2 ) Hence O.K.</v>
      </c>
    </row>
    <row r="466">
      <c r="B466" t="str">
        <v>Pmin</v>
      </c>
      <c r="C466" t="str">
        <v>=</v>
      </c>
      <c r="D466">
        <f>D463</f>
        <v>276.2977385628744</v>
      </c>
      <c r="E466" t="str">
        <v>-</v>
      </c>
      <c r="F466">
        <f>F463</f>
        <v>27.77680720889589</v>
      </c>
      <c r="G466" t="str">
        <v>-</v>
      </c>
      <c r="H466">
        <f>H463</f>
        <v>6.28790056792671</v>
      </c>
    </row>
    <row r="467">
      <c r="C467" t="str">
        <v>=</v>
      </c>
      <c r="D467">
        <f>D466-F466-H466</f>
        <v>242.23303078605178</v>
      </c>
      <c r="E467" t="str">
        <v>kN/m2</v>
      </c>
    </row>
    <row r="468">
      <c r="D468" t="str">
        <v>&gt; (- 3600 kN/m2 (that is  3.6 N/mm2 ) Hence O.K.</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sheetData>
    <row r="1">
      <c r="A1" t="str">
        <v>ABSTRACT OF BASE PRESSURE AND STRESSES</v>
      </c>
    </row>
    <row r="2">
      <c r="A2" t="str">
        <f>'afflux calculation'!A2:H2</f>
        <v>Name Of Work :- Construction of Submersible Bridge on ON KHERWARA - JAWAS - SUVERI ROAD IN KM 9/000, ACROSS RIVER SOM</v>
      </c>
    </row>
    <row r="3">
      <c r="A3" t="str">
        <f>'STABILITY CHECK FOR PIER'!B198</f>
        <v>CASE- 1  FOR SERVICE CONDITION AT R. L.91.97 M</v>
      </c>
      <c r="I3">
        <f>'STABILITY CHECK FOR PIER'!D216</f>
        <v>137.4414363273386</v>
      </c>
      <c r="J3">
        <f>'STABILITY CHECK FOR PIER'!D219</f>
        <v>60.96723987026628</v>
      </c>
      <c r="K3">
        <f>'STABILITY CHECK FOR PIER'!D225</f>
        <v>137.48901566944386</v>
      </c>
      <c r="L3">
        <f>'STABILITY CHECK FOR PIER'!D228</f>
        <v>73.01481921237155</v>
      </c>
    </row>
    <row r="4">
      <c r="A4" t="str">
        <f>'STABILITY CHECK FOR PIER'!B231</f>
        <v>CASE- 2  FOR IDLE CONDITION AT R. L.91.97 M</v>
      </c>
      <c r="I4">
        <f>'STABILITY CHECK FOR PIER'!D242</f>
        <v>87.04954866084331</v>
      </c>
      <c r="J4">
        <f>'STABILITY CHECK FOR PIER'!D245</f>
        <v>76.78604212863046</v>
      </c>
      <c r="K4">
        <f>'STABILITY CHECK FOR PIER'!D251</f>
        <v>99.09712800294858</v>
      </c>
      <c r="L4">
        <f>'STABILITY CHECK FOR PIER'!D254</f>
        <v>88.83362147073572</v>
      </c>
    </row>
    <row r="5">
      <c r="A5" t="str">
        <f>'STABILITY CHECK FOR PIER'!B257</f>
        <v>CASE- 3 FOR WIND FORCE AT SERVICE CONDITION AT R. L.91.97 M</v>
      </c>
      <c r="I5">
        <f>'STABILITY CHECK FOR PIER'!$D270</f>
        <v>138.6135170084087</v>
      </c>
      <c r="J5">
        <f>'STABILITY CHECK FOR PIER'!$D273</f>
        <v>59.79515918919617</v>
      </c>
      <c r="K5">
        <f>'STABILITY CHECK FOR PIER'!$D279</f>
        <v>138.66109635051396</v>
      </c>
      <c r="L5">
        <f>'STABILITY CHECK FOR PIER'!$D282</f>
        <v>71.84273853130144</v>
      </c>
    </row>
    <row r="6">
      <c r="A6" t="str">
        <f>'STABILITY CHECK FOR PIER'!B285</f>
        <v>CASE- 4 FOR WIND FORCE AT IDLE CONDITION AT R. L.91.97 M</v>
      </c>
      <c r="I6">
        <f>'STABILITY CHECK FOR PIER'!$D298</f>
        <v>88.22162934191343</v>
      </c>
      <c r="J6">
        <f>'STABILITY CHECK FOR PIER'!$D301</f>
        <v>75.61396144756034</v>
      </c>
      <c r="K6">
        <f>'STABILITY CHECK FOR PIER'!$D304</f>
        <v>83.40902969987391</v>
      </c>
      <c r="L6">
        <f>'STABILITY CHECK FOR PIER'!$D307</f>
        <v>80.42656108959986</v>
      </c>
      <c r="M6">
        <f>'STABILITY CHECK FOR PIER'!$D312</f>
        <v>100.2692086840187</v>
      </c>
      <c r="N6">
        <f>'STABILITY CHECK FOR PIER'!$D315</f>
        <v>87.66154078966561</v>
      </c>
    </row>
    <row r="7">
      <c r="A7" t="str">
        <f>'STABILITY CHECK FOR PIER'!B319</f>
        <v>CASE- 5 FOR ONE SPAN DISLODGED CONDITION AT R. L.91.97 M</v>
      </c>
      <c r="I7">
        <f>'STABILITY CHECK FOR PIER'!$D332</f>
        <v>72.17320828928186</v>
      </c>
      <c r="J7">
        <f>'STABILITY CHECK FOR PIER'!$D335</f>
        <v>59.565540394928775</v>
      </c>
      <c r="K7">
        <f>'STABILITY CHECK FOR PIER'!$D337</f>
        <v>67.36060864724234</v>
      </c>
      <c r="L7">
        <f>'STABILITY CHECK FOR PIER'!$D340</f>
        <v>64.37814003696829</v>
      </c>
      <c r="M7">
        <f>'STABILITY CHECK FOR PIER'!$D345</f>
        <v>77.91695368421057</v>
      </c>
      <c r="N7">
        <f>'STABILITY CHECK FOR PIER'!$D349</f>
        <v>74.01941955805378</v>
      </c>
    </row>
    <row r="9">
      <c r="C9" t="str">
        <v>Maximum</v>
      </c>
      <c r="D9">
        <f>MAX(I3:N7)</f>
        <v>138.66109635051396</v>
      </c>
      <c r="F9">
        <f>MIN(I3:N7)</f>
        <v>59.565540394928775</v>
      </c>
      <c r="G9" t="str">
        <v>Minimum</v>
      </c>
    </row>
    <row r="11">
      <c r="A11" t="str">
        <f>'STABILITY CHECK FOR PIER'!B356</f>
        <v>CASE- 6  FOR SERVICE CONDITION AT R. L.92.97 M</v>
      </c>
      <c r="I11">
        <f>'STABILITY CHECK FOR PIER'!$D374</f>
        <v>463.2298352726</v>
      </c>
      <c r="J11">
        <f>'STABILITY CHECK FOR PIER'!$D377</f>
        <v>76.39763935314875</v>
      </c>
      <c r="K11">
        <f>'STABILITY CHECK FOR PIER'!$D383</f>
        <v>469.7138365226</v>
      </c>
      <c r="L11">
        <f>'STABILITY CHECK FOR PIER'!$D386</f>
        <v>82.88164060314875</v>
      </c>
    </row>
    <row r="12">
      <c r="A12" t="str">
        <f>'STABILITY CHECK FOR PIER'!B388</f>
        <v>CASE- 7 FOR IDLE CONDITION AT R. L.92.97 M</v>
      </c>
      <c r="I12">
        <f>'STABILITY CHECK FOR PIER'!$D399</f>
        <v>245.62750667978557</v>
      </c>
      <c r="J12">
        <f>'STABILITY CHECK FOR PIER'!$D402</f>
        <v>184.51853082021464</v>
      </c>
      <c r="K12">
        <f>'STABILITY CHECK FOR PIER'!$D408</f>
        <v>252.11150792978557</v>
      </c>
      <c r="L12">
        <f>'STABILITY CHECK FOR PIER'!$D411</f>
        <v>191.00253207021464</v>
      </c>
    </row>
    <row r="13">
      <c r="A13" t="str">
        <f>'STABILITY CHECK FOR PIER'!B414</f>
        <v>CASE- 8 FOR WIND FORCE AT SERVICE CONDITION AT R. L.92.97 M</v>
      </c>
      <c r="I13">
        <f>'STABILITY CHECK FOR PIER'!$D427</f>
        <v>466.7400551196371</v>
      </c>
      <c r="J13">
        <f>'STABILITY CHECK FOR PIER'!$D430</f>
        <v>72.88741950611164</v>
      </c>
      <c r="K13">
        <f>'STABILITY CHECK FOR PIER'!$D436</f>
        <v>473.2240563696371</v>
      </c>
      <c r="L13">
        <f>'STABILITY CHECK FOR PIER'!$D439</f>
        <v>79.37142075611165</v>
      </c>
    </row>
    <row r="14">
      <c r="A14" t="str">
        <f>'STABILITY CHECK FOR PIER'!B442</f>
        <v>CASE- 9 FOR WIND FORCE AT IDLE CONDITION AT R. L.92.97 M</v>
      </c>
      <c r="I14">
        <f>'STABILITY CHECK FOR PIER'!$D455</f>
        <v>303.878445089697</v>
      </c>
      <c r="J14">
        <f>'STABILITY CHECK FOR PIER'!$D458</f>
        <v>235.74902953605178</v>
      </c>
      <c r="K14">
        <f>'STABILITY CHECK FOR PIER'!$D464</f>
        <v>310.362446339697</v>
      </c>
      <c r="L14">
        <f>'STABILITY CHECK FOR PIER'!$D467</f>
        <v>242.23303078605178</v>
      </c>
    </row>
    <row r="16">
      <c r="C16" t="str">
        <v>Maximum</v>
      </c>
      <c r="D16">
        <f>MAX(I11:N14)</f>
        <v>473.2240563696371</v>
      </c>
      <c r="F16">
        <f>MIN(I11:N14)</f>
        <v>72.88741950611164</v>
      </c>
      <c r="G16" t="str">
        <v>Minimum</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sheetData>
    <row r="1">
      <c r="A1" t="str">
        <v xml:space="preserve">REINFORCEMENT CALCULATION IN PIER IN LOWER FLARED PORTION </v>
      </c>
    </row>
    <row r="2">
      <c r="A2" t="str">
        <f>'STABILITY CHECK FOR PIER'!A2:Q2</f>
        <v>Name Of Work :- Construction of Submersible Bridge on ON KHERWARA - JAWAS - SUVERI ROAD IN KM 9/000, ACROSS RIVER SOM</v>
      </c>
    </row>
    <row r="3">
      <c r="B3" t="str">
        <v>R.L.</v>
      </c>
      <c r="C3">
        <f>'STABILITY CHECK FOR PIER'!E20+'STABILITY CHECK FOR PIER'!J52</f>
        <v>92.96999999999998</v>
      </c>
      <c r="D3" t="str">
        <v>M TO</v>
      </c>
      <c r="E3">
        <f>C3+0.6</f>
        <v>93.56999999999998</v>
      </c>
      <c r="F3" t="str">
        <v>M</v>
      </c>
    </row>
    <row r="4">
      <c r="A4" t="str">
        <v>FOR SERVICE CONDITION</v>
      </c>
    </row>
    <row r="5">
      <c r="B5" t="str">
        <v>VERTICAL LOADS</v>
      </c>
    </row>
    <row r="6">
      <c r="B6" t="str">
        <f>'STABILITY CHECK FOR PIER'!B201</f>
        <v>SUPER STRUCTURE</v>
      </c>
      <c r="C6" t="str">
        <f>'STABILITY CHECK FOR PIER'!C201</f>
        <v>=</v>
      </c>
      <c r="D6">
        <f>'STABILITY CHECK FOR PIER'!D359</f>
        <v>1463.6159999999998</v>
      </c>
      <c r="E6" t="str">
        <f>'STABILITY CHECK FOR PIER'!E201</f>
        <v>kN</v>
      </c>
    </row>
    <row r="7">
      <c r="B7" t="str">
        <f>'STABILITY CHECK FOR PIER'!B202</f>
        <v>SUB STRUCTURE</v>
      </c>
      <c r="C7" t="str">
        <f>'STABILITY CHECK FOR PIER'!C202</f>
        <v>=</v>
      </c>
      <c r="D7">
        <f>'STABILITY CHECK FOR PIER'!D360</f>
        <v>1726.8050880000017</v>
      </c>
      <c r="E7" t="str">
        <f>'STABILITY CHECK FOR PIER'!E202</f>
        <v>kN</v>
      </c>
      <c r="F7" t="str">
        <f>'STABILITY CHECK FOR PIER'!F202</f>
        <v>Without Buoyancy</v>
      </c>
    </row>
    <row r="8">
      <c r="B8" t="str">
        <f>'STABILITY CHECK FOR PIER'!B203</f>
        <v>SUB STRUCTURE</v>
      </c>
      <c r="C8" t="str">
        <f>'STABILITY CHECK FOR PIER'!C203</f>
        <v>=</v>
      </c>
      <c r="D8">
        <f>'STABILITY CHECK FOR PIER'!D361</f>
        <v>1633.4354700000017</v>
      </c>
      <c r="E8" t="str">
        <f>'STABILITY CHECK FOR PIER'!E203</f>
        <v>kN</v>
      </c>
      <c r="F8" t="str">
        <f>'STABILITY CHECK FOR PIER'!F203</f>
        <v>With Buoyancy</v>
      </c>
    </row>
    <row r="9">
      <c r="B9" t="str">
        <f>'STABILITY CHECK FOR PIER'!B204</f>
        <v xml:space="preserve">LIVE LOAD </v>
      </c>
      <c r="C9" t="str">
        <f>'STABILITY CHECK FOR PIER'!C204</f>
        <v>=</v>
      </c>
      <c r="D9">
        <f>'STABILITY CHECK FOR PIER'!D362</f>
        <v>788.2663473053892</v>
      </c>
      <c r="E9" t="str">
        <f>'STABILITY CHECK FOR PIER'!E204</f>
        <v>kN</v>
      </c>
    </row>
    <row r="10">
      <c r="B10" t="str">
        <f>'STABILITY CHECK FOR PIER'!B205</f>
        <v>Total Load without Buoyancy</v>
      </c>
      <c r="C10" t="str">
        <f>'STABILITY CHECK FOR PIER'!C205</f>
        <v>=</v>
      </c>
      <c r="D10">
        <f>'STABILITY CHECK FOR PIER'!D363</f>
        <v>3978.687435305391</v>
      </c>
      <c r="E10" t="str">
        <f>'STABILITY CHECK FOR PIER'!E205</f>
        <v>kN</v>
      </c>
    </row>
    <row r="11">
      <c r="B11" t="str">
        <f>'STABILITY CHECK FOR PIER'!B206</f>
        <v>Total Load with Buoyancy</v>
      </c>
      <c r="C11" t="str">
        <f>'STABILITY CHECK FOR PIER'!C206</f>
        <v>=</v>
      </c>
      <c r="D11">
        <f>'STABILITY CHECK FOR PIER'!D364</f>
        <v>3885.3178173053902</v>
      </c>
      <c r="E11" t="str">
        <f>'STABILITY CHECK FOR PIER'!E206</f>
        <v>kN</v>
      </c>
    </row>
    <row r="12">
      <c r="B12" t="str">
        <f>'STABILITY CHECK FOR PIER'!B422</f>
        <v>Total LONGITUDINAL MOMENT</v>
      </c>
    </row>
    <row r="13">
      <c r="B13" t="str">
        <v>Moment @ R. L.</v>
      </c>
      <c r="C13">
        <f>C15</f>
        <v>92.96999999999998</v>
      </c>
      <c r="D13" t="str">
        <f>D15</f>
        <v>M =</v>
      </c>
      <c r="E13">
        <f>'STABILITY CHECK FOR PIER'!$J$422</f>
        <v>324.2505221268897</v>
      </c>
      <c r="F13" t="str">
        <f>'STABILITY CHECK FOR PIER'!K115</f>
        <v>kN-m</v>
      </c>
    </row>
    <row r="14">
      <c r="B14" t="str">
        <f>'STABILITY CHECK FOR PIER'!B423</f>
        <v>Total TRANSVERSE MOMENT</v>
      </c>
    </row>
    <row r="15">
      <c r="B15" t="str">
        <v>Moment @ R. L.</v>
      </c>
      <c r="C15">
        <f>'STABILITY CHECK FOR PIER'!D155</f>
        <v>92.96999999999998</v>
      </c>
      <c r="D15" t="str">
        <f>'STABILITY CHECK FOR PIER'!E155</f>
        <v>M =</v>
      </c>
      <c r="E15">
        <f>'STABILITY CHECK FOR PIER'!$J$423</f>
        <v>2428.97273156587</v>
      </c>
      <c r="F15" t="str">
        <f>'STABILITY CHECK FOR PIER'!K156</f>
        <v>kN-m</v>
      </c>
    </row>
    <row r="16">
      <c r="B16" t="str">
        <f>[1]TROUGH!A21</f>
        <v>CONCRETE MIX</v>
      </c>
      <c r="D16" t="str">
        <v>M-25</v>
      </c>
    </row>
    <row r="17">
      <c r="B17" t="str">
        <f>[1]TROUGH!A22</f>
        <v>CHARACTERISTIC STRENGTH OF REINFORCEMENT</v>
      </c>
      <c r="F17">
        <f>[1]TROUGH!F22</f>
        <v>415</v>
      </c>
      <c r="G17" t="str">
        <f>[1]TROUGH!G22</f>
        <v>N/mm2</v>
      </c>
    </row>
    <row r="18">
      <c r="B18" t="str">
        <f>[1]TROUGH!A23</f>
        <v>PERMISSIBLE STRESSES</v>
      </c>
    </row>
    <row r="19">
      <c r="B19" t="str">
        <f>[1]TROUGH!B24</f>
        <v>IN STEEL</v>
      </c>
      <c r="D19">
        <v>190</v>
      </c>
    </row>
    <row r="20">
      <c r="B20" t="str">
        <f>[1]TROUGH!B31</f>
        <v>IN CONCRETE</v>
      </c>
    </row>
    <row r="21">
      <c r="B21" t="str">
        <v>CHARACTERISTIC STRENGTH OF Concrete</v>
      </c>
      <c r="D21" t="str">
        <v>fck</v>
      </c>
      <c r="E21" t="str">
        <v>=</v>
      </c>
      <c r="F21">
        <v>30</v>
      </c>
      <c r="G21" t="str">
        <v>N/mm2</v>
      </c>
    </row>
    <row r="22">
      <c r="B22" t="str">
        <f>[1]TROUGH!B32</f>
        <v>Permissible Compressive Stress in Bending</v>
      </c>
      <c r="D22" t="str">
        <f>[1]TROUGH!C32</f>
        <v>σcbc</v>
      </c>
      <c r="E22" t="str">
        <f>[1]TROUGH!D32</f>
        <v>=</v>
      </c>
      <c r="F22">
        <v>8</v>
      </c>
      <c r="G22" t="str">
        <f>[1]TROUGH!F32</f>
        <v>N/mm2</v>
      </c>
    </row>
    <row r="23">
      <c r="B23" t="str">
        <f>[1]TROUGH!B33</f>
        <v>Permissible Compressive Stress in Direct Compression</v>
      </c>
      <c r="D23" t="str">
        <f>[1]TROUGH!C33</f>
        <v>σcc</v>
      </c>
      <c r="E23" t="str">
        <f>[1]TROUGH!D33</f>
        <v>=</v>
      </c>
      <c r="F23">
        <f>[1]TROUGH!E33</f>
        <v>8</v>
      </c>
      <c r="G23" t="str">
        <f>[1]TROUGH!F33</f>
        <v>N/mm2</v>
      </c>
    </row>
    <row r="24">
      <c r="D24" t="str">
        <f>[1]TROUGH!C34</f>
        <v>σct</v>
      </c>
      <c r="E24" t="str">
        <f>[1]TROUGH!D34</f>
        <v>=</v>
      </c>
      <c r="F24">
        <f>[1]TROUGH!E34</f>
        <v>3.6</v>
      </c>
      <c r="G24" t="str">
        <f>[1]TROUGH!F34</f>
        <v>N/mm2</v>
      </c>
    </row>
    <row r="25">
      <c r="B25" t="str">
        <v xml:space="preserve">Ultimate Axial Load PU </v>
      </c>
      <c r="C25" t="str">
        <v>=</v>
      </c>
      <c r="D25">
        <v>1.5</v>
      </c>
      <c r="E25" t="str">
        <v>X</v>
      </c>
      <c r="F25">
        <f>D10</f>
        <v>3978.687435305391</v>
      </c>
      <c r="G25" t="str">
        <v>=</v>
      </c>
      <c r="H25">
        <f>D25*F25</f>
        <v>5968.031152958087</v>
      </c>
      <c r="I25" t="str">
        <v>kN</v>
      </c>
    </row>
    <row r="26">
      <c r="B26" t="str">
        <v xml:space="preserve">Ultimate Longitudinal Moment MU </v>
      </c>
      <c r="C26" t="str">
        <v>=</v>
      </c>
      <c r="D26">
        <v>1.5</v>
      </c>
      <c r="E26" t="str">
        <v>X</v>
      </c>
      <c r="F26">
        <f>E13</f>
        <v>324.2505221268897</v>
      </c>
      <c r="G26" t="str">
        <v>=</v>
      </c>
      <c r="H26">
        <f>D26*F26</f>
        <v>486.3757831903345</v>
      </c>
      <c r="I26" t="str">
        <v>kN-m</v>
      </c>
    </row>
    <row r="27">
      <c r="B27" t="str">
        <v xml:space="preserve">Ultimate Transverse Moment MU </v>
      </c>
      <c r="C27" t="str">
        <v>=</v>
      </c>
      <c r="D27">
        <v>1.5</v>
      </c>
      <c r="E27" t="str">
        <v>X</v>
      </c>
      <c r="F27">
        <f>E15</f>
        <v>2428.97273156587</v>
      </c>
      <c r="G27" t="str">
        <v>=</v>
      </c>
      <c r="H27">
        <f>D27*F27</f>
        <v>3643.4590973488052</v>
      </c>
      <c r="I27" t="str">
        <v>kN-m</v>
      </c>
    </row>
    <row r="28">
      <c r="B28" t="str">
        <v>INCREASE WHEN WIND CONDITION IS CONSIDERED</v>
      </c>
      <c r="F28">
        <v>33.33</v>
      </c>
      <c r="G28" t="str">
        <v>%</v>
      </c>
    </row>
    <row r="29">
      <c r="B29" t="str">
        <v>Neglecting area of Cut and Ease water parts Rectangular Section considered is</v>
      </c>
    </row>
    <row r="30">
      <c r="C30">
        <f>'STEEL IN PIER'!C30+(2*'STABILITY CHECK FOR PIER'!M63)</f>
        <v>12001.2</v>
      </c>
      <c r="D30" t="str">
        <v xml:space="preserve"> mm x</v>
      </c>
      <c r="E30">
        <f>'STEEL IN PIER'!E30++(2*'STABILITY CHECK FOR PIER'!M63)</f>
        <v>1201.2</v>
      </c>
      <c r="F30" t="str">
        <v>mm</v>
      </c>
    </row>
    <row r="31">
      <c r="C31" t="str">
        <v>Assume cover as</v>
      </c>
      <c r="D31">
        <v>75</v>
      </c>
    </row>
    <row r="32">
      <c r="B32" t="str">
        <v>d1/d</v>
      </c>
      <c r="C32" t="str">
        <v>=</v>
      </c>
      <c r="D32">
        <f>D31+C51/2</f>
        <v>87.5</v>
      </c>
      <c r="E32" t="str">
        <v>/</v>
      </c>
      <c r="F32">
        <f>E30</f>
        <v>1201.2</v>
      </c>
      <c r="G32" t="str">
        <v>=</v>
      </c>
      <c r="H32">
        <f>D32/F32</f>
        <v>0.07284382284382285</v>
      </c>
    </row>
    <row r="33">
      <c r="B33" t="str">
        <v>PU/(fck b d)</v>
      </c>
      <c r="C33" t="str">
        <v>=</v>
      </c>
      <c r="D33">
        <f>H25</f>
        <v>5968.031152958087</v>
      </c>
      <c r="E33" t="str">
        <v>x</v>
      </c>
      <c r="F33">
        <v>1000</v>
      </c>
      <c r="G33" t="str">
        <v>/ (</v>
      </c>
      <c r="H33">
        <f>$F$21</f>
        <v>30</v>
      </c>
      <c r="I33" t="str">
        <v>x</v>
      </c>
      <c r="J33">
        <f>$C$30</f>
        <v>12001.2</v>
      </c>
      <c r="K33" t="str">
        <v xml:space="preserve">x </v>
      </c>
      <c r="L33">
        <f>$E$30</f>
        <v>1201.2</v>
      </c>
      <c r="M33" t="str">
        <v>)</v>
      </c>
    </row>
    <row r="34">
      <c r="C34" t="str">
        <v>=</v>
      </c>
      <c r="D34">
        <f>D33*F33/(H33*J33*L33)</f>
        <v>0.013799705871714247</v>
      </c>
    </row>
    <row r="35">
      <c r="B35" t="str">
        <v>FOR LONGITUDINAL MOMENT</v>
      </c>
    </row>
    <row r="36">
      <c r="B36" t="str">
        <v>Mu/(fck b d2)</v>
      </c>
      <c r="C36" t="str">
        <v>=</v>
      </c>
      <c r="D36">
        <f>H26</f>
        <v>486.3757831903345</v>
      </c>
      <c r="E36" t="str">
        <f>E33</f>
        <v>x</v>
      </c>
      <c r="F36">
        <f>$F$33*1000</f>
        <v>1000000</v>
      </c>
      <c r="G36" t="str">
        <v>/ (</v>
      </c>
      <c r="H36">
        <f>$F$21</f>
        <v>30</v>
      </c>
      <c r="I36" t="str">
        <v>x</v>
      </c>
      <c r="J36">
        <f>$C$30</f>
        <v>12001.2</v>
      </c>
      <c r="K36" t="str">
        <v xml:space="preserve">x </v>
      </c>
      <c r="L36">
        <f>$E$30</f>
        <v>1201.2</v>
      </c>
      <c r="M36" t="str">
        <v>2 )</v>
      </c>
    </row>
    <row r="37">
      <c r="C37" t="str">
        <v>=</v>
      </c>
      <c r="D37">
        <f>D36*F36/(H36*J36*L36^2)</f>
        <v>0.0009362576257965044</v>
      </c>
    </row>
    <row r="38">
      <c r="B38" t="str">
        <v>Refer Chart 31 &amp; 32  of Design Aids for Reinforced concrete SP-16 the point lies below the range of applicability. Hence provide minimum percentage of steel.</v>
      </c>
    </row>
    <row r="39">
      <c r="B39" t="str">
        <v>The point lies below the range of applicability. Hence provide minimum percentage of steel</v>
      </c>
    </row>
    <row r="40">
      <c r="B40" t="str">
        <v>CRITERIA 1 FOR MINIMUM STEEL Pt = 0.8 % OF CROSS SECTION AREA OF COLUMN REQUIRED FOR COMPRESSION</v>
      </c>
    </row>
    <row r="42">
      <c r="B42" t="str">
        <v>Area Required due to Compression =</v>
      </c>
      <c r="D42">
        <f>$D$11</f>
        <v>3885.3178173053902</v>
      </c>
      <c r="E42" t="str">
        <f>E33</f>
        <v>x</v>
      </c>
      <c r="F42">
        <f>F33</f>
        <v>1000</v>
      </c>
      <c r="G42" t="str">
        <v>/</v>
      </c>
      <c r="H42">
        <f>$F$22</f>
        <v>8</v>
      </c>
    </row>
    <row r="43">
      <c r="C43" t="str">
        <v>=</v>
      </c>
      <c r="D43">
        <f>D42*F42/H42</f>
        <v>485664.7271631738</v>
      </c>
      <c r="E43" t="str">
        <v>mm2</v>
      </c>
    </row>
    <row r="44">
      <c r="B44" t="str">
        <v>Area of steel @ 0.8% =</v>
      </c>
      <c r="C44">
        <f>0.8</f>
        <v>0.8</v>
      </c>
      <c r="D44" t="str">
        <v>x</v>
      </c>
      <c r="E44">
        <f>D43</f>
        <v>485664.7271631738</v>
      </c>
      <c r="F44" t="str">
        <v>/</v>
      </c>
      <c r="G44">
        <v>100</v>
      </c>
    </row>
    <row r="45">
      <c r="C45" t="str">
        <v>=</v>
      </c>
      <c r="D45">
        <f>C44*E44/100</f>
        <v>3885.3178173053907</v>
      </c>
      <c r="E45" t="str">
        <v>mm2</v>
      </c>
    </row>
    <row r="47">
      <c r="B47" t="str">
        <v xml:space="preserve">CRITERIA 2 FOR MINIMUM STEEL Pt = 0.3 % OF GROSS SECTION AREA OF COLUMN </v>
      </c>
    </row>
    <row r="48">
      <c r="B48" t="str">
        <v>Area of steel @ 0.3% =</v>
      </c>
      <c r="C48">
        <v>0.3</v>
      </c>
      <c r="D48" t="str">
        <v>x</v>
      </c>
      <c r="E48">
        <f>$C$30</f>
        <v>12001.2</v>
      </c>
      <c r="F48" t="str">
        <v xml:space="preserve">x </v>
      </c>
      <c r="G48">
        <f>$E$30</f>
        <v>1201.2</v>
      </c>
      <c r="H48" t="str">
        <v>/</v>
      </c>
      <c r="I48">
        <v>100</v>
      </c>
    </row>
    <row r="49">
      <c r="C49" t="str">
        <v>=</v>
      </c>
      <c r="D49">
        <f>C48*E48*G48/100</f>
        <v>43247.52432</v>
      </c>
      <c r="E49" t="str">
        <v>mm2</v>
      </c>
    </row>
    <row r="50">
      <c r="B50" t="str">
        <v>PROVIDE STEEL AREA</v>
      </c>
      <c r="C50" t="str">
        <v>=</v>
      </c>
      <c r="D50">
        <f>D49</f>
        <v>43247.52432</v>
      </c>
      <c r="E50" t="str">
        <v>mm2</v>
      </c>
    </row>
    <row r="51">
      <c r="B51" t="str">
        <v xml:space="preserve">NO. OF </v>
      </c>
      <c r="C51">
        <v>25</v>
      </c>
      <c r="D51" t="str">
        <v>MM BARS</v>
      </c>
      <c r="E51" t="str">
        <v>=</v>
      </c>
      <c r="F51">
        <f>D50/(0.785*C51^2)</f>
        <v>88.14782027006369</v>
      </c>
      <c r="G51" t="str">
        <v>Nos.</v>
      </c>
    </row>
    <row r="52">
      <c r="B52" t="str">
        <v>SPACING</v>
      </c>
      <c r="C52" t="str">
        <v>=</v>
      </c>
      <c r="D52">
        <f>ROUNDDOWN((2*(E48+G48)/F51),-1)</f>
        <v>290</v>
      </c>
      <c r="E52" t="str">
        <v>MM</v>
      </c>
    </row>
    <row r="53">
      <c r="B53" t="str">
        <v>FOR TRANSVERSE MOMENT</v>
      </c>
    </row>
    <row r="55">
      <c r="B55" t="str">
        <v>Mu/(fck b d2)</v>
      </c>
      <c r="C55" t="str">
        <v>=</v>
      </c>
      <c r="D55">
        <f>H27</f>
        <v>3643.4590973488052</v>
      </c>
      <c r="E55" t="str">
        <f>E36</f>
        <v>x</v>
      </c>
      <c r="F55">
        <f>$F$33*1000</f>
        <v>1000000</v>
      </c>
      <c r="G55" t="str">
        <f>G36</f>
        <v>/ (</v>
      </c>
      <c r="H55">
        <f>$F$21</f>
        <v>30</v>
      </c>
      <c r="I55" t="str">
        <f>I36</f>
        <v>x</v>
      </c>
    </row>
    <row r="56">
      <c r="E56">
        <f>$C$30</f>
        <v>12001.2</v>
      </c>
      <c r="F56" t="str">
        <v xml:space="preserve">x </v>
      </c>
      <c r="G56">
        <f>$E$30</f>
        <v>1201.2</v>
      </c>
      <c r="H56" t="str">
        <v>2 )</v>
      </c>
    </row>
    <row r="57">
      <c r="C57" t="str">
        <v>=</v>
      </c>
      <c r="D57">
        <f>D55*F55/(H55*E56*G56^2)</f>
        <v>0.00701354072728483</v>
      </c>
    </row>
    <row r="58">
      <c r="B58" t="str">
        <v>Refer Chart 31 &amp; 32  of Design Aids for Reinforced concrete SP-16 the point lies below the range of applicability. Hence provide minimum percentage of steel.</v>
      </c>
    </row>
    <row r="59">
      <c r="B59" t="str">
        <v>TRANSVERSE REINFORCEMENT</v>
      </c>
    </row>
    <row r="60">
      <c r="B60" t="str">
        <v>Shear Force to be resisted by the pier In Accordance to IS 1893</v>
      </c>
    </row>
    <row r="61">
      <c r="C61">
        <f>E15</f>
        <v>2428.97273156587</v>
      </c>
      <c r="D61" t="str">
        <v>/</v>
      </c>
      <c r="E61">
        <f>102+1.2+0.925/2-91.79</f>
        <v>11.872500000000002</v>
      </c>
      <c r="F61" t="str">
        <v>=</v>
      </c>
      <c r="G61">
        <f>C61/E61</f>
        <v>204.58814331993005</v>
      </c>
      <c r="H61" t="str">
        <v>kN</v>
      </c>
    </row>
    <row r="62">
      <c r="A62" t="str">
        <v xml:space="preserve">Check for Shear </v>
      </c>
    </row>
    <row r="63">
      <c r="B63" t="str">
        <v>Nominal Shear Stress =</v>
      </c>
      <c r="C63">
        <f>G61</f>
        <v>204.58814331993005</v>
      </c>
      <c r="D63" t="str">
        <v>x</v>
      </c>
      <c r="E63">
        <v>1000</v>
      </c>
      <c r="F63" t="str">
        <v>/ (</v>
      </c>
      <c r="G63">
        <f>E56</f>
        <v>12001.2</v>
      </c>
      <c r="H63" t="str">
        <v>x</v>
      </c>
      <c r="I63">
        <f>G56</f>
        <v>1201.2</v>
      </c>
      <c r="J63" t="str">
        <v>)</v>
      </c>
    </row>
    <row r="64">
      <c r="C64" t="str">
        <v>=</v>
      </c>
      <c r="D64">
        <f>C63*E63/(G63*I63)</f>
        <v>0.014191897446392144</v>
      </c>
      <c r="E64" t="str">
        <v>N/mm2</v>
      </c>
    </row>
    <row r="65">
      <c r="B65" t="str">
        <v>Pt</v>
      </c>
      <c r="C65">
        <f>F51*0.785*C51^2/(E56*G56)*100</f>
        <v>0.3</v>
      </c>
    </row>
    <row r="66">
      <c r="B66" t="str">
        <v>Permissible Shear Stress =</v>
      </c>
      <c r="C66">
        <v>0.4</v>
      </c>
      <c r="D66" t="str">
        <v>N/mm2</v>
      </c>
      <c r="E66" t="str">
        <v>Refer table 61</v>
      </c>
    </row>
    <row r="67">
      <c r="B67" t="str">
        <v>Nominal Shear Reinforcement will suffice</v>
      </c>
    </row>
    <row r="68">
      <c r="B68" t="str">
        <v>According to IRC 21-1987 Clause 306.3</v>
      </c>
    </row>
    <row r="69">
      <c r="B69" t="str">
        <v>Dia of Transverse Reinforcement</v>
      </c>
      <c r="C69" t="str">
        <v>=</v>
      </c>
      <c r="D69">
        <f>C51</f>
        <v>25</v>
      </c>
      <c r="E69" t="str">
        <v>/</v>
      </c>
      <c r="F69">
        <v>4</v>
      </c>
      <c r="G69" t="str">
        <v>=</v>
      </c>
      <c r="H69">
        <f>D69/F69</f>
        <v>6.25</v>
      </c>
      <c r="I69" t="str">
        <v>mm</v>
      </c>
    </row>
    <row r="70">
      <c r="B70" t="str">
        <v>Provide</v>
      </c>
      <c r="C70">
        <v>12</v>
      </c>
      <c r="D70" t="str">
        <v>mm dia rings</v>
      </c>
    </row>
    <row r="71">
      <c r="B71" t="str">
        <v>Pitch of the Transverse should be least of</v>
      </c>
    </row>
    <row r="72">
      <c r="B72" t="str">
        <v>a) Least lateral Dimension =</v>
      </c>
      <c r="C72">
        <f>I63</f>
        <v>1201.2</v>
      </c>
      <c r="D72" t="str">
        <v>mm</v>
      </c>
    </row>
    <row r="73">
      <c r="B73" t="str">
        <v>b) 12 d =</v>
      </c>
      <c r="C73">
        <v>12</v>
      </c>
      <c r="D73" t="str">
        <v>x</v>
      </c>
      <c r="E73">
        <f>C70</f>
        <v>12</v>
      </c>
      <c r="F73" t="str">
        <v>=</v>
      </c>
      <c r="G73">
        <f>C73*E73</f>
        <v>144</v>
      </c>
      <c r="H73" t="str">
        <v>mm</v>
      </c>
    </row>
    <row r="74">
      <c r="B74" t="str">
        <v>c) 300 mm =</v>
      </c>
      <c r="C74">
        <v>300</v>
      </c>
      <c r="D74" t="str">
        <v>mm</v>
      </c>
    </row>
    <row r="75">
      <c r="B75" t="str">
        <v>d) As per IS IS 13920:1993 Cl. 7.4.6</v>
      </c>
      <c r="C75" t="str">
        <v>&lt; or =</v>
      </c>
      <c r="D75">
        <v>100</v>
      </c>
      <c r="E75" t="str">
        <v>mm</v>
      </c>
    </row>
    <row r="76">
      <c r="B76" t="str">
        <v>Provide</v>
      </c>
      <c r="C76">
        <f>C70</f>
        <v>12</v>
      </c>
      <c r="D76" t="str">
        <v>mm dia rings @</v>
      </c>
      <c r="F76">
        <v>100</v>
      </c>
      <c r="G76" t="str">
        <v>mm c/c.</v>
      </c>
    </row>
    <row r="77">
      <c r="B77" t="str">
        <v>This spacing is in accordance to IS 13920:1993 Cl. 7.4.6</v>
      </c>
    </row>
    <row r="78">
      <c r="B78" t="str">
        <v>CODE OF PRACTICE FOR DUCTILE DETAILING OF REINFORCED CONCRETE STRUCTURES SUBJECTED TO SEISMIC FORCES</v>
      </c>
    </row>
    <row r="79">
      <c r="B79" t="str">
        <v>Check for Size of Hoop Reinforcement</v>
      </c>
      <c r="D79" t="str">
        <v>Refer IS 13920:1993 Cl. 7.4.8</v>
      </c>
    </row>
    <row r="80">
      <c r="C80" t="str">
        <v>Ash= 0.18 Sh (Fck/Fy)x(Ag/Ak-1)</v>
      </c>
    </row>
    <row r="81">
      <c r="B81" t="str">
        <v>S</v>
      </c>
      <c r="C81" t="str">
        <v>=</v>
      </c>
      <c r="D81">
        <f>F76</f>
        <v>100</v>
      </c>
      <c r="E81" t="str">
        <v>mm</v>
      </c>
    </row>
    <row r="82">
      <c r="B82" t="str">
        <v>h</v>
      </c>
      <c r="C82" t="str">
        <v>=</v>
      </c>
      <c r="D82">
        <v>300</v>
      </c>
      <c r="E82" t="str">
        <v>N/mm2</v>
      </c>
      <c r="F82" t="str">
        <v>(Spacing of long. bars+ effective cover) or 300 mm whichever is less</v>
      </c>
    </row>
    <row r="83">
      <c r="B83" t="str">
        <v>Fck</v>
      </c>
      <c r="C83" t="str">
        <v>=</v>
      </c>
      <c r="D83">
        <v>30</v>
      </c>
      <c r="E83" t="str">
        <v>N/mm2</v>
      </c>
      <c r="H83" t="str">
        <v>Cover 75 mm to main reinforcement</v>
      </c>
    </row>
    <row r="84">
      <c r="B84" t="str">
        <v>Fy</v>
      </c>
      <c r="C84" t="str">
        <v>=</v>
      </c>
      <c r="D84">
        <v>415</v>
      </c>
      <c r="E84" t="str">
        <v>N/mm2</v>
      </c>
    </row>
    <row r="85">
      <c r="B85" t="str">
        <v>Ag</v>
      </c>
      <c r="C85" t="str">
        <v>=</v>
      </c>
      <c r="D85">
        <f>G48*1</f>
        <v>1201.2</v>
      </c>
      <c r="E85" t="str">
        <v>mm2</v>
      </c>
      <c r="F85" t="str">
        <v>Considering 1 mm Wide Pier</v>
      </c>
    </row>
    <row r="86">
      <c r="B86" t="str">
        <v>Ak</v>
      </c>
      <c r="C86" t="str">
        <v>=</v>
      </c>
      <c r="D86">
        <f>D85-2*(75-C51/2-C76)</f>
        <v>1100.2</v>
      </c>
      <c r="E86" t="str">
        <v>mm2</v>
      </c>
      <c r="F86" t="str">
        <v xml:space="preserve">Considering 1 mm Wide Pier Effective </v>
      </c>
    </row>
    <row r="87">
      <c r="B87" t="str">
        <v>Hence Ash</v>
      </c>
      <c r="C87" t="str">
        <v>=</v>
      </c>
      <c r="D87">
        <f>0.18*D81*D82*(D83/D84)*(D85/D86-1)</f>
        <v>35.83576261052205</v>
      </c>
      <c r="E87" t="str">
        <v>mm2</v>
      </c>
    </row>
    <row r="88">
      <c r="B88" t="str">
        <v>Ash ProvideD</v>
      </c>
      <c r="C88" t="str">
        <v>=</v>
      </c>
      <c r="D88">
        <f>0.785*C76^2</f>
        <v>113.04</v>
      </c>
      <c r="E88" t="str">
        <v>mm2</v>
      </c>
      <c r="F88" t="str">
        <v>Which is OK</v>
      </c>
    </row>
    <row r="89">
      <c r="B89" t="str">
        <v>d) As per IS IS 13920:1993 Cl. 7.4.6</v>
      </c>
      <c r="C89" t="str">
        <v>&lt; or =</v>
      </c>
      <c r="D89">
        <v>100</v>
      </c>
      <c r="E89" t="str">
        <v>mm</v>
      </c>
    </row>
    <row r="90">
      <c r="B90" t="str">
        <v>Provide</v>
      </c>
      <c r="C90">
        <f>C70</f>
        <v>12</v>
      </c>
      <c r="D90" t="str">
        <v>mm dia rings @</v>
      </c>
      <c r="F90">
        <v>100</v>
      </c>
      <c r="G90" t="str">
        <v>mm c/c.</v>
      </c>
    </row>
    <row r="91">
      <c r="B91" t="str">
        <v>This spacing is in accordance to IS 13920:1993 Cl. 7.4.6</v>
      </c>
    </row>
    <row r="92">
      <c r="B92" t="str">
        <v>CODE OF PRACTICE FORDUCTILE DETAILING OF REINFORCED CONCRETE STRUCTURES SUBJECTED TO SEISMIC FORCES</v>
      </c>
    </row>
    <row r="93">
      <c r="B93" t="str">
        <v>ABSTRACT</v>
      </c>
    </row>
    <row r="94">
      <c r="B94" t="str">
        <v>LONGITUDINAL REINFORCEMENT</v>
      </c>
      <c r="C94">
        <f>C51</f>
        <v>25</v>
      </c>
      <c r="D94" t="str">
        <v>MM BARS</v>
      </c>
      <c r="E94">
        <f>D52</f>
        <v>290</v>
      </c>
      <c r="F94" t="str">
        <v>MM</v>
      </c>
      <c r="G94" t="str">
        <v>However Adopt spacing as 250 mm</v>
      </c>
    </row>
    <row r="95">
      <c r="B95" t="str">
        <v>TRANSVERSE REINFORCEMENT</v>
      </c>
      <c r="C95" t="str">
        <f>CONCATENATE("   ",C90,D90,F90,G90)</f>
        <v xml:space="preserve">   12mm dia rings @100mm c/c.</v>
      </c>
    </row>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sheetData>
    <row r="1">
      <c r="A1" t="str">
        <v xml:space="preserve">REINFORCEMENT CALCULATION IN PIER </v>
      </c>
    </row>
    <row r="2">
      <c r="A2" t="str">
        <f>'STEEL IN FLARED  PIER BASE '!A2:O2</f>
        <v>Name Of Work :- Construction of Submersible Bridge on ON KHERWARA - JAWAS - SUVERI ROAD IN KM 9/000, ACROSS RIVER SOM</v>
      </c>
    </row>
    <row r="3">
      <c r="B3" t="str">
        <v>R.L.</v>
      </c>
      <c r="C3">
        <f>'STEEL IN FLARED  PIER BASE '!E3</f>
        <v>93.56999999999998</v>
      </c>
      <c r="D3" t="str">
        <v>M TO</v>
      </c>
      <c r="E3">
        <f>102-1.2</f>
        <v>100.8</v>
      </c>
      <c r="F3" t="str">
        <v>M</v>
      </c>
    </row>
    <row r="4">
      <c r="A4" t="str">
        <v>FOR SERVICE CONDITION</v>
      </c>
    </row>
    <row r="5">
      <c r="B5" t="str">
        <v>VERTICAL LOADS</v>
      </c>
    </row>
    <row r="6">
      <c r="B6" t="str">
        <f>'STABILITY CHECK FOR PIER'!B201</f>
        <v>SUPER STRUCTURE</v>
      </c>
      <c r="C6" t="str">
        <f>'STABILITY CHECK FOR PIER'!C201</f>
        <v>=</v>
      </c>
      <c r="D6">
        <f>'STABILITY CHECK FOR PIER'!D201</f>
        <v>1463.6159999999998</v>
      </c>
      <c r="E6" t="str">
        <f>'STABILITY CHECK FOR PIER'!E201</f>
        <v>kN</v>
      </c>
    </row>
    <row r="7">
      <c r="B7" t="str">
        <f>'STABILITY CHECK FOR PIER'!B202</f>
        <v>SUB STRUCTURE</v>
      </c>
      <c r="C7" t="str">
        <f>'STABILITY CHECK FOR PIER'!C202</f>
        <v>=</v>
      </c>
      <c r="D7">
        <f>'STABILITY CHECK FOR PIER'!D202</f>
        <v>2821.2050880000015</v>
      </c>
      <c r="E7" t="str">
        <f>'STABILITY CHECK FOR PIER'!E202</f>
        <v>kN</v>
      </c>
      <c r="F7" t="str">
        <f>'STABILITY CHECK FOR PIER'!F202</f>
        <v>Without Buoyancy</v>
      </c>
    </row>
    <row r="8">
      <c r="B8" t="str">
        <f>'STABILITY CHECK FOR PIER'!B203</f>
        <v>SUB STRUCTURE</v>
      </c>
      <c r="C8" t="str">
        <f>'STABILITY CHECK FOR PIER'!C203</f>
        <v>=</v>
      </c>
      <c r="D8">
        <f>'STABILITY CHECK FOR PIER'!D203</f>
        <v>2271.835470000002</v>
      </c>
      <c r="E8" t="str">
        <f>'STABILITY CHECK FOR PIER'!E203</f>
        <v>kN</v>
      </c>
      <c r="F8" t="str">
        <f>'STABILITY CHECK FOR PIER'!F203</f>
        <v>With Buoyancy</v>
      </c>
    </row>
    <row r="9">
      <c r="B9" t="str">
        <f>'STABILITY CHECK FOR PIER'!B204</f>
        <v xml:space="preserve">LIVE LOAD </v>
      </c>
      <c r="C9" t="str">
        <f>'STABILITY CHECK FOR PIER'!C204</f>
        <v>=</v>
      </c>
      <c r="D9">
        <f>'STABILITY CHECK FOR PIER'!D204</f>
        <v>788.2663473053892</v>
      </c>
      <c r="E9" t="str">
        <f>'STABILITY CHECK FOR PIER'!E204</f>
        <v>kN</v>
      </c>
    </row>
    <row r="10">
      <c r="B10" t="str">
        <f>'STABILITY CHECK FOR PIER'!B205</f>
        <v>Total Load without Buoyancy</v>
      </c>
      <c r="C10" t="str">
        <f>'STABILITY CHECK FOR PIER'!C205</f>
        <v>=</v>
      </c>
      <c r="D10">
        <f>'STABILITY CHECK FOR PIER'!D205</f>
        <v>5073.0874353053905</v>
      </c>
      <c r="E10" t="str">
        <f>'STABILITY CHECK FOR PIER'!E205</f>
        <v>kN</v>
      </c>
    </row>
    <row r="11">
      <c r="B11" t="str">
        <f>'STABILITY CHECK FOR PIER'!B206</f>
        <v>Total Load with Buoyancy</v>
      </c>
      <c r="C11" t="str">
        <f>'STABILITY CHECK FOR PIER'!C206</f>
        <v>=</v>
      </c>
      <c r="D11">
        <f>'STABILITY CHECK FOR PIER'!D206</f>
        <v>4523.717817305391</v>
      </c>
      <c r="E11" t="str">
        <f>'STABILITY CHECK FOR PIER'!E206</f>
        <v>kN</v>
      </c>
    </row>
    <row r="12">
      <c r="B12" t="str">
        <f>'STABILITY CHECK FOR PIER'!B422</f>
        <v>Total LONGITUDINAL MOMENT</v>
      </c>
    </row>
    <row r="13">
      <c r="B13" t="str">
        <v>Moment @ R. L.</v>
      </c>
      <c r="C13">
        <f>C3</f>
        <v>93.56999999999998</v>
      </c>
      <c r="D13" t="str">
        <f>D15</f>
        <v>M =</v>
      </c>
      <c r="E13">
        <f>'STABILITY CHECK FOR PIER'!H207</f>
        <v>356.81410292867747</v>
      </c>
      <c r="F13" t="str">
        <f>'STABILITY CHECK FOR PIER'!K115</f>
        <v>kN-m</v>
      </c>
    </row>
    <row r="14">
      <c r="B14" t="str">
        <f>'STABILITY CHECK FOR PIER'!B423</f>
        <v>Total TRANSVERSE MOMENT</v>
      </c>
    </row>
    <row r="15">
      <c r="B15" t="str">
        <v>Moment @ R. L.</v>
      </c>
      <c r="C15">
        <f>C3</f>
        <v>93.56999999999998</v>
      </c>
      <c r="D15" t="str">
        <f>'STABILITY CHECK FOR PIER'!E155</f>
        <v>M =</v>
      </c>
      <c r="E15">
        <f>'STABILITY CHECK FOR PIER'!H208</f>
        <v>2360.441980772989</v>
      </c>
      <c r="F15" t="str">
        <f>'STABILITY CHECK FOR PIER'!K156</f>
        <v>kN-m</v>
      </c>
    </row>
    <row r="16">
      <c r="B16" t="str">
        <f>[1]TROUGH!A21</f>
        <v>CONCRETE MIX</v>
      </c>
      <c r="D16" t="str">
        <f>'STEEL IN FLARED  PIER BASE '!D16</f>
        <v>M-25</v>
      </c>
    </row>
    <row r="17">
      <c r="B17" t="str">
        <f>[1]TROUGH!A22</f>
        <v>CHARACTERISTIC STRENGTH OF REINFORCEMENT</v>
      </c>
      <c r="F17">
        <f>[1]TROUGH!F22</f>
        <v>415</v>
      </c>
      <c r="G17" t="str">
        <f>[1]TROUGH!G22</f>
        <v>N/mm2</v>
      </c>
    </row>
    <row r="18">
      <c r="B18" t="str">
        <f>[1]TROUGH!A23</f>
        <v>PERMISSIBLE STRESSES</v>
      </c>
    </row>
    <row r="19">
      <c r="B19" t="str">
        <f>[1]TROUGH!B24</f>
        <v>IN STEEL</v>
      </c>
      <c r="D19">
        <v>190</v>
      </c>
    </row>
    <row r="20">
      <c r="B20" t="str">
        <f>[1]TROUGH!B31</f>
        <v>IN CONCRETE</v>
      </c>
    </row>
    <row r="21">
      <c r="B21" t="str">
        <v>CHARACTERISTIC STRENGTH OF Concrete</v>
      </c>
      <c r="D21" t="str">
        <v>fck</v>
      </c>
      <c r="E21" t="str">
        <v>=</v>
      </c>
      <c r="F21">
        <v>30</v>
      </c>
      <c r="G21" t="str">
        <v>N/mm2</v>
      </c>
    </row>
    <row r="22">
      <c r="B22" t="str">
        <f>[1]TROUGH!B32</f>
        <v>Permissible Compressive Stress in Bending</v>
      </c>
      <c r="D22" t="str">
        <f>[1]TROUGH!C32</f>
        <v>σcbc</v>
      </c>
      <c r="E22" t="str">
        <f>[1]TROUGH!D32</f>
        <v>=</v>
      </c>
      <c r="F22">
        <v>8</v>
      </c>
      <c r="G22" t="str">
        <f>[1]TROUGH!F32</f>
        <v>N/mm2</v>
      </c>
    </row>
    <row r="23">
      <c r="B23" t="str">
        <f>[1]TROUGH!B33</f>
        <v>Permissible Compressive Stress in Direct Compression</v>
      </c>
      <c r="D23" t="str">
        <f>[1]TROUGH!C33</f>
        <v>σcc</v>
      </c>
      <c r="E23" t="str">
        <f>[1]TROUGH!D33</f>
        <v>=</v>
      </c>
      <c r="F23">
        <f>[1]TROUGH!E33</f>
        <v>8</v>
      </c>
      <c r="G23" t="str">
        <f>[1]TROUGH!F33</f>
        <v>N/mm2</v>
      </c>
    </row>
    <row r="24">
      <c r="D24" t="str">
        <f>[1]TROUGH!C34</f>
        <v>σct</v>
      </c>
      <c r="E24" t="str">
        <f>[1]TROUGH!D34</f>
        <v>=</v>
      </c>
      <c r="F24">
        <f>[1]TROUGH!E34</f>
        <v>3.6</v>
      </c>
      <c r="G24" t="str">
        <f>[1]TROUGH!F34</f>
        <v>N/mm2</v>
      </c>
    </row>
    <row r="25">
      <c r="B25" t="str">
        <v xml:space="preserve">Ultimate Axial Load PU </v>
      </c>
      <c r="C25" t="str">
        <v>=</v>
      </c>
      <c r="D25">
        <v>1.5</v>
      </c>
      <c r="E25" t="str">
        <v>X</v>
      </c>
      <c r="F25">
        <f>D10</f>
        <v>5073.0874353053905</v>
      </c>
      <c r="G25" t="str">
        <v>=</v>
      </c>
      <c r="H25">
        <f>D25*F25</f>
        <v>7609.631152958085</v>
      </c>
      <c r="I25" t="str">
        <v>kN</v>
      </c>
    </row>
    <row r="26">
      <c r="B26" t="str">
        <v xml:space="preserve">Ultimate Longitudinal Moment MU </v>
      </c>
      <c r="C26" t="str">
        <v>=</v>
      </c>
      <c r="D26">
        <v>1.5</v>
      </c>
      <c r="E26" t="str">
        <v>X</v>
      </c>
      <c r="F26">
        <f>E13</f>
        <v>356.81410292867747</v>
      </c>
      <c r="G26" t="str">
        <v>=</v>
      </c>
      <c r="H26">
        <f>D26*F26</f>
        <v>535.2211543930161</v>
      </c>
      <c r="I26" t="str">
        <v>kN-m</v>
      </c>
    </row>
    <row r="27">
      <c r="B27" t="str">
        <v xml:space="preserve">Ultimate Transverse Moment MU </v>
      </c>
      <c r="C27" t="str">
        <v>=</v>
      </c>
      <c r="D27">
        <v>1.5</v>
      </c>
      <c r="E27" t="str">
        <v>X</v>
      </c>
      <c r="F27">
        <f>E15</f>
        <v>2360.441980772989</v>
      </c>
      <c r="G27" t="str">
        <v>=</v>
      </c>
      <c r="H27">
        <f>D27*F27</f>
        <v>3540.6629711594837</v>
      </c>
      <c r="I27" t="str">
        <v>kN-m</v>
      </c>
    </row>
    <row r="28">
      <c r="B28" t="str">
        <v>INCREASE WHEN WIND CONDITION IS CONSIDERED</v>
      </c>
      <c r="F28">
        <v>33.33</v>
      </c>
      <c r="G28" t="str">
        <v>%</v>
      </c>
    </row>
    <row r="29">
      <c r="B29" t="str">
        <v>Neglecting area of Cut and Ease water parts Rectangular Section considered is</v>
      </c>
    </row>
    <row r="30">
      <c r="C30">
        <v>12000</v>
      </c>
      <c r="D30" t="str">
        <v xml:space="preserve"> mm x</v>
      </c>
      <c r="E30">
        <v>1200</v>
      </c>
      <c r="F30" t="str">
        <v>mm</v>
      </c>
    </row>
    <row r="31">
      <c r="C31" t="str">
        <v>Assume cover as</v>
      </c>
      <c r="D31">
        <v>75</v>
      </c>
    </row>
    <row r="32">
      <c r="B32" t="str">
        <v>d1/d</v>
      </c>
      <c r="C32" t="str">
        <v>=</v>
      </c>
      <c r="D32">
        <f>D31+C51/2</f>
        <v>87.5</v>
      </c>
      <c r="E32" t="str">
        <v>/</v>
      </c>
      <c r="F32">
        <f>E30</f>
        <v>1200</v>
      </c>
      <c r="G32" t="str">
        <v>=</v>
      </c>
      <c r="H32">
        <f>D32/F32</f>
        <v>0.07291666666666667</v>
      </c>
    </row>
    <row r="33">
      <c r="B33" t="str">
        <v>PU/(fck b d)</v>
      </c>
      <c r="C33" t="str">
        <v>=</v>
      </c>
      <c r="D33">
        <f>H25</f>
        <v>7609.631152958085</v>
      </c>
      <c r="E33" t="str">
        <v>x</v>
      </c>
      <c r="F33">
        <v>1000</v>
      </c>
      <c r="G33" t="str">
        <v>/ (</v>
      </c>
      <c r="H33">
        <f>$F$21</f>
        <v>30</v>
      </c>
      <c r="I33" t="str">
        <v>x</v>
      </c>
      <c r="J33">
        <f>$C$30</f>
        <v>12000</v>
      </c>
      <c r="K33" t="str">
        <v xml:space="preserve">x </v>
      </c>
      <c r="L33">
        <f>$E$30</f>
        <v>1200</v>
      </c>
      <c r="M33" t="str">
        <v>)</v>
      </c>
    </row>
    <row r="34">
      <c r="C34" t="str">
        <v>=</v>
      </c>
      <c r="D34">
        <f>D33*F33/(H33*J33*L33)</f>
        <v>0.017614886928143718</v>
      </c>
    </row>
    <row r="35">
      <c r="B35" t="str">
        <v>FOR LONGITUDINAL MOMENT</v>
      </c>
    </row>
    <row r="36">
      <c r="B36" t="str">
        <v>Mu/(fck b d2)</v>
      </c>
      <c r="C36" t="str">
        <v>=</v>
      </c>
      <c r="D36">
        <f>H26</f>
        <v>535.2211543930161</v>
      </c>
      <c r="E36" t="str">
        <f>E33</f>
        <v>x</v>
      </c>
      <c r="F36">
        <f>$F$33*1000</f>
        <v>1000000</v>
      </c>
      <c r="G36" t="str">
        <v>/ (</v>
      </c>
      <c r="H36">
        <f>$F$21</f>
        <v>30</v>
      </c>
      <c r="I36" t="str">
        <v>x</v>
      </c>
      <c r="J36">
        <f>$C$30</f>
        <v>12000</v>
      </c>
      <c r="K36" t="str">
        <v xml:space="preserve">x </v>
      </c>
      <c r="L36">
        <f>$E$30</f>
        <v>1200</v>
      </c>
      <c r="M36" t="str">
        <v>2 )</v>
      </c>
    </row>
    <row r="37">
      <c r="C37" t="str">
        <v>=</v>
      </c>
      <c r="D37">
        <f>D36*F36/(H36*J36*L36^2)</f>
        <v>0.001032448214492701</v>
      </c>
    </row>
    <row r="38">
      <c r="B38" t="str">
        <v>Refer Chart 31 &amp; 32  of Design Aids for Reinforced concrete SP-16 the point lies below the range of applicability. Hence provide minimum percentage of steel.</v>
      </c>
    </row>
    <row r="39">
      <c r="B39" t="str">
        <v>The point lies below the range of applicability. Hence provide minimum percentage of steel</v>
      </c>
    </row>
    <row r="40">
      <c r="B40" t="str">
        <v>CRITERIA 1 FOR MINIMUM STEEL Pt = 0.8 % OF CROSS SECTION AREA OF COLUMN REQUIRED FOR COMPRESSION</v>
      </c>
    </row>
    <row r="42">
      <c r="B42" t="str">
        <v>Area Required due to Compression =</v>
      </c>
      <c r="D42">
        <f>$D$11</f>
        <v>4523.717817305391</v>
      </c>
      <c r="E42" t="str">
        <f>E33</f>
        <v>x</v>
      </c>
      <c r="F42">
        <f>F33</f>
        <v>1000</v>
      </c>
      <c r="G42" t="str">
        <v>/</v>
      </c>
      <c r="H42">
        <f>$F$22</f>
        <v>8</v>
      </c>
    </row>
    <row r="43">
      <c r="C43" t="str">
        <v>=</v>
      </c>
      <c r="D43">
        <f>D42*F42/H42</f>
        <v>565464.7271631738</v>
      </c>
      <c r="E43" t="str">
        <v>mm2</v>
      </c>
    </row>
    <row r="44">
      <c r="B44" t="str">
        <v>Area of steel @ 0.8% =</v>
      </c>
      <c r="C44">
        <f>0.8</f>
        <v>0.8</v>
      </c>
      <c r="D44" t="str">
        <v>x</v>
      </c>
      <c r="E44">
        <f>D43</f>
        <v>565464.7271631738</v>
      </c>
      <c r="F44" t="str">
        <v>/</v>
      </c>
      <c r="G44">
        <v>100</v>
      </c>
    </row>
    <row r="45">
      <c r="C45" t="str">
        <v>=</v>
      </c>
      <c r="D45">
        <f>C44*E44/100</f>
        <v>4523.717817305391</v>
      </c>
      <c r="E45" t="str">
        <v>mm2</v>
      </c>
    </row>
    <row r="47">
      <c r="B47" t="str">
        <v xml:space="preserve">CRITERIA 2 FOR MINIMUM STEEL Pt = 0.3 % OF GROSS SECTION AREA OF COLUMN </v>
      </c>
    </row>
    <row r="48">
      <c r="B48" t="str">
        <v>Area of steel @ 0.3% =</v>
      </c>
      <c r="C48">
        <v>0.3</v>
      </c>
      <c r="D48" t="str">
        <v>x</v>
      </c>
      <c r="E48">
        <f>C30</f>
        <v>12000</v>
      </c>
      <c r="F48" t="str">
        <v xml:space="preserve">x </v>
      </c>
      <c r="G48">
        <f>$E$30</f>
        <v>1200</v>
      </c>
      <c r="H48" t="str">
        <v>/</v>
      </c>
      <c r="I48">
        <v>100</v>
      </c>
    </row>
    <row r="49">
      <c r="C49" t="str">
        <v>=</v>
      </c>
      <c r="D49">
        <f>C48*E48*G48/100</f>
        <v>43200</v>
      </c>
      <c r="E49" t="str">
        <v>mm2</v>
      </c>
    </row>
    <row r="50">
      <c r="B50" t="str">
        <v>PROVIDE STEEL AREA</v>
      </c>
      <c r="C50" t="str">
        <v>=</v>
      </c>
      <c r="D50">
        <f>D49</f>
        <v>43200</v>
      </c>
      <c r="E50" t="str">
        <v>mm2</v>
      </c>
    </row>
    <row r="51">
      <c r="B51" t="str">
        <v xml:space="preserve">NO. OF </v>
      </c>
      <c r="C51">
        <v>25</v>
      </c>
      <c r="D51" t="str">
        <v>MM BARS</v>
      </c>
      <c r="E51" t="str">
        <v>=</v>
      </c>
      <c r="F51">
        <f>D50/(0.785*C51^2)</f>
        <v>88.05095541401273</v>
      </c>
      <c r="G51" t="str">
        <v>Nos.</v>
      </c>
    </row>
    <row r="52">
      <c r="B52" t="str">
        <v>SPACING</v>
      </c>
      <c r="C52" t="str">
        <v>=</v>
      </c>
      <c r="D52">
        <f>ROUNDDOWN((2*(E48+G48)/F51),-1)</f>
        <v>290</v>
      </c>
      <c r="E52" t="str">
        <v>MM</v>
      </c>
    </row>
    <row r="53">
      <c r="B53" t="str">
        <v>FOR TRANSVERSE MOMENT</v>
      </c>
    </row>
    <row r="55">
      <c r="B55" t="str">
        <v>Mu/(fck b d2)</v>
      </c>
      <c r="C55" t="str">
        <v>=</v>
      </c>
      <c r="D55">
        <f>H27</f>
        <v>3540.6629711594837</v>
      </c>
      <c r="E55" t="str">
        <f>E36</f>
        <v>x</v>
      </c>
      <c r="F55">
        <f>$F$33*1000</f>
        <v>1000000</v>
      </c>
      <c r="G55" t="str">
        <f>G36</f>
        <v>/ (</v>
      </c>
      <c r="H55">
        <f>$F$21</f>
        <v>30</v>
      </c>
      <c r="I55" t="str">
        <f>I36</f>
        <v>x</v>
      </c>
    </row>
    <row r="56">
      <c r="E56">
        <f>$C$30</f>
        <v>12000</v>
      </c>
      <c r="F56" t="str">
        <v xml:space="preserve">x </v>
      </c>
      <c r="G56">
        <f>$E$30</f>
        <v>1200</v>
      </c>
      <c r="H56" t="str">
        <v>2 )</v>
      </c>
    </row>
    <row r="57">
      <c r="C57" t="str">
        <v>=</v>
      </c>
      <c r="D57">
        <f>D55*F55/(H55*E56*G56^2)</f>
        <v>0.006829982583255177</v>
      </c>
    </row>
    <row r="58">
      <c r="B58" t="str">
        <v>Refer Chart 31 &amp; 32  of Design Aids for Reinforced concrete SP-16 the point lies below the range of applicability. Hence provide minimum percentage of steel.</v>
      </c>
    </row>
    <row r="59">
      <c r="B59" t="str">
        <v>TRANSVERSE REINFORCEMENT</v>
      </c>
    </row>
    <row r="60">
      <c r="B60" t="str">
        <v>Shear Force to be resisted by the pier In Accordance to IS 1893</v>
      </c>
    </row>
    <row r="61">
      <c r="C61">
        <f>E15</f>
        <v>2360.441980772989</v>
      </c>
      <c r="D61" t="str">
        <v>/</v>
      </c>
      <c r="E61">
        <f>102+1.2+0.925/2-91.79</f>
        <v>11.872500000000002</v>
      </c>
      <c r="F61" t="str">
        <v>=</v>
      </c>
      <c r="G61">
        <f>C61/E61</f>
        <v>198.8159175214141</v>
      </c>
      <c r="H61" t="str">
        <v>kN</v>
      </c>
    </row>
    <row r="62">
      <c r="A62" t="str">
        <v xml:space="preserve">Check for Shear </v>
      </c>
    </row>
    <row r="63">
      <c r="B63" t="str">
        <v>Nominal Shear Stress =</v>
      </c>
      <c r="C63">
        <f>G61</f>
        <v>198.8159175214141</v>
      </c>
      <c r="D63" t="str">
        <v>x</v>
      </c>
      <c r="E63">
        <v>1000</v>
      </c>
      <c r="F63" t="str">
        <v>/ (</v>
      </c>
      <c r="G63">
        <f>E56</f>
        <v>12000</v>
      </c>
      <c r="H63" t="str">
        <v>x</v>
      </c>
      <c r="I63">
        <f>G56</f>
        <v>1200</v>
      </c>
      <c r="J63" t="str">
        <v>)</v>
      </c>
    </row>
    <row r="64">
      <c r="C64" t="str">
        <v>=</v>
      </c>
      <c r="D64">
        <f>C63*E63/(G63*I63)</f>
        <v>0.01380666093898709</v>
      </c>
      <c r="E64" t="str">
        <v>N/mm2</v>
      </c>
    </row>
    <row r="65">
      <c r="B65" t="str">
        <v>Pt</v>
      </c>
      <c r="C65">
        <f>F51*0.785*C51^2/(E56*G56)*100</f>
        <v>0.3</v>
      </c>
    </row>
    <row r="66">
      <c r="B66" t="str">
        <v>Permissible Shear Stress =</v>
      </c>
      <c r="C66">
        <v>0.4</v>
      </c>
      <c r="D66" t="str">
        <v>N/mm2</v>
      </c>
      <c r="E66" t="str">
        <v>Refer table 61</v>
      </c>
    </row>
    <row r="67">
      <c r="B67" t="str">
        <v>Nominal Shear Reinforcement will suffice</v>
      </c>
    </row>
    <row r="68">
      <c r="B68" t="str">
        <v>According to IRC 21-1987 Clause 306.3</v>
      </c>
    </row>
    <row r="69">
      <c r="B69" t="str">
        <v>Dia of Transverse Reinforcement</v>
      </c>
      <c r="C69" t="str">
        <v>=</v>
      </c>
      <c r="D69">
        <f>C51</f>
        <v>25</v>
      </c>
      <c r="E69" t="str">
        <v>/</v>
      </c>
      <c r="F69">
        <v>4</v>
      </c>
      <c r="G69" t="str">
        <v>=</v>
      </c>
      <c r="H69">
        <f>D69/F69</f>
        <v>6.25</v>
      </c>
      <c r="I69" t="str">
        <v>mm</v>
      </c>
    </row>
    <row r="70">
      <c r="B70" t="str">
        <v>Provide</v>
      </c>
      <c r="C70">
        <v>12</v>
      </c>
      <c r="D70" t="str">
        <v>mm dia rings</v>
      </c>
    </row>
    <row r="71">
      <c r="B71" t="str">
        <v>Pitch of the Transverse should be least of</v>
      </c>
    </row>
    <row r="72">
      <c r="B72" t="str">
        <v>a) Least lateral Dimension =</v>
      </c>
      <c r="C72">
        <f>I63</f>
        <v>1200</v>
      </c>
      <c r="D72" t="str">
        <v>mm</v>
      </c>
    </row>
    <row r="73">
      <c r="B73" t="str">
        <v>b) 12 d =</v>
      </c>
      <c r="C73">
        <v>12</v>
      </c>
      <c r="D73" t="str">
        <v>x</v>
      </c>
      <c r="E73">
        <f>C70</f>
        <v>12</v>
      </c>
      <c r="F73" t="str">
        <v>=</v>
      </c>
      <c r="G73">
        <f>C73*E73</f>
        <v>144</v>
      </c>
      <c r="H73" t="str">
        <v>mm</v>
      </c>
    </row>
    <row r="74">
      <c r="B74" t="str">
        <v>c) 300 mm =</v>
      </c>
      <c r="C74">
        <v>300</v>
      </c>
      <c r="D74" t="str">
        <v>mm</v>
      </c>
    </row>
    <row r="75">
      <c r="B75" t="str">
        <v>d) As per IS IS 13920:1993 Cl. 7.4.6</v>
      </c>
      <c r="C75" t="str">
        <v>&lt; or =</v>
      </c>
      <c r="D75">
        <v>100</v>
      </c>
      <c r="E75" t="str">
        <v>mm</v>
      </c>
    </row>
    <row r="76">
      <c r="B76" t="str">
        <v>Provide</v>
      </c>
      <c r="C76">
        <f>C70</f>
        <v>12</v>
      </c>
      <c r="D76" t="str">
        <v>mm dia rings @</v>
      </c>
      <c r="F76">
        <v>100</v>
      </c>
      <c r="G76" t="str">
        <v>mm c/c.</v>
      </c>
    </row>
    <row r="77">
      <c r="B77" t="str">
        <v>This spacing is in accordance to IS 13920:1993 Cl. 7.4.6</v>
      </c>
    </row>
    <row r="78">
      <c r="B78" t="str">
        <v>CODE OF PRACTICE FOR DUCTILE DETAILING OF REINFORCED CONCRETE STRUCTURES SUBJECTED TO SEISMIC FORCES</v>
      </c>
    </row>
    <row r="79">
      <c r="B79" t="str">
        <v>Check for Size of Hoop Reinforcement</v>
      </c>
      <c r="D79" t="str">
        <v>Refer IS 13920:1993 Cl. 7.4.8</v>
      </c>
    </row>
    <row r="80">
      <c r="C80" t="str">
        <v>Ash= 0.18 Sh (Fck/Fy)x(Ag/Ak-1)</v>
      </c>
    </row>
    <row r="81">
      <c r="B81" t="str">
        <v>S</v>
      </c>
      <c r="C81" t="str">
        <v>=</v>
      </c>
      <c r="D81">
        <f>F76</f>
        <v>100</v>
      </c>
      <c r="E81" t="str">
        <v>mm</v>
      </c>
    </row>
    <row r="82">
      <c r="B82" t="str">
        <v>h</v>
      </c>
      <c r="C82" t="str">
        <v>=</v>
      </c>
      <c r="D82">
        <v>300</v>
      </c>
      <c r="E82" t="str">
        <v>N/mm2</v>
      </c>
      <c r="F82" t="str">
        <v>(Spacing of long. bars+ effective cover) or 300 mm whichever is less</v>
      </c>
    </row>
    <row r="83">
      <c r="B83" t="str">
        <v>Fck</v>
      </c>
      <c r="C83" t="str">
        <v>=</v>
      </c>
      <c r="D83">
        <v>30</v>
      </c>
      <c r="E83" t="str">
        <v>N/mm2</v>
      </c>
      <c r="H83" t="str">
        <v>Cover 75 mm to main reinforcement</v>
      </c>
    </row>
    <row r="84">
      <c r="B84" t="str">
        <v>Fy</v>
      </c>
      <c r="C84" t="str">
        <v>=</v>
      </c>
      <c r="D84">
        <v>415</v>
      </c>
      <c r="E84" t="str">
        <v>N/mm2</v>
      </c>
    </row>
    <row r="85">
      <c r="B85" t="str">
        <v>Ag</v>
      </c>
      <c r="C85" t="str">
        <v>=</v>
      </c>
      <c r="D85">
        <f>G48*1</f>
        <v>1200</v>
      </c>
      <c r="E85" t="str">
        <v>mm2</v>
      </c>
      <c r="F85" t="str">
        <v>Considering 1 mm Wide Pier</v>
      </c>
    </row>
    <row r="86">
      <c r="B86" t="str">
        <v>Ak</v>
      </c>
      <c r="C86" t="str">
        <v>=</v>
      </c>
      <c r="D86">
        <f>D85-2*(75-C51/2-C76)</f>
        <v>1099</v>
      </c>
      <c r="E86" t="str">
        <v>mm2</v>
      </c>
      <c r="F86" t="str">
        <v xml:space="preserve">Considering 1 mm Wide Pier Effective </v>
      </c>
    </row>
    <row r="87">
      <c r="B87" t="str">
        <v>Hence Ash</v>
      </c>
      <c r="C87" t="str">
        <v>=</v>
      </c>
      <c r="D87">
        <f>0.18*D81*D82*(D83/D84)*(D85/D86-1)</f>
        <v>35.874891741670936</v>
      </c>
      <c r="E87" t="str">
        <v>mm2</v>
      </c>
    </row>
    <row r="88">
      <c r="B88" t="str">
        <v>Ash ProvideD</v>
      </c>
      <c r="C88" t="str">
        <v>=</v>
      </c>
      <c r="D88">
        <f>0.785*C76^2</f>
        <v>113.04</v>
      </c>
      <c r="E88" t="str">
        <v>mm2</v>
      </c>
      <c r="F88" t="str">
        <v>Which is OK</v>
      </c>
    </row>
    <row r="89">
      <c r="B89" t="str">
        <v>d) As per IS IS 13920:1993 Cl. 7.4.6</v>
      </c>
      <c r="C89" t="str">
        <v>&lt; or =</v>
      </c>
      <c r="D89">
        <v>100</v>
      </c>
      <c r="E89" t="str">
        <v>mm</v>
      </c>
    </row>
    <row r="90">
      <c r="B90" t="str">
        <v>Provide</v>
      </c>
      <c r="C90">
        <f>C70</f>
        <v>12</v>
      </c>
      <c r="D90" t="str">
        <v>mm dia rings @</v>
      </c>
      <c r="F90">
        <v>100</v>
      </c>
      <c r="G90" t="str">
        <v>mm c/c.</v>
      </c>
    </row>
    <row r="91">
      <c r="B91" t="str">
        <v>This spacing is in accordance to IS 13920:1993 Cl. 7.4.6</v>
      </c>
    </row>
    <row r="92">
      <c r="B92" t="str">
        <v>CODE OF PRACTICE FORDUCTILE DETAILING OF REINFORCED CONCRETE STRUCTURES SUBJECTED TO SEISMIC FORCES</v>
      </c>
    </row>
    <row r="93">
      <c r="B93" t="str">
        <v>ABSTRACT</v>
      </c>
    </row>
    <row r="94">
      <c r="B94" t="str">
        <v>LONGITUDINAL REINFORCEMENT</v>
      </c>
      <c r="C94">
        <f>C51</f>
        <v>25</v>
      </c>
      <c r="D94" t="str">
        <v>MM BARS</v>
      </c>
      <c r="E94">
        <f>D52</f>
        <v>290</v>
      </c>
      <c r="F94" t="str">
        <v>MM</v>
      </c>
      <c r="H94" t="str">
        <v>However Adopt spacing as 250 mm</v>
      </c>
    </row>
    <row r="95">
      <c r="B95" t="str">
        <v>TRANSVERSE REINFORCEMENT</v>
      </c>
      <c r="C95" t="str">
        <f>CONCATENATE("   ",C90,D90,F90,G90)</f>
        <v xml:space="preserve">   12mm dia rings @100mm c/c.</v>
      </c>
    </row>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sheetData>
    <row r="1">
      <c r="A1" t="str">
        <v xml:space="preserve">DESIGN OF PIER FOOTING SUBMERSIBLE BRIDGE  </v>
      </c>
    </row>
    <row r="2">
      <c r="A2" t="str">
        <f>'STEEL IN PIER'!A2:O2</f>
        <v>Name Of Work :- Construction of Submersible Bridge on ON KHERWARA - JAWAS - SUVERI ROAD IN KM 9/000, ACROSS RIVER SOM</v>
      </c>
    </row>
    <row r="3">
      <c r="A3" t="str">
        <v>FOR WIND AT SERVICE CONDITION</v>
      </c>
    </row>
    <row r="4">
      <c r="B4" t="str">
        <v xml:space="preserve">Length of footing </v>
      </c>
      <c r="C4" t="str">
        <v>lf</v>
      </c>
      <c r="D4">
        <f>'STABILITY CHECK FOR PIER'!E52</f>
        <v>12</v>
      </c>
      <c r="E4" t="str">
        <v>m</v>
      </c>
    </row>
    <row r="5">
      <c r="B5" t="str">
        <v>Width of Footing</v>
      </c>
      <c r="C5" t="str">
        <v>lb</v>
      </c>
      <c r="D5">
        <f>'STABILITY CHECK FOR PIER'!G52</f>
        <v>3.8</v>
      </c>
      <c r="E5" t="str">
        <v>m</v>
      </c>
    </row>
    <row r="6">
      <c r="B6" t="str">
        <v>Width of Pier</v>
      </c>
      <c r="D6">
        <v>1.2</v>
      </c>
      <c r="E6" t="str">
        <v>m</v>
      </c>
    </row>
    <row r="7">
      <c r="B7" t="str">
        <v>Vertical Load</v>
      </c>
      <c r="C7" t="str">
        <v>P</v>
      </c>
      <c r="D7">
        <f>'STABILITY CHECK FOR PIER'!D263</f>
        <v>5073.0874353053905</v>
      </c>
      <c r="E7" t="str">
        <v>kN</v>
      </c>
    </row>
    <row r="8">
      <c r="B8" t="str">
        <v>Longitudinal Moment</v>
      </c>
      <c r="C8" t="str">
        <v>Me</v>
      </c>
      <c r="D8">
        <f>'STABILITY CHECK FOR PIER'!J265</f>
        <v>356.81410292867747</v>
      </c>
      <c r="E8" t="str">
        <v>kN-m</v>
      </c>
    </row>
    <row r="9">
      <c r="B9" t="str">
        <v>Transverse Moment</v>
      </c>
      <c r="C9" t="str">
        <v>Mb</v>
      </c>
      <c r="D9">
        <f>'STABILITY CHECK FOR PIER'!J266</f>
        <v>2467.335738886583</v>
      </c>
      <c r="E9" t="str">
        <v>kN-m</v>
      </c>
    </row>
    <row r="10">
      <c r="B10" t="str">
        <v>el</v>
      </c>
      <c r="C10" t="str">
        <v>= Me/P</v>
      </c>
      <c r="D10">
        <f>D8/D7</f>
        <v>0.07033470396064599</v>
      </c>
      <c r="E10" t="str">
        <v>m</v>
      </c>
    </row>
    <row r="11">
      <c r="B11" t="str">
        <v>eb</v>
      </c>
      <c r="C11" t="str">
        <v>= Mb/P</v>
      </c>
      <c r="D11">
        <f>D9/D7</f>
        <v>0.4863578186560575</v>
      </c>
      <c r="E11" t="str">
        <v>m</v>
      </c>
    </row>
    <row r="12">
      <c r="B12" t="str">
        <v>el/lf</v>
      </c>
      <c r="D12">
        <f>D10/D4</f>
        <v>0.005861225330053833</v>
      </c>
      <c r="E12" t="str">
        <v>Refer VK Raina "Concrete Bridge Practice : Analysis, Design and Economics " Chapter 14 "Evaluation of Base Presssure and Contact Area" Fig 14.2 &amp; 14.3</v>
      </c>
    </row>
    <row r="13">
      <c r="B13" t="str">
        <v>eb/lb</v>
      </c>
      <c r="D13">
        <f>D11/D5</f>
        <v>0.12798889964633092</v>
      </c>
    </row>
    <row r="14">
      <c r="B14" t="str">
        <v>K</v>
      </c>
      <c r="D14">
        <v>1</v>
      </c>
    </row>
    <row r="15">
      <c r="B15" t="str">
        <v>y</v>
      </c>
      <c r="D15">
        <v>0</v>
      </c>
    </row>
    <row r="16">
      <c r="B16" t="str">
        <v>Area in Tension = y x lb</v>
      </c>
      <c r="E16">
        <f>D5*D15</f>
        <v>0</v>
      </c>
      <c r="F16" t="str">
        <v>m2</v>
      </c>
      <c r="G16">
        <f>E16/D5*100</f>
        <v>0</v>
      </c>
      <c r="H16" t="str">
        <v>%</v>
      </c>
    </row>
    <row r="17">
      <c r="B17" t="str">
        <v>Maximum Pressure before Redistribution</v>
      </c>
      <c r="E17">
        <f>'STABILITY CHECK FOR PIER'!D279</f>
        <v>138.66109635051396</v>
      </c>
      <c r="F17" t="str">
        <v>kN/m2</v>
      </c>
    </row>
    <row r="18">
      <c r="B18" t="str">
        <v>Maximum Pressure After Redistribution = pxK</v>
      </c>
      <c r="E18">
        <f>E17*D14</f>
        <v>138.66109635051396</v>
      </c>
      <c r="F18" t="str">
        <v>kN/m2</v>
      </c>
    </row>
    <row r="19">
      <c r="B19" t="str">
        <v>Maximum Stress at Edge of Pier</v>
      </c>
      <c r="E19">
        <f>E18</f>
        <v>138.66109635051396</v>
      </c>
      <c r="F19" t="str">
        <v>kN/m2</v>
      </c>
    </row>
    <row r="20">
      <c r="B20" t="str">
        <v>Distance From Face of Pier to the Edge</v>
      </c>
      <c r="E20">
        <f>'Footing STRESS DIAGRAM'!C4</f>
        <v>1.2999999999999998</v>
      </c>
      <c r="F20" t="str">
        <v>m</v>
      </c>
    </row>
    <row r="21">
      <c r="B21" t="str">
        <v>Stress at the Edge of Pier</v>
      </c>
      <c r="E21">
        <f>(D5-E16-E20)*E19/(D5-E16)</f>
        <v>91.22440549375919</v>
      </c>
      <c r="F21" t="str">
        <v>kN/m2</v>
      </c>
    </row>
    <row r="22">
      <c r="B22" t="str">
        <v>Average Stress on Cantilevered Area</v>
      </c>
      <c r="E22">
        <f>(E19+E21)/2</f>
        <v>114.94275092213658</v>
      </c>
      <c r="F22" t="str">
        <v>kN/m2</v>
      </c>
    </row>
    <row r="23">
      <c r="B23" t="str">
        <v>Area of the Cantilever Portion</v>
      </c>
      <c r="E23">
        <f>E20*1</f>
        <v>1.2999999999999998</v>
      </c>
      <c r="F23" t="str">
        <v>m2</v>
      </c>
    </row>
    <row r="24">
      <c r="B24" t="str">
        <v>Distance of Centroid of the Stress in Cantilever Portion</v>
      </c>
      <c r="E24">
        <f>E20/3*(E21+2*E19)/(E19+E21)</f>
        <v>0.6947089947089946</v>
      </c>
      <c r="F24" t="str">
        <v>m</v>
      </c>
    </row>
    <row r="25">
      <c r="B25" t="str">
        <v>Moment about the Face of Pier</v>
      </c>
      <c r="E25">
        <f>E22*E23*E24</f>
        <v>103.80729182486502</v>
      </c>
      <c r="F25" t="str">
        <v>kN-m</v>
      </c>
    </row>
    <row r="26">
      <c r="B26" t="str">
        <v>CONCRETE GRADE</v>
      </c>
      <c r="E26" t="str">
        <f>'STEEL IN PIER'!D16</f>
        <v>M-25</v>
      </c>
    </row>
    <row r="27">
      <c r="B27" t="str">
        <v>FOR THIS GRADE scbc</v>
      </c>
      <c r="E27">
        <v>10</v>
      </c>
      <c r="F27" t="str">
        <v>N/mm2</v>
      </c>
    </row>
    <row r="28">
      <c r="B28" t="str">
        <v>m</v>
      </c>
      <c r="E28">
        <f>280/(3*E27)</f>
        <v>9.333333333333334</v>
      </c>
    </row>
    <row r="29">
      <c r="B29" t="str">
        <v>sst</v>
      </c>
      <c r="E29">
        <v>200</v>
      </c>
    </row>
    <row r="30">
      <c r="B30" t="str">
        <v>factor k</v>
      </c>
      <c r="E30">
        <f>(E28*E27)/(E27*E28+E29)</f>
        <v>0.3181818181818182</v>
      </c>
    </row>
    <row r="31">
      <c r="B31" t="str">
        <v>j</v>
      </c>
      <c r="E31">
        <f>1-(E30/3)</f>
        <v>0.8939393939393939</v>
      </c>
    </row>
    <row r="32">
      <c r="B32" t="str">
        <v>R</v>
      </c>
      <c r="E32">
        <f>0.5*E27*E31*E30</f>
        <v>1.4221763085399448</v>
      </c>
    </row>
    <row r="33">
      <c r="B33" t="str">
        <v>Effective Depth Required</v>
      </c>
      <c r="E33">
        <f>SQRT((E25*1000*1000)/(E32*1000))</f>
        <v>270.170054715077</v>
      </c>
      <c r="F33" t="str">
        <v>mm</v>
      </c>
    </row>
    <row r="34">
      <c r="B34" t="str">
        <v xml:space="preserve">Adopt Total Depth </v>
      </c>
      <c r="E34">
        <f>'STABILITY CHECK FOR PIER'!J52*1000</f>
        <v>1000</v>
      </c>
      <c r="F34" t="str">
        <v>mm</v>
      </c>
    </row>
    <row r="35">
      <c r="B35" t="str">
        <v>Cover</v>
      </c>
      <c r="E35">
        <v>50</v>
      </c>
      <c r="F35" t="str">
        <v>mm</v>
      </c>
    </row>
    <row r="36">
      <c r="B36" t="str">
        <v>Assume Bar Dia</v>
      </c>
      <c r="E36">
        <v>25</v>
      </c>
      <c r="F36" t="str">
        <v>mm</v>
      </c>
    </row>
    <row r="37">
      <c r="B37" t="str">
        <v>Keeping A Cover Of 50 mm Effective Depth</v>
      </c>
      <c r="E37">
        <f>E34-E35-E36/2</f>
        <v>937.5</v>
      </c>
      <c r="F37" t="str">
        <v>mm</v>
      </c>
    </row>
    <row r="38">
      <c r="B38" t="str">
        <v>Adopt Effective Depth</v>
      </c>
      <c r="E38">
        <f>IF(E33&gt;E37,E33,E37)</f>
        <v>937.5</v>
      </c>
      <c r="F38" t="str">
        <v>mm</v>
      </c>
    </row>
    <row r="39">
      <c r="B39" t="str">
        <v>Steel Required  Ast</v>
      </c>
      <c r="E39">
        <f>(E25*1000*1000)/(E29*E31*E38)</f>
        <v>619.3248597008896</v>
      </c>
      <c r="F39" t="str">
        <v>mm2</v>
      </c>
    </row>
    <row r="40">
      <c r="B40" t="str">
        <v>Area Of One Bar</v>
      </c>
      <c r="E40">
        <f>3.14*E36*E36/4</f>
        <v>490.625</v>
      </c>
      <c r="F40" t="str">
        <v>mm2</v>
      </c>
    </row>
    <row r="41">
      <c r="B41" t="str">
        <v>Spacing S</v>
      </c>
      <c r="E41">
        <f>(E40*1000)/E39</f>
        <v>792.1932929302293</v>
      </c>
      <c r="F41" t="str">
        <v>mm</v>
      </c>
    </row>
    <row r="42">
      <c r="B42" t="str">
        <v>Provide  Bars Of Dia And Spacing</v>
      </c>
      <c r="C42">
        <f>E36</f>
        <v>25</v>
      </c>
      <c r="D42" t="str">
        <v>mm</v>
      </c>
      <c r="E42" t="str">
        <v>Adopt spacing as 250 mm</v>
      </c>
    </row>
    <row r="43">
      <c r="B43" t="str">
        <v>Area Of Distribution Steel</v>
      </c>
      <c r="E43">
        <f>(0.2*1000*10)</f>
        <v>2000</v>
      </c>
      <c r="F43" t="str">
        <v>mm2</v>
      </c>
    </row>
    <row r="44">
      <c r="B44" t="str">
        <v xml:space="preserve">Dia Of Bar For Distribution Steel </v>
      </c>
      <c r="E44">
        <v>20</v>
      </c>
      <c r="F44" t="str">
        <v>mm</v>
      </c>
    </row>
    <row r="45">
      <c r="B45" t="str">
        <v>Area Of One Bar In Distribution Reinforcement</v>
      </c>
      <c r="E45">
        <f>3.14*E44*E44/4</f>
        <v>314</v>
      </c>
      <c r="F45" t="str">
        <v>mm2</v>
      </c>
    </row>
    <row r="46">
      <c r="B46" t="str">
        <v>Using The Bars Spacing Required</v>
      </c>
      <c r="E46">
        <f>(E45*1000)/E43</f>
        <v>157</v>
      </c>
      <c r="F46" t="str">
        <v>mm</v>
      </c>
    </row>
    <row r="47">
      <c r="B47" t="str">
        <v>Provide  Bars Of Dia And Spacing</v>
      </c>
      <c r="C47">
        <f>E44</f>
        <v>20</v>
      </c>
      <c r="D47" t="str">
        <v>mm</v>
      </c>
      <c r="E47">
        <f>ROUNDDOWN(E46,-1)</f>
        <v>150</v>
      </c>
      <c r="F47" t="str">
        <v>mm</v>
      </c>
    </row>
    <row r="49">
      <c r="B49" t="str">
        <v>Provide  Bars Of Dia And Spacing for Top Main Steel</v>
      </c>
      <c r="C49">
        <v>12</v>
      </c>
      <c r="D49" t="str">
        <v>mm</v>
      </c>
      <c r="E49">
        <v>150</v>
      </c>
      <c r="F49" t="str">
        <v>mm</v>
      </c>
    </row>
    <row r="50">
      <c r="B50" t="str">
        <v>Provide  Bars Of Dia And Spacing for Top Distribution Steel</v>
      </c>
      <c r="C50">
        <v>12</v>
      </c>
      <c r="D50" t="str">
        <v>mm</v>
      </c>
      <c r="E50">
        <v>150</v>
      </c>
      <c r="F50" t="str">
        <v>mm</v>
      </c>
    </row>
    <row r="52">
      <c r="A52" t="str">
        <v>CHECK FOR SHEAR</v>
      </c>
      <c r="C52" t="str">
        <v>(As per IRC 21-1987 Cl. 304.7)</v>
      </c>
    </row>
    <row r="53">
      <c r="B53" t="str">
        <v>Critical Section is at a distance equal to effective depth from pier face</v>
      </c>
      <c r="E53">
        <f>E38</f>
        <v>937.5</v>
      </c>
      <c r="F53" t="str">
        <v>mm</v>
      </c>
    </row>
    <row r="54">
      <c r="B54" t="str">
        <v>Section of Shear from end of pier</v>
      </c>
      <c r="E54">
        <f>E20-E53/1000</f>
        <v>0.3624999999999998</v>
      </c>
      <c r="F54" t="str">
        <v>m</v>
      </c>
    </row>
    <row r="55">
      <c r="B55" t="str">
        <v>Maximum Stress at Edge of Pier</v>
      </c>
      <c r="E55">
        <f>E19</f>
        <v>138.66109635051396</v>
      </c>
      <c r="F55" t="str">
        <v>kN/m2</v>
      </c>
    </row>
    <row r="56">
      <c r="B56" t="str">
        <v>Stress at the Section for Shear Check</v>
      </c>
      <c r="E56">
        <f>E55/('[2]STRESS DIAGRAM'!D18-'[2]STRESS DIAGRAM'!B21)*(-'FOOTING DESIGN'!E54+'[2]STRESS DIAGRAM'!D18-'[2]STRESS DIAGRAM'!B21)</f>
        <v>124.69869428744138</v>
      </c>
      <c r="F56" t="str">
        <v>kN/m2</v>
      </c>
    </row>
    <row r="57">
      <c r="B57" t="str">
        <v>Average Stress on Cantilevered Area</v>
      </c>
      <c r="E57">
        <f>(E55+E56)/2</f>
        <v>131.67989531897769</v>
      </c>
      <c r="F57" t="str">
        <v>kN/m2</v>
      </c>
    </row>
    <row r="58">
      <c r="B58" t="str">
        <v>Shear Force</v>
      </c>
      <c r="E58">
        <f>E57*E54</f>
        <v>47.73396205312939</v>
      </c>
      <c r="F58" t="str">
        <v>kN</v>
      </c>
    </row>
    <row r="59">
      <c r="B59" t="str">
        <v>V=V' + M/d tanB</v>
      </c>
      <c r="C59" t="str">
        <v>(B=0) Hence V =V'</v>
      </c>
    </row>
    <row r="60">
      <c r="B60" t="str">
        <v>Actual Shear Stress</v>
      </c>
      <c r="E60">
        <f>E58*1000/E53/1000</f>
        <v>0.05091622619000469</v>
      </c>
      <c r="F60" t="str">
        <v>N/mm2</v>
      </c>
    </row>
    <row r="61">
      <c r="B61" t="str">
        <v>Percentage Steel</v>
      </c>
      <c r="C61" t="str">
        <v>100As/bd</v>
      </c>
      <c r="E61">
        <f>100*E39/(1000*E38)</f>
        <v>0.0660613183680949</v>
      </c>
    </row>
    <row r="62">
      <c r="B62" t="str">
        <v>Tc</v>
      </c>
      <c r="E62">
        <v>0.23</v>
      </c>
      <c r="F62" t="str">
        <v>N/mm2</v>
      </c>
    </row>
    <row r="63">
      <c r="B63" t="str">
        <v>k=1</v>
      </c>
    </row>
    <row r="64">
      <c r="B64" t="str">
        <v>Permissble Shear Stress = k Tc</v>
      </c>
      <c r="E64">
        <f>E62</f>
        <v>0.23</v>
      </c>
      <c r="F64" t="str">
        <v>N/mm2</v>
      </c>
    </row>
    <row r="65">
      <c r="D65" t="str">
        <v>&lt; Actual Shear Stress hence Shear Reinforcement should be provided</v>
      </c>
    </row>
    <row r="66">
      <c r="B66" t="str">
        <v>Dia Of two Legged Stirrups</v>
      </c>
      <c r="E66">
        <v>16</v>
      </c>
      <c r="F66" t="str">
        <v>mm</v>
      </c>
    </row>
    <row r="67">
      <c r="B67" t="str">
        <v>Area Of One Bar In Distribution Reinforcement</v>
      </c>
      <c r="E67">
        <f>3.14*E66*E66/4</f>
        <v>200.96</v>
      </c>
      <c r="F67" t="str">
        <v>mm2</v>
      </c>
    </row>
    <row r="68">
      <c r="B68" t="str">
        <v>Using The Bars Spacing Required s= Asw ts d/V</v>
      </c>
      <c r="E68">
        <f>2*E67*E29*E38/(E58*1000)</f>
        <v>1578.7501552065166</v>
      </c>
      <c r="F68" t="str">
        <v>mm</v>
      </c>
    </row>
    <row r="69">
      <c r="B69" t="str">
        <v>Provide  Bars Of Dia And Spacing</v>
      </c>
      <c r="C69">
        <f>E66</f>
        <v>16</v>
      </c>
      <c r="D69" t="str">
        <v>mm</v>
      </c>
      <c r="E69" t="str">
        <v>Adopt spacing as 250 mm</v>
      </c>
    </row>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sheetData>
    <row r="1">
      <c r="D1">
        <f>'FOOTING DESIGN'!D6</f>
        <v>1.2</v>
      </c>
      <c r="E1" t="str">
        <v>m</v>
      </c>
    </row>
    <row r="4">
      <c r="C4">
        <f>(D18-D1)/2</f>
        <v>1.2999999999999998</v>
      </c>
      <c r="D4" t="str">
        <v>m</v>
      </c>
    </row>
    <row r="18">
      <c r="D18">
        <f>'FOOTING DESIGN'!D5</f>
        <v>3.8</v>
      </c>
      <c r="E18" t="str">
        <v>m</v>
      </c>
    </row>
    <row r="21">
      <c r="B21">
        <f>'FOOTING DESIGN'!E16</f>
        <v>0</v>
      </c>
      <c r="C21" t="str">
        <v>m</v>
      </c>
    </row>
    <row r="25">
      <c r="E25">
        <f>'FOOTING DESIGN'!E21</f>
        <v>91.22440549375919</v>
      </c>
    </row>
    <row r="26">
      <c r="E26" t="str">
        <v>kN/m2</v>
      </c>
      <c r="G26">
        <f>'FOOTING DESIGN'!E19</f>
        <v>138.66109635051396</v>
      </c>
      <c r="H26" t="str">
        <v>kN/m2</v>
      </c>
    </row>
    <row r="29">
      <c r="D29" t="str">
        <v>STRESS DIAGRAM</v>
      </c>
    </row>
    <row r="31">
      <c r="A31" t="str">
        <v xml:space="preserve">DESIGN OF PIER FOOTING </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tr">
        <v>LIVE LOAD CALCULATION :-</v>
      </c>
    </row>
    <row r="3">
      <c r="A3" t="str">
        <v>[1] CLASS  AA TRACKED VEHICLE :-</v>
      </c>
    </row>
    <row r="5">
      <c r="A5" t="str">
        <v>(a) Dispersion width along the span</v>
      </c>
    </row>
    <row r="7">
      <c r="A7" t="str">
        <v xml:space="preserve"> According to clause 305.13   IRC- 21-2000</v>
      </c>
    </row>
    <row r="9">
      <c r="A9" t="str">
        <v xml:space="preserve"> = Length of Contact   +   2 (Wearing coat + depth of Slab)</v>
      </c>
    </row>
    <row r="11">
      <c r="A11" t="str">
        <v xml:space="preserve"> =</v>
      </c>
      <c r="B11">
        <v>3.6</v>
      </c>
      <c r="C11" t="str">
        <v xml:space="preserve"> + 2 ( 0.075 + 0.775 )</v>
      </c>
    </row>
    <row r="13">
      <c r="A13" t="str">
        <v xml:space="preserve"> =</v>
      </c>
      <c r="B13">
        <v>5.3</v>
      </c>
      <c r="C13" t="str">
        <v>M</v>
      </c>
    </row>
    <row r="14">
      <c r="A14" t="str">
        <v>(b) Dispersion width across the span</v>
      </c>
    </row>
    <row r="16">
      <c r="A16" t="str">
        <v xml:space="preserve"> According to clause 305.13   IRC- 21-2000</v>
      </c>
    </row>
    <row r="18">
      <c r="A18" t="str">
        <v xml:space="preserve"> be  =  K  x       ( 1  - x/Le )   +bw</v>
      </c>
    </row>
    <row r="19">
      <c r="A19" t="str">
        <v>K  =  A Constant having the value depending upon the ratio</v>
      </c>
    </row>
    <row r="20">
      <c r="A20" t="str">
        <v>(L1/Le  where.</v>
      </c>
    </row>
    <row r="21">
      <c r="A21" t="str">
        <v>be = the effective width of the slab on which the load acts.</v>
      </c>
    </row>
    <row r="22">
      <c r="A22" t="str">
        <v>Le  = Effective  Span</v>
      </c>
    </row>
    <row r="23">
      <c r="A23" t="str">
        <v>x   = the distance of c.g. of concentrate load from the near support</v>
      </c>
    </row>
    <row r="24">
      <c r="A24" t="str">
        <v>bw    =   The breadth of concentration area of the load i.e. Dimension of</v>
      </c>
    </row>
    <row r="25">
      <c r="A25" t="str">
        <v xml:space="preserve">              the tyre or track contact area over the road surface </v>
      </c>
    </row>
    <row r="26">
      <c r="A26" t="str">
        <v>Heve ,</v>
      </c>
    </row>
    <row r="27">
      <c r="B27" t="str">
        <v>Le  =  10.00 M     &amp;  L1   = 7.00 M</v>
      </c>
    </row>
    <row r="29">
      <c r="A29" t="str">
        <v xml:space="preserve">  =  L1</v>
      </c>
      <c r="B29" t="str">
        <v xml:space="preserve"> =</v>
      </c>
      <c r="C29">
        <v>7</v>
      </c>
      <c r="D29" t="str">
        <v xml:space="preserve"> =</v>
      </c>
      <c r="E29">
        <v>0.7</v>
      </c>
    </row>
    <row r="30">
      <c r="A30" t="str">
        <v xml:space="preserve">      Le</v>
      </c>
      <c r="C30">
        <v>10</v>
      </c>
    </row>
    <row r="31">
      <c r="A31" t="str">
        <v>Value  of    K   =</v>
      </c>
      <c r="C31">
        <v>2.4</v>
      </c>
    </row>
    <row r="33">
      <c r="A33" t="str">
        <v>bw   =</v>
      </c>
      <c r="B33" t="str">
        <v>0.85 + 2 x 0.075</v>
      </c>
      <c r="D33" t="str">
        <v xml:space="preserve"> = 1.0 M</v>
      </c>
    </row>
    <row r="35">
      <c r="A35" t="str">
        <v xml:space="preserve"> X    =    L</v>
      </c>
      <c r="B35" t="str">
        <v xml:space="preserve"> =</v>
      </c>
      <c r="C35">
        <v>10</v>
      </c>
      <c r="D35" t="str">
        <v xml:space="preserve"> =</v>
      </c>
      <c r="E35" t="str">
        <v>5.0 M</v>
      </c>
    </row>
    <row r="36">
      <c r="A36">
        <v>2</v>
      </c>
      <c r="C36">
        <v>2</v>
      </c>
    </row>
    <row r="37">
      <c r="A37" t="str">
        <v xml:space="preserve"> be =     2.4 x 4</v>
      </c>
      <c r="C37" t="str">
        <v>( 1 - 5/10)</v>
      </c>
      <c r="D37" t="str">
        <v>+</v>
      </c>
      <c r="E37">
        <v>1</v>
      </c>
    </row>
    <row r="38">
      <c r="A38" t="str">
        <v xml:space="preserve">          =</v>
      </c>
      <c r="B38">
        <f>2.4*4*0.5+1</f>
        <v>5.8</v>
      </c>
      <c r="C38" t="str">
        <v>M</v>
      </c>
    </row>
    <row r="39">
      <c r="A39" t="str">
        <v>Impact factor is  13.75%   as pere IRC Section-II, Clause - 211-3 (a) (i)</v>
      </c>
    </row>
    <row r="41">
      <c r="A41" t="str">
        <v>DISPERSION ACROSS SPAN (CLASS AA TRACKED VEHICAL)</v>
      </c>
    </row>
    <row r="42">
      <c r="A42" t="str">
        <v>The tracked vehicle is placed at a distance of minimum clearence of 1-2 m from Kerb</v>
      </c>
    </row>
    <row r="43">
      <c r="A43" t="str">
        <v xml:space="preserve"> Dispersion across span </v>
      </c>
    </row>
    <row r="44">
      <c r="A44" t="str">
        <v xml:space="preserve"> = C/C distance between wheels </v>
      </c>
    </row>
    <row r="45">
      <c r="A45" t="str">
        <v xml:space="preserve">    + width from centre of wheel on clearence side</v>
      </c>
    </row>
    <row r="46">
      <c r="A46" t="str">
        <v xml:space="preserve">    + Least on other side or halp the dispersion of one wheel.</v>
      </c>
    </row>
    <row r="47">
      <c r="A47" t="str">
        <v xml:space="preserve"> = 2.05 + 1.93  + Least of 2.715 OR  5.8/2</v>
      </c>
    </row>
    <row r="48">
      <c r="A48" t="str">
        <v xml:space="preserve"> = 2.05 + 1.93  + 2.715</v>
      </c>
    </row>
    <row r="49">
      <c r="A49" t="str">
        <v xml:space="preserve"> = 6.695</v>
      </c>
    </row>
    <row r="50">
      <c r="A50" t="str">
        <v xml:space="preserve">Impact factor = 1.1375 </v>
      </c>
    </row>
    <row r="51">
      <c r="A51" t="str">
        <v xml:space="preserve"> Total load with impact</v>
      </c>
    </row>
    <row r="52">
      <c r="A52" t="str">
        <v>= 70   x    1.1375</v>
      </c>
    </row>
    <row r="53">
      <c r="A53" t="str">
        <v xml:space="preserve"> =     79.63 T</v>
      </c>
    </row>
    <row r="54">
      <c r="A54" t="str">
        <v xml:space="preserve"> = Intensity of Load</v>
      </c>
    </row>
    <row r="56">
      <c r="A56" t="str">
        <v xml:space="preserve"> = </v>
      </c>
      <c r="B56">
        <v>79.63</v>
      </c>
      <c r="D56" t="str">
        <v xml:space="preserve"> =</v>
      </c>
      <c r="E56">
        <f>79.63/5.3/6.695</f>
        <v>2.244141643298998</v>
      </c>
      <c r="F56" t="str">
        <v>T/M</v>
      </c>
    </row>
    <row r="57">
      <c r="B57" t="str">
        <v>5.30 x 6.695</v>
      </c>
    </row>
    <row r="58">
      <c r="A58" t="str">
        <v>Maximum Reaction</v>
      </c>
    </row>
    <row r="59">
      <c r="B59" t="str">
        <v>For Maximum reaction at support the Centre of gravity of the loads should be adjacent to one support should be adjacent to one support</v>
      </c>
    </row>
    <row r="61">
      <c r="B61" t="str">
        <v>Reaction RA= 2.24x 3.00 x 1.50 /10.00</v>
      </c>
    </row>
    <row r="62">
      <c r="C62" t="str">
        <v>=</v>
      </c>
      <c r="D62">
        <f>2.24*3*1.5*1/10</f>
        <v>1.0080000000000002</v>
      </c>
      <c r="E62" t="str">
        <v>T</v>
      </c>
    </row>
    <row r="63">
      <c r="B63" t="str">
        <v>Reaction RB= 2.24x 3.00 -1.01</v>
      </c>
    </row>
    <row r="64">
      <c r="C64" t="str">
        <v>=</v>
      </c>
      <c r="D64">
        <f>2.24*3-1.01</f>
        <v>5.710000000000001</v>
      </c>
      <c r="E64" t="str">
        <v>T</v>
      </c>
    </row>
    <row r="66">
      <c r="A66" t="str">
        <v>DISPERSION ALONG SPAN (CLASS AA TRACKED VEHICLE)</v>
      </c>
    </row>
    <row r="67">
      <c r="A67" t="str">
        <v>(a) Dispersion width along the span :-</v>
      </c>
    </row>
    <row r="68">
      <c r="A68" t="str">
        <v xml:space="preserve">  tp  =</v>
      </c>
      <c r="B68" t="str">
        <v>tc   =  2  (tw + ts )</v>
      </c>
    </row>
    <row r="69">
      <c r="A69" t="str">
        <v xml:space="preserve">  tp  =  </v>
      </c>
      <c r="B69" t="str">
        <v xml:space="preserve">width of dispersion parallel to span </v>
      </c>
    </row>
    <row r="70">
      <c r="A70" t="str">
        <v xml:space="preserve">  tc  = </v>
      </c>
      <c r="B70" t="str">
        <v>width of tyre contact area parallel to span</v>
      </c>
    </row>
    <row r="71">
      <c r="A71" t="str">
        <v xml:space="preserve">  ts  =</v>
      </c>
      <c r="B71" t="str">
        <v>Overall depth of slab</v>
      </c>
    </row>
    <row r="72">
      <c r="A72" t="str">
        <v xml:space="preserve"> tw  =</v>
      </c>
      <c r="B72" t="str">
        <v>Thickness</v>
      </c>
      <c r="C72" t="str">
        <v>of Wearing coat</v>
      </c>
    </row>
    <row r="73">
      <c r="A73" t="str">
        <v>Dispersion along the span</v>
      </c>
    </row>
    <row r="74">
      <c r="A74" t="str">
        <v xml:space="preserve"> = 0.15  +  2 ( 0.075 + 0.775 )</v>
      </c>
    </row>
    <row r="75">
      <c r="A75" t="str">
        <v xml:space="preserve"> =</v>
      </c>
      <c r="B75">
        <v>1.9</v>
      </c>
      <c r="C75" t="str">
        <v>M</v>
      </c>
    </row>
    <row r="76">
      <c r="A76" t="str">
        <v xml:space="preserve"> Dispersion between two wheel is overlapping hence restricted to 1-2 M</v>
      </c>
    </row>
    <row r="77">
      <c r="A77" t="str">
        <v xml:space="preserve"> = Dispersion combined for two wheels </v>
      </c>
    </row>
    <row r="78">
      <c r="A78" t="str">
        <v xml:space="preserve"> = C/c distance between  +   </v>
      </c>
      <c r="D78" t="str">
        <v>Longitudinal</v>
      </c>
    </row>
    <row r="79">
      <c r="A79" t="str">
        <v xml:space="preserve">    two wheels</v>
      </c>
      <c r="D79" t="str">
        <v>dispersion</v>
      </c>
    </row>
    <row r="80">
      <c r="A80" t="str">
        <v xml:space="preserve">  = 1-2</v>
      </c>
      <c r="C80" t="str">
        <v>+</v>
      </c>
      <c r="D80">
        <v>1.9</v>
      </c>
    </row>
    <row r="81">
      <c r="A81" t="str">
        <v xml:space="preserve"> =  3.1 M</v>
      </c>
      <c r="B81" t="str">
        <v>( along the span )</v>
      </c>
    </row>
    <row r="82">
      <c r="A82" t="str">
        <v xml:space="preserve">Impact factor = 1.1375 </v>
      </c>
    </row>
    <row r="83">
      <c r="A83" t="str">
        <v xml:space="preserve"> Total load with impact</v>
      </c>
    </row>
    <row r="84">
      <c r="A84" t="str">
        <v>= 70   x    1.1375</v>
      </c>
    </row>
    <row r="85">
      <c r="A85" t="str">
        <v xml:space="preserve"> =     79.63 T</v>
      </c>
    </row>
    <row r="86">
      <c r="A86" t="str">
        <v xml:space="preserve"> = Intensity of Load</v>
      </c>
    </row>
    <row r="87">
      <c r="A87" t="str">
        <v xml:space="preserve"> = </v>
      </c>
      <c r="B87">
        <v>79.63</v>
      </c>
      <c r="D87" t="str">
        <v xml:space="preserve"> =</v>
      </c>
      <c r="E87">
        <f>79.63/5.3/1.9</f>
        <v>7.907646474677259</v>
      </c>
      <c r="F87" t="str">
        <v>T/M</v>
      </c>
    </row>
    <row r="88">
      <c r="B88" t="str">
        <v>1.90 x 5.30</v>
      </c>
    </row>
    <row r="89">
      <c r="A89" t="str">
        <v>Maximum Reaction</v>
      </c>
    </row>
    <row r="90">
      <c r="B90" t="str">
        <v>For Maximum reaction at support the Centre of gravity of the loads should be adjacent to one support should be adjacent to one support</v>
      </c>
    </row>
    <row r="91">
      <c r="B91" t="str">
        <v>Reaction RA= 7.91x 3.00 x 1.50 /10.00</v>
      </c>
    </row>
    <row r="92">
      <c r="C92" t="str">
        <v>=</v>
      </c>
      <c r="D92">
        <f>7.91*3*1.5*1/10</f>
        <v>3.5595</v>
      </c>
      <c r="E92" t="str">
        <v>T</v>
      </c>
    </row>
    <row r="93">
      <c r="B93" t="str">
        <v>Reaction RB= 7.91x 3.00 -3.56</v>
      </c>
    </row>
    <row r="94">
      <c r="C94" t="str">
        <v>=</v>
      </c>
      <c r="D94">
        <f>7.91*3-3.56</f>
        <v>20.17</v>
      </c>
      <c r="E94" t="str">
        <v>T</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sheetData>
    <row r="1">
      <c r="A1" t="str">
        <v>DESIGN OF PIER CAP :-</v>
      </c>
    </row>
    <row r="2">
      <c r="A2" t="str">
        <v>D.L./ M Width  along bridge</v>
      </c>
    </row>
    <row r="3">
      <c r="A3" t="str">
        <v xml:space="preserve">DL.  Of Slab = </v>
      </c>
      <c r="C3">
        <f>'[6]STABILITY CHECK FOR PIER'!H27</f>
        <v>0.75</v>
      </c>
      <c r="D3" t="str">
        <v xml:space="preserve">x </v>
      </c>
      <c r="E3">
        <f>'[6]STABILITY CHECK ABUTMENT'!F4</f>
        <v>8.4</v>
      </c>
      <c r="F3" t="str">
        <v>x.</v>
      </c>
      <c r="G3">
        <v>2.4</v>
      </c>
      <c r="H3" t="str">
        <v>=</v>
      </c>
      <c r="I3">
        <f>C3*E3*G3</f>
        <v>15.120000000000001</v>
      </c>
      <c r="J3" t="str">
        <v>T</v>
      </c>
    </row>
    <row r="4">
      <c r="A4" t="str">
        <v xml:space="preserve">D.L. of Wearing coat = </v>
      </c>
      <c r="C4">
        <f>'[6]STABILITY CHECK FOR PIER'!H28</f>
        <v>0.075</v>
      </c>
      <c r="D4" t="str">
        <v xml:space="preserve">x </v>
      </c>
      <c r="E4">
        <f>E3</f>
        <v>8.4</v>
      </c>
      <c r="F4" t="str">
        <v>x.</v>
      </c>
      <c r="G4">
        <v>2.4</v>
      </c>
      <c r="H4" t="str">
        <v>=</v>
      </c>
      <c r="I4">
        <f>C4*E4*G4</f>
        <v>1.512</v>
      </c>
      <c r="J4" t="str">
        <v>T</v>
      </c>
    </row>
    <row r="5">
      <c r="G5" t="str">
        <v>TOTAL</v>
      </c>
      <c r="I5">
        <f>SUM(I3:I4)</f>
        <v>16.632</v>
      </c>
      <c r="J5" t="str">
        <v>T</v>
      </c>
    </row>
    <row r="6">
      <c r="A6" t="str">
        <v xml:space="preserve">  D.L. of Slab &amp; Wearing coat on half of the pier </v>
      </c>
      <c r="E6" t="str">
        <v>=</v>
      </c>
    </row>
    <row r="7">
      <c r="E7">
        <f>I5</f>
        <v>16.632</v>
      </c>
      <c r="F7" t="str">
        <v>/</v>
      </c>
      <c r="G7">
        <v>2</v>
      </c>
      <c r="H7" t="str">
        <v>=</v>
      </c>
      <c r="I7">
        <f>E7/G7</f>
        <v>8.316</v>
      </c>
      <c r="J7" t="str">
        <v>T</v>
      </c>
    </row>
    <row r="8">
      <c r="A8" t="str">
        <v xml:space="preserve">   L.L. on Pier cap including impact along bridge </v>
      </c>
    </row>
    <row r="9">
      <c r="D9" t="str">
        <v xml:space="preserve">     =</v>
      </c>
      <c r="E9">
        <v>82.5</v>
      </c>
      <c r="F9" t="str">
        <v xml:space="preserve">x </v>
      </c>
      <c r="G9">
        <v>1.1375</v>
      </c>
      <c r="H9" t="str">
        <v>=</v>
      </c>
      <c r="I9">
        <f>E9*G9</f>
        <v>93.84375</v>
      </c>
      <c r="J9" t="str">
        <v>T</v>
      </c>
    </row>
    <row r="10">
      <c r="A10" t="str">
        <v xml:space="preserve">   (Refer   Live Load Computation)</v>
      </c>
    </row>
    <row r="11">
      <c r="A11" t="str">
        <v xml:space="preserve">    Dispersion width across the span for</v>
      </c>
    </row>
    <row r="12">
      <c r="A12" t="str">
        <v xml:space="preserve">    70 T TRACKED VEHTCLE </v>
      </c>
      <c r="D12" t="str">
        <v xml:space="preserve">    =</v>
      </c>
      <c r="E12">
        <v>6.695</v>
      </c>
      <c r="F12" t="str">
        <v>M</v>
      </c>
    </row>
    <row r="13">
      <c r="A13" t="str">
        <v xml:space="preserve">   ( Refer Solid slab  design    page SS-16) </v>
      </c>
    </row>
    <row r="14">
      <c r="A14" t="str">
        <v xml:space="preserve">    Live Load u.d.l. on Pier    </v>
      </c>
      <c r="D14" t="str">
        <v xml:space="preserve">     =</v>
      </c>
      <c r="E14">
        <f>I9</f>
        <v>93.84375</v>
      </c>
      <c r="F14" t="str">
        <v>/</v>
      </c>
      <c r="G14">
        <f>E12</f>
        <v>6.695</v>
      </c>
      <c r="H14" t="str">
        <v>=</v>
      </c>
      <c r="I14">
        <f>E14/G14</f>
        <v>14.016990291262136</v>
      </c>
      <c r="J14" t="str">
        <v>T</v>
      </c>
    </row>
    <row r="15">
      <c r="B15" t="str">
        <v>Per M width</v>
      </c>
    </row>
    <row r="16">
      <c r="A16" t="str">
        <v xml:space="preserve">    Total Load on Half    =</v>
      </c>
      <c r="D16">
        <f>I7</f>
        <v>8.316</v>
      </c>
      <c r="E16" t="str">
        <v>+</v>
      </c>
      <c r="F16">
        <f>I14</f>
        <v>14.016990291262136</v>
      </c>
      <c r="H16" t="str">
        <v>=</v>
      </c>
      <c r="I16">
        <f>D16+F16</f>
        <v>22.332990291262135</v>
      </c>
      <c r="J16" t="str">
        <v>T</v>
      </c>
    </row>
    <row r="17">
      <c r="A17" t="str">
        <v xml:space="preserve">    of pier along bridge </v>
      </c>
      <c r="I17" t="str">
        <v xml:space="preserve">   Per M width</v>
      </c>
    </row>
    <row r="18">
      <c r="A18" t="str">
        <v>Effective depth of slab =90-2.5-2.5/2 =</v>
      </c>
      <c r="D18">
        <f>C3*100-2.5-2.5/2</f>
        <v>71.25</v>
      </c>
      <c r="E18" t="str">
        <v>cm</v>
      </c>
    </row>
    <row r="19">
      <c r="A19" t="str">
        <v>Placement of the live load at effective depth from the support ( taking support width 750 mm)</v>
      </c>
    </row>
    <row r="20">
      <c r="A20" t="str">
        <v>Eccentricity = 71.25 -75/2</v>
      </c>
      <c r="D20" t="str">
        <v>=</v>
      </c>
      <c r="E20">
        <f>D18-75/2</f>
        <v>33.75</v>
      </c>
      <c r="F20" t="str">
        <v>cm</v>
      </c>
      <c r="G20" t="str">
        <v>=</v>
      </c>
      <c r="H20">
        <f>E20/100</f>
        <v>0.3375</v>
      </c>
      <c r="I20" t="str">
        <v>M</v>
      </c>
    </row>
    <row r="21">
      <c r="A21" t="str">
        <v xml:space="preserve">     Bending Moment along the bridge  =</v>
      </c>
      <c r="C21">
        <f>I16</f>
        <v>22.332990291262135</v>
      </c>
      <c r="D21" t="str">
        <v>x</v>
      </c>
      <c r="E21">
        <f>H20</f>
        <v>0.3375</v>
      </c>
      <c r="H21">
        <f>ROUNDUP(C21*E21,2)</f>
        <v>7.54</v>
      </c>
      <c r="I21" t="str">
        <v>T - M/M width</v>
      </c>
    </row>
    <row r="22">
      <c r="B22" t="str">
        <v>=</v>
      </c>
      <c r="C22">
        <f>H21</f>
        <v>7.54</v>
      </c>
      <c r="D22" t="str">
        <v>x</v>
      </c>
      <c r="E22">
        <v>10</v>
      </c>
      <c r="F22" t="str">
        <v>=</v>
      </c>
      <c r="G22">
        <f>ROUNDUP(C22*10,2)</f>
        <v>75.4</v>
      </c>
      <c r="H22" t="str">
        <v>kN-M/M width</v>
      </c>
    </row>
    <row r="23">
      <c r="A23" t="str">
        <v xml:space="preserve">    This moment is too small hence it will not/be the governing  B.M.</v>
      </c>
    </row>
    <row r="24">
      <c r="B24" t="str">
        <v>Moment in pier cap</v>
      </c>
      <c r="E24">
        <f>G22</f>
        <v>75.4</v>
      </c>
      <c r="F24" t="str">
        <v>kN-m</v>
      </c>
    </row>
    <row r="25">
      <c r="B25" t="str">
        <v>CONCRETE GRADE</v>
      </c>
      <c r="E25" t="str">
        <v>M30</v>
      </c>
    </row>
    <row r="26">
      <c r="B26" t="str">
        <v>FOR THIS GRADE scbc</v>
      </c>
      <c r="E26">
        <v>10</v>
      </c>
      <c r="F26" t="str">
        <v>N/mm2</v>
      </c>
    </row>
    <row r="27">
      <c r="B27" t="str">
        <v>m</v>
      </c>
      <c r="E27">
        <f>280/(3*E26)</f>
        <v>9.333333333333334</v>
      </c>
    </row>
    <row r="28">
      <c r="B28" t="str">
        <v>sst</v>
      </c>
      <c r="E28">
        <v>200</v>
      </c>
    </row>
    <row r="29">
      <c r="B29" t="str">
        <v>factor k</v>
      </c>
      <c r="E29">
        <f>(E27*E26)/(E26*E27+E28)</f>
        <v>0.3181818181818182</v>
      </c>
    </row>
    <row r="30">
      <c r="B30" t="str">
        <v>j</v>
      </c>
      <c r="E30">
        <f>1-(E29/3)</f>
        <v>0.8939393939393939</v>
      </c>
    </row>
    <row r="31">
      <c r="B31" t="str">
        <v>R</v>
      </c>
      <c r="E31">
        <f>0.5*E26*E30*E29</f>
        <v>1.4221763085399448</v>
      </c>
    </row>
    <row r="32">
      <c r="B32" t="str">
        <v>Effective Depth Required</v>
      </c>
      <c r="E32">
        <f>SQRT((E24*1000*1000)/(E31*1000))</f>
        <v>230.25493819187318</v>
      </c>
      <c r="F32" t="str">
        <v>mm</v>
      </c>
    </row>
    <row r="33">
      <c r="B33" t="str">
        <v xml:space="preserve">Adopt Total Depth </v>
      </c>
      <c r="E33">
        <f>1200</f>
        <v>1200</v>
      </c>
      <c r="F33" t="str">
        <v>mm</v>
      </c>
    </row>
    <row r="34">
      <c r="B34" t="str">
        <v>Cover</v>
      </c>
      <c r="E34">
        <v>50</v>
      </c>
      <c r="F34" t="str">
        <v>mm</v>
      </c>
    </row>
    <row r="35">
      <c r="B35" t="str">
        <v>Assume Bar Dia</v>
      </c>
      <c r="E35">
        <v>25</v>
      </c>
      <c r="F35" t="str">
        <v>mm</v>
      </c>
    </row>
    <row r="36">
      <c r="B36" t="str">
        <v>Keeping A Cover Of 50 mm Effective Depth</v>
      </c>
      <c r="E36">
        <f>E33-E34-E35/2</f>
        <v>1137.5</v>
      </c>
      <c r="F36" t="str">
        <v>mm</v>
      </c>
    </row>
    <row r="37">
      <c r="B37" t="str">
        <v>Adopt Effective Depth</v>
      </c>
      <c r="E37">
        <f>IF(E32&gt;E36,E32,E36)</f>
        <v>1137.5</v>
      </c>
      <c r="F37" t="str">
        <v>mm</v>
      </c>
    </row>
    <row r="38">
      <c r="B38" t="str">
        <v>Steel Required  Ast</v>
      </c>
      <c r="E38">
        <f>(E24*1000*1000)/(E28*E30*E37)</f>
        <v>370.7506053268765</v>
      </c>
      <c r="F38" t="str">
        <v>mm2</v>
      </c>
    </row>
    <row r="39">
      <c r="B39" t="str">
        <v>Area Of One Bar</v>
      </c>
      <c r="E39">
        <f>3.14*E35*E35/4</f>
        <v>490.625</v>
      </c>
      <c r="F39" t="str">
        <v>mm2</v>
      </c>
    </row>
    <row r="40">
      <c r="B40" t="str">
        <v>Spacing S</v>
      </c>
      <c r="E40">
        <f>(E39*1000)/E38</f>
        <v>1323.3289250261234</v>
      </c>
      <c r="F40" t="str">
        <v>mm</v>
      </c>
    </row>
    <row r="41">
      <c r="B41" t="str">
        <v>Provide  Bars Of Dia And Spacing</v>
      </c>
      <c r="C41">
        <f>E35</f>
        <v>25</v>
      </c>
      <c r="D41" t="str">
        <v>mm</v>
      </c>
      <c r="E41">
        <v>100</v>
      </c>
      <c r="F41" t="str">
        <v>mm</v>
      </c>
      <c r="G41" t="str">
        <v>Adopt spacing as 100 mm</v>
      </c>
    </row>
    <row r="42">
      <c r="B42" t="str">
        <v>Provide  Bars Of Dia And Spacing for Top Main Steel</v>
      </c>
      <c r="C42">
        <f>C41</f>
        <v>25</v>
      </c>
      <c r="D42" t="str">
        <v>mm</v>
      </c>
      <c r="E42">
        <f>E41</f>
        <v>100</v>
      </c>
      <c r="F42" t="str">
        <v>mm</v>
      </c>
    </row>
    <row r="43">
      <c r="B43" t="str">
        <v>Provide  Bars Of Dia And Spacing for Bottom Steel</v>
      </c>
      <c r="C43">
        <v>16</v>
      </c>
      <c r="D43" t="str">
        <v>mm</v>
      </c>
      <c r="E43">
        <f>E42</f>
        <v>100</v>
      </c>
      <c r="F43" t="str">
        <v>mm</v>
      </c>
    </row>
    <row r="44">
      <c r="A44" t="str">
        <v>PIER SECTION ACROSS BRIDGE</v>
      </c>
    </row>
    <row r="45">
      <c r="A45" t="str">
        <v>DEAD LOAD MOMENT PER METRE Width  across bridge :-</v>
      </c>
    </row>
    <row r="46">
      <c r="A46" t="str">
        <v>Slab   D.L.</v>
      </c>
      <c r="C46">
        <v>0.975</v>
      </c>
      <c r="D46" t="str">
        <v xml:space="preserve">x </v>
      </c>
      <c r="E46">
        <v>15</v>
      </c>
      <c r="F46" t="str">
        <v>x.</v>
      </c>
      <c r="G46">
        <v>2.4</v>
      </c>
      <c r="H46" t="str">
        <v>=</v>
      </c>
      <c r="I46">
        <f>C46*E46*G46</f>
        <v>35.1</v>
      </c>
      <c r="J46" t="str">
        <v>T</v>
      </c>
    </row>
    <row r="47">
      <c r="A47" t="str">
        <v xml:space="preserve">D.L. of Wearing coat = </v>
      </c>
      <c r="C47">
        <v>0.075</v>
      </c>
      <c r="D47" t="str">
        <v xml:space="preserve">x </v>
      </c>
      <c r="E47">
        <v>12</v>
      </c>
      <c r="F47" t="str">
        <v>x.</v>
      </c>
      <c r="G47">
        <v>2.4</v>
      </c>
      <c r="H47" t="str">
        <v>=</v>
      </c>
      <c r="I47">
        <f>C47*E47*G47</f>
        <v>2.1599999999999997</v>
      </c>
      <c r="J47" t="str">
        <v>T</v>
      </c>
    </row>
    <row r="48">
      <c r="G48" t="str">
        <v>TOTAL</v>
      </c>
      <c r="I48">
        <f>SUM(I46:I47)</f>
        <v>37.26</v>
      </c>
      <c r="J48" t="str">
        <v>T</v>
      </c>
    </row>
    <row r="49">
      <c r="A49" t="str">
        <v xml:space="preserve">D.L. of Slab &amp; Wearing coat on half of the pier </v>
      </c>
      <c r="E49" t="str">
        <v>=</v>
      </c>
    </row>
    <row r="50">
      <c r="E50">
        <f>I48</f>
        <v>37.26</v>
      </c>
      <c r="F50" t="str">
        <v>/</v>
      </c>
      <c r="G50">
        <v>2</v>
      </c>
      <c r="H50" t="str">
        <v>=</v>
      </c>
      <c r="I50">
        <f>E50/G50</f>
        <v>18.63</v>
      </c>
      <c r="J50" t="str">
        <v>T/ M width</v>
      </c>
    </row>
    <row r="51">
      <c r="A51" t="str">
        <v xml:space="preserve">L.L on pier </v>
      </c>
      <c r="E51" t="str">
        <v xml:space="preserve">  = </v>
      </c>
      <c r="I51">
        <v>64.69</v>
      </c>
      <c r="J51" t="str">
        <v>T</v>
      </c>
    </row>
    <row r="53">
      <c r="A53" t="str">
        <v xml:space="preserve">Dispersion width along the span for </v>
      </c>
    </row>
    <row r="54">
      <c r="A54" t="str">
        <v>70 T Tracked vehical</v>
      </c>
      <c r="C54" t="str">
        <v xml:space="preserve">  = </v>
      </c>
      <c r="D54">
        <v>5.3</v>
      </c>
      <c r="E54" t="str">
        <v>M</v>
      </c>
    </row>
    <row r="56">
      <c r="A56" t="str">
        <v xml:space="preserve"> L.L. . per M  width on pier   =      </v>
      </c>
      <c r="E56">
        <f>I51</f>
        <v>64.69</v>
      </c>
      <c r="F56" t="str">
        <v>/</v>
      </c>
      <c r="G56">
        <f>D54</f>
        <v>5.3</v>
      </c>
      <c r="H56" t="str">
        <v>=</v>
      </c>
      <c r="I56">
        <f>E56/G56</f>
        <v>12.205660377358491</v>
      </c>
      <c r="J56" t="str">
        <v>T/ M width</v>
      </c>
    </row>
    <row r="57">
      <c r="A57" t="str">
        <v>Total D.L. + L.L. on half of  Pier across</v>
      </c>
      <c r="D57">
        <f>I50</f>
        <v>18.63</v>
      </c>
      <c r="E57" t="str">
        <v>+</v>
      </c>
      <c r="F57">
        <f>I56</f>
        <v>12.205660377358491</v>
      </c>
      <c r="H57" t="str">
        <v>=</v>
      </c>
      <c r="I57">
        <f>ROUNDUP((D57+F57),2)</f>
        <v>30.84</v>
      </c>
      <c r="J57" t="str">
        <v>T</v>
      </c>
    </row>
    <row r="58">
      <c r="A58" t="str">
        <v>bridge per M width</v>
      </c>
      <c r="I58" t="str">
        <v xml:space="preserve">   Per M width</v>
      </c>
    </row>
    <row r="59">
      <c r="A59" t="str">
        <v>The Live Load is with clearance from the Footpath and kerb. The cantilever portion of pier cap and width of footpath is 1500 mm</v>
      </c>
    </row>
    <row r="60">
      <c r="A60" t="str">
        <v>Hence There is no eccentricity.</v>
      </c>
    </row>
    <row r="61">
      <c r="A61" t="str">
        <v xml:space="preserve">     Bending Moment across the bridge  =</v>
      </c>
      <c r="C61">
        <f>I57</f>
        <v>30.84</v>
      </c>
      <c r="D61" t="str">
        <v>x</v>
      </c>
      <c r="E61">
        <v>0</v>
      </c>
      <c r="H61">
        <f>C61*E61</f>
        <v>0</v>
      </c>
      <c r="I61" t="str">
        <v>T - M/M width</v>
      </c>
    </row>
    <row r="62">
      <c r="A62" t="str">
        <v>Provide Minimum  steel</v>
      </c>
    </row>
    <row r="63">
      <c r="A63" t="str">
        <v>Minimum Reinforcement calculation for Pier cap :-</v>
      </c>
    </row>
    <row r="64">
      <c r="A64" t="str">
        <v xml:space="preserve"> As per clause 710.8.2, IRC- 78 - 2000, the thickness of pier</v>
      </c>
    </row>
    <row r="65">
      <c r="A65" t="str">
        <v xml:space="preserve"> cap shall be at least 200 mm  However the thickness </v>
      </c>
    </row>
    <row r="66">
      <c r="A66" t="str">
        <v xml:space="preserve"> of Pier cap here is 1200 MM.</v>
      </c>
    </row>
    <row r="67">
      <c r="A67" t="str">
        <v xml:space="preserve"> Grade of Concrete  M 30</v>
      </c>
    </row>
    <row r="68">
      <c r="A68" t="str">
        <v>Minimum Shrinkage and Temperature reinforcement required as per Clause 305.10 IRC 21-2000</v>
      </c>
    </row>
    <row r="69">
      <c r="A69" t="str">
        <v>in any RC structure is 250 Sq mm per m in each direction. Allowable maximum spacing is 300 mm.</v>
      </c>
    </row>
    <row r="70">
      <c r="A70" t="str">
        <v>Shrinkage and Temperature reinforcement required =</v>
      </c>
      <c r="F70">
        <v>250</v>
      </c>
      <c r="G70" t="str">
        <v>x</v>
      </c>
      <c r="H70">
        <v>1.2</v>
      </c>
      <c r="I70" t="str">
        <v>=</v>
      </c>
      <c r="J70">
        <f>F70*H70</f>
        <v>300</v>
      </c>
      <c r="K70" t="str">
        <v>mm2</v>
      </c>
    </row>
    <row r="71">
      <c r="A71" t="str">
        <v>Provide 25 mm tor reiforcement @ 100 mm c/c ( 14 Nos.) in top along the pier cap</v>
      </c>
    </row>
    <row r="72">
      <c r="A72" t="str">
        <v>Provide 16 mm tor reiforcement @ 100 mm c/c ( 14 Nos.) in bottom along the pier cap</v>
      </c>
    </row>
    <row r="73">
      <c r="A73" t="str">
        <v>Area of Steel Provided at top</v>
      </c>
    </row>
    <row r="74">
      <c r="A74" t="str">
        <v>= (14x 491)</v>
      </c>
      <c r="C74" t="str">
        <v>=</v>
      </c>
      <c r="D74">
        <f>14*491</f>
        <v>6874</v>
      </c>
      <c r="E74" t="str">
        <v>mm2</v>
      </c>
      <c r="F74" t="str">
        <v xml:space="preserve"> &gt; 300 mm2 </v>
      </c>
      <c r="H74" t="str">
        <v>OK</v>
      </c>
    </row>
    <row r="76">
      <c r="A76" t="str">
        <v>Area of Steel Provided at bottom</v>
      </c>
    </row>
    <row r="77">
      <c r="A77" t="str">
        <v>= (14x 201)</v>
      </c>
      <c r="C77" t="str">
        <v>=</v>
      </c>
      <c r="D77">
        <v>2814</v>
      </c>
      <c r="E77" t="str">
        <v>mm2</v>
      </c>
      <c r="F77" t="str">
        <v xml:space="preserve"> &gt; 300 mm2 </v>
      </c>
      <c r="H77" t="str">
        <v>OK</v>
      </c>
    </row>
    <row r="78">
      <c r="A78" t="str">
        <v>CHECK FOR SHEAR ALONG BRIDGE DIRECTION</v>
      </c>
    </row>
    <row r="79">
      <c r="B79" t="str">
        <v xml:space="preserve">V =  </v>
      </c>
      <c r="C79">
        <f>I57</f>
        <v>30.84</v>
      </c>
      <c r="D79" t="str">
        <v>T</v>
      </c>
    </row>
    <row r="80">
      <c r="B80" t="str">
        <v>Shear Force</v>
      </c>
      <c r="E80">
        <f>C79*10</f>
        <v>308.4</v>
      </c>
      <c r="F80" t="str">
        <v>kN</v>
      </c>
    </row>
    <row r="81">
      <c r="B81" t="str">
        <v>V=V' + M/d tanB</v>
      </c>
      <c r="C81" t="str">
        <v>(B=0) Hence V =V'</v>
      </c>
    </row>
    <row r="82">
      <c r="B82" t="str">
        <v>Actual Shear Stress</v>
      </c>
      <c r="E82">
        <f>E80*1000/$E$37/1000</f>
        <v>0.2711208791208791</v>
      </c>
      <c r="F82" t="str">
        <v>N/mm2</v>
      </c>
    </row>
    <row r="83">
      <c r="B83" t="str">
        <v>Percentage Steel</v>
      </c>
      <c r="C83" t="str">
        <v>100As/bd</v>
      </c>
      <c r="E83">
        <f>100*$D$77/(1000*$E$37)</f>
        <v>0.2473846153846154</v>
      </c>
    </row>
    <row r="84">
      <c r="B84" t="str">
        <v>Tc</v>
      </c>
      <c r="E84">
        <v>0.23</v>
      </c>
      <c r="F84" t="str">
        <v>N/mm2</v>
      </c>
    </row>
    <row r="85">
      <c r="B85" t="str">
        <v>k=1</v>
      </c>
    </row>
    <row r="86">
      <c r="B86" t="str">
        <v>Permissble Shear Stress = k Tc</v>
      </c>
      <c r="E86">
        <f>E84</f>
        <v>0.23</v>
      </c>
      <c r="F86" t="str">
        <v>N/mm2</v>
      </c>
    </row>
    <row r="87">
      <c r="D87" t="str">
        <v>&lt; Actual Shear Stress hence Shear Reinforcement should be provided</v>
      </c>
    </row>
    <row r="88">
      <c r="B88" t="str">
        <v>Dia Of two Legged Stirrups</v>
      </c>
      <c r="E88">
        <v>16</v>
      </c>
      <c r="F88" t="str">
        <v>mm</v>
      </c>
    </row>
    <row r="89">
      <c r="B89" t="str">
        <v>Area Of One Bar In Distribution Reinforcement</v>
      </c>
      <c r="E89">
        <f>3.14*E88*E88/4</f>
        <v>200.96</v>
      </c>
      <c r="F89" t="str">
        <v>mm2</v>
      </c>
    </row>
    <row r="90">
      <c r="B90" t="str">
        <v>Using The Bars Spacing Required s= Asw ts d/V</v>
      </c>
      <c r="E90">
        <f>2*E89*E28*E37/(E80*1000)</f>
        <v>296.48767833981844</v>
      </c>
      <c r="F90" t="str">
        <v>mm</v>
      </c>
    </row>
    <row r="91">
      <c r="B91" t="str">
        <v>Provide  Bars Of Dia And Spacing</v>
      </c>
      <c r="C91">
        <f>E88</f>
        <v>16</v>
      </c>
      <c r="D91" t="str">
        <v>mm</v>
      </c>
      <c r="E91">
        <v>100</v>
      </c>
      <c r="F91" t="str">
        <v>mm</v>
      </c>
      <c r="G91" t="str">
        <v>Adopt spacing as 100 mm</v>
      </c>
    </row>
    <row r="92">
      <c r="A92" t="str">
        <v>HOWEVER</v>
      </c>
    </row>
    <row r="93">
      <c r="A93" t="str">
        <v xml:space="preserve">Provide 16 mm tor 2 legged vertical stirrups @ 100 mm centre to centre along the pier cap </v>
      </c>
    </row>
    <row r="94">
      <c r="A94" t="str">
        <v>Provide 16 mm tor 2 legged horizontal stirrups @ 100 mm centre to centre along the pier cap</v>
      </c>
    </row>
    <row r="96">
      <c r="A96" t="str">
        <v xml:space="preserve"> SHEAR CHECK ACROSS BRIDGE  DIRECTION </v>
      </c>
    </row>
    <row r="97">
      <c r="B97" t="str">
        <v xml:space="preserve">V =  </v>
      </c>
      <c r="C97">
        <v>20.3</v>
      </c>
      <c r="D97" t="str">
        <v>T</v>
      </c>
    </row>
    <row r="98">
      <c r="B98" t="str">
        <v>Shear Force</v>
      </c>
      <c r="E98">
        <f>C97*10</f>
        <v>203</v>
      </c>
      <c r="F98" t="str">
        <v>kN</v>
      </c>
    </row>
    <row r="99">
      <c r="B99" t="str">
        <v>V=V' + M/d tanB</v>
      </c>
      <c r="C99" t="str">
        <v>(B=0) Hence V =V'</v>
      </c>
    </row>
    <row r="100">
      <c r="B100" t="str">
        <v>Actual Shear Stress</v>
      </c>
      <c r="E100">
        <f>E98*1000/$E$37/1000</f>
        <v>0.17846153846153845</v>
      </c>
      <c r="F100" t="str">
        <v>N/mm2</v>
      </c>
    </row>
    <row r="101">
      <c r="B101" t="str">
        <v>Percentage Steel</v>
      </c>
      <c r="C101" t="str">
        <v>100As/bd</v>
      </c>
      <c r="E101">
        <f>100*$D$77/(1000*$E$37)</f>
        <v>0.2473846153846154</v>
      </c>
    </row>
    <row r="102">
      <c r="B102" t="str">
        <v>Tc</v>
      </c>
      <c r="E102">
        <v>0.23</v>
      </c>
      <c r="F102" t="str">
        <v>N/mm2</v>
      </c>
    </row>
    <row r="103">
      <c r="B103" t="str">
        <v>k=1</v>
      </c>
    </row>
    <row r="104">
      <c r="B104" t="str">
        <v>Permissble Shear Stress = k Tc</v>
      </c>
      <c r="E104">
        <f>E102</f>
        <v>0.23</v>
      </c>
      <c r="F104" t="str">
        <v>N/mm2</v>
      </c>
    </row>
    <row r="105">
      <c r="D105" t="str">
        <v>&gt; Actual Shear Stress hence No Shear Reinforcement is required.</v>
      </c>
    </row>
    <row r="106">
      <c r="A106" t="str">
        <v>HOWEVER</v>
      </c>
    </row>
    <row r="107">
      <c r="A107" t="str">
        <v xml:space="preserve">Provide 16 mm tor 2 legged vertical stirrups @ 100 mm centre to centre along the pier cap </v>
      </c>
    </row>
    <row r="108">
      <c r="A108" t="str">
        <v>Provide 16 mm tor 2 legged horizontal stirrups @ 100 mm centre to centre along the pier cap</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sheetData>
    <row r="1">
      <c r="A1" t="str">
        <v xml:space="preserve">CALCULATION OF LIVE LOAD REACTION  FOR PIER SUBSTRUCTURE </v>
      </c>
    </row>
    <row r="2">
      <c r="A2" t="str">
        <v>FOR SIMPLY SUPPORTED SPANS OF A TWO LANE BRIDGE STRUCTURE</v>
      </c>
    </row>
    <row r="4">
      <c r="A4" t="str">
        <v>Centre line of pier w.r.t. the bearings :-</v>
      </c>
    </row>
    <row r="6">
      <c r="A6" t="str">
        <v>Rb</v>
      </c>
      <c r="B6" t="str">
        <v>=</v>
      </c>
      <c r="C6">
        <v>0.3</v>
      </c>
      <c r="D6" t="str">
        <v>m</v>
      </c>
    </row>
    <row r="7">
      <c r="A7" t="str">
        <v>Rc</v>
      </c>
      <c r="B7" t="str">
        <v>=</v>
      </c>
      <c r="C7">
        <v>0.3</v>
      </c>
      <c r="D7" t="str">
        <v>m</v>
      </c>
    </row>
    <row r="9">
      <c r="A9" t="str">
        <v>Reaction has been calculated for the following cases</v>
      </c>
    </row>
    <row r="10">
      <c r="A10" t="str">
        <v>1.</v>
      </c>
      <c r="B10" t="str">
        <v>One lane of class 70-R(W)</v>
      </c>
    </row>
    <row r="11">
      <c r="A11" t="str">
        <v>2.</v>
      </c>
      <c r="B11" t="str">
        <v>One lane of class - A</v>
      </c>
    </row>
    <row r="12">
      <c r="A12" t="str">
        <v>3.</v>
      </c>
      <c r="B12" t="str">
        <v>Two lane of class - A</v>
      </c>
    </row>
    <row r="13">
      <c r="A13" t="str">
        <v>4.</v>
      </c>
      <c r="B13" t="str">
        <v>Three lane of class - A</v>
      </c>
    </row>
    <row r="14">
      <c r="A14" t="str">
        <v>5.</v>
      </c>
      <c r="B14" t="str">
        <v>One lane of class 70-R(W) + One lane of class - A</v>
      </c>
    </row>
    <row r="16">
      <c r="A16" t="str">
        <v>Condition A:</v>
      </c>
      <c r="C16" t="str">
        <v>MAXIMUM LONGITUDINAL MOMENT CASE</v>
      </c>
    </row>
    <row r="18">
      <c r="A18" t="str">
        <v>Case 1:</v>
      </c>
      <c r="B18" t="str">
        <v>One lane of class 70-R(W)</v>
      </c>
    </row>
    <row r="19">
      <c r="D19" t="str">
        <v>Cg of</v>
      </c>
      <c r="E19">
        <f>VLOOKUP(span,AA27:AC39,2,0.1)</f>
        <v>80</v>
      </c>
    </row>
    <row r="20">
      <c r="E20">
        <f>VLOOKUP(span,AA27:AC39,3,0.1)</f>
        <v>3.65</v>
      </c>
    </row>
    <row r="23">
      <c r="E23" t="str">
        <v xml:space="preserve">    </v>
      </c>
    </row>
    <row r="25">
      <c r="A25">
        <v>0.3</v>
      </c>
      <c r="B25" t="str">
        <v>m</v>
      </c>
      <c r="C25">
        <f>7.6+0.375+0.375</f>
        <v>8.35</v>
      </c>
      <c r="D25" t="str">
        <v>m</v>
      </c>
      <c r="E25" t="str">
        <v xml:space="preserve">Rb </v>
      </c>
      <c r="F25" t="str">
        <v>Rc</v>
      </c>
      <c r="H25">
        <f>span</f>
        <v>8.35</v>
      </c>
      <c r="I25">
        <v>0.3</v>
      </c>
    </row>
    <row r="26">
      <c r="B26" t="str">
        <v>Ra</v>
      </c>
      <c r="E26">
        <v>0.3</v>
      </c>
      <c r="F26">
        <v>0.3</v>
      </c>
      <c r="I26" t="str">
        <v>Rd</v>
      </c>
      <c r="AA26" t="str">
        <v>span</v>
      </c>
      <c r="AB26" t="str">
        <v>load</v>
      </c>
      <c r="AC26" t="str">
        <v>cg</v>
      </c>
    </row>
    <row r="27">
      <c r="AA27">
        <v>4.42</v>
      </c>
      <c r="AB27">
        <v>51</v>
      </c>
      <c r="AC27">
        <v>1.93</v>
      </c>
    </row>
    <row r="28">
      <c r="B28" t="str">
        <v xml:space="preserve">Rb =  </v>
      </c>
      <c r="C28" t="str">
        <f>CONCATENATE(E19,"*(",C25,"-",E20,"+",E26,")/",C25)</f>
        <v>80*(8.35-3.65+0.3)/8.35</v>
      </c>
      <c r="H28" t="str">
        <v>=</v>
      </c>
      <c r="I28">
        <f>E19*(C25-E20+1.6)/C25</f>
        <v>60.35928143712574</v>
      </c>
      <c r="J28" t="str">
        <v>t</v>
      </c>
      <c r="AA28">
        <v>5.79</v>
      </c>
      <c r="AB28">
        <v>68</v>
      </c>
      <c r="AC28">
        <v>2.895</v>
      </c>
    </row>
    <row r="29">
      <c r="B29" t="str">
        <v xml:space="preserve">Rc =  </v>
      </c>
      <c r="H29" t="str">
        <v>=</v>
      </c>
      <c r="I29">
        <v>0</v>
      </c>
      <c r="J29" t="str">
        <v>t</v>
      </c>
      <c r="AA29">
        <v>7.92</v>
      </c>
      <c r="AB29">
        <v>80</v>
      </c>
      <c r="AC29">
        <v>3.65</v>
      </c>
    </row>
    <row r="30">
      <c r="B30" t="str">
        <v>Ra=</v>
      </c>
      <c r="H30" t="str">
        <v>=</v>
      </c>
      <c r="I30">
        <f>E19-I28</f>
        <v>19.640718562874262</v>
      </c>
      <c r="J30" t="str">
        <v>t</v>
      </c>
    </row>
    <row r="31">
      <c r="B31" t="str">
        <v>Vert.Reaction=</v>
      </c>
      <c r="D31" t="str">
        <f>CONCATENATE(ROUND(I28,1)," + ",ROUND(I29,1))</f>
        <v>60.4 + 0</v>
      </c>
      <c r="H31" t="str">
        <v>=</v>
      </c>
      <c r="I31">
        <f>I28+I29</f>
        <v>60.35928143712574</v>
      </c>
      <c r="J31" t="str">
        <v>t</v>
      </c>
      <c r="AA31">
        <v>9.44</v>
      </c>
      <c r="AB31">
        <v>92</v>
      </c>
      <c r="AC31">
        <v>4.4</v>
      </c>
    </row>
    <row r="32">
      <c r="B32" t="str">
        <v>Braking Force, B =</v>
      </c>
      <c r="D32" t="str">
        <f>CONCATENATE("0.2*",E19)</f>
        <v>0.2*80</v>
      </c>
      <c r="H32" t="str">
        <v>=</v>
      </c>
      <c r="I32">
        <f>0.2*E19</f>
        <v>16</v>
      </c>
      <c r="J32" t="str">
        <v>t</v>
      </c>
      <c r="AA32">
        <v>13.4</v>
      </c>
      <c r="AB32">
        <v>100</v>
      </c>
      <c r="AC32">
        <v>5.12</v>
      </c>
    </row>
    <row r="33">
      <c r="B33" t="str">
        <v>Dead load reaction on the pier , Rg</v>
      </c>
      <c r="H33" t="str">
        <v>=</v>
      </c>
      <c r="I33">
        <v>485</v>
      </c>
      <c r="J33" t="str">
        <v>t</v>
      </c>
    </row>
    <row r="35">
      <c r="B35" t="str">
        <v>Value of " m " =</v>
      </c>
      <c r="H35" t="str">
        <v>=</v>
      </c>
      <c r="I35">
        <v>0</v>
      </c>
    </row>
    <row r="36">
      <c r="B36" t="str">
        <v>Horizontal force due to temperature, T = m*(Rg+Ra)</v>
      </c>
      <c r="H36" t="str">
        <v>=</v>
      </c>
      <c r="I36">
        <f>I35*(I33+I30)</f>
        <v>0</v>
      </c>
      <c r="J36" t="str">
        <v>t</v>
      </c>
    </row>
    <row r="37">
      <c r="B37" t="str">
        <v>Design horizontal force is higher of either ( B/2+T ) or ( B-T )</v>
      </c>
      <c r="H37" t="str">
        <v>=</v>
      </c>
      <c r="I37">
        <f>MAX(I32/2+I36,I32-I36)</f>
        <v>16</v>
      </c>
      <c r="J37" t="str">
        <v>t</v>
      </c>
    </row>
    <row r="38">
      <c r="B38" t="str">
        <v>( neglecting shear rating of elastomeric bearing in the adjacent span, which is on the conservative side )</v>
      </c>
    </row>
    <row r="39">
      <c r="AA39">
        <f>$C$25+$A$25+($E$26-0.04)/2</f>
        <v>8.780000000000001</v>
      </c>
    </row>
    <row r="40">
      <c r="B40" t="str">
        <v>CL of 70-R</v>
      </c>
      <c r="F40" t="str">
        <v>CL of c/w</v>
      </c>
    </row>
    <row r="41">
      <c r="C41">
        <v>2.595</v>
      </c>
      <c r="D41">
        <f>$E$44/2-C41</f>
        <v>1.605</v>
      </c>
    </row>
    <row r="44">
      <c r="E44">
        <v>8.4</v>
      </c>
      <c r="F44" t="str">
        <v>m</v>
      </c>
    </row>
    <row r="45">
      <c r="B45" t="str">
        <v xml:space="preserve">Transverse eccentricity </v>
      </c>
      <c r="H45" t="str">
        <v>=</v>
      </c>
      <c r="I45">
        <v>2.905</v>
      </c>
      <c r="J45" t="str">
        <v>m</v>
      </c>
    </row>
    <row r="46">
      <c r="B46" t="str">
        <v>Transverse moment =</v>
      </c>
      <c r="E46" t="str">
        <f>CONCATENATE(I45,"*","(",ROUND(I28,1)," + ",I29,")")</f>
        <v>2.905*(60.4 + 0)</v>
      </c>
      <c r="H46" t="str">
        <v>=</v>
      </c>
      <c r="I46">
        <f>I45*I28</f>
        <v>175.34371257485026</v>
      </c>
      <c r="J46" t="str">
        <v>t.m</v>
      </c>
    </row>
    <row r="47">
      <c r="B47" t="str">
        <v>Long. moment =</v>
      </c>
      <c r="D47" t="str">
        <f>CONCATENATE(ROUND(I28,1),"*",C6,"-",ROUND(I29,1),"*",C7)</f>
        <v>60.4*0.3-0*0.3</v>
      </c>
      <c r="H47" t="str">
        <v>=</v>
      </c>
      <c r="I47">
        <f>I31*C6-I29*C7</f>
        <v>18.10778443113772</v>
      </c>
      <c r="J47" t="str">
        <v>t.m</v>
      </c>
    </row>
    <row r="48">
      <c r="B48" t="str">
        <v>Long. Eccentricity ( for input)</v>
      </c>
      <c r="H48" t="str">
        <v>=</v>
      </c>
      <c r="I48">
        <f>I47/I31</f>
        <v>0.3</v>
      </c>
      <c r="J48" t="str">
        <v>m</v>
      </c>
    </row>
    <row r="50">
      <c r="A50" t="str">
        <v>B)</v>
      </c>
      <c r="B50" t="str">
        <v>One lane of class-A</v>
      </c>
      <c r="AC50" t="str">
        <v>SPAN</v>
      </c>
      <c r="AD50" t="str">
        <v>LOAD</v>
      </c>
      <c r="AE50" t="str">
        <v>CG</v>
      </c>
    </row>
    <row r="51">
      <c r="D51" t="str">
        <v>Cg of</v>
      </c>
      <c r="E51">
        <v>55.4</v>
      </c>
      <c r="AC51">
        <v>5.5</v>
      </c>
      <c r="AD51">
        <v>29.6</v>
      </c>
      <c r="AE51">
        <v>1.73</v>
      </c>
    </row>
    <row r="52">
      <c r="E52">
        <v>9.7</v>
      </c>
      <c r="G52">
        <v>0</v>
      </c>
      <c r="AC52">
        <v>8.5</v>
      </c>
      <c r="AD52">
        <v>36.4</v>
      </c>
      <c r="AE52">
        <v>2.99</v>
      </c>
    </row>
    <row r="53">
      <c r="AC53">
        <v>11.5</v>
      </c>
      <c r="AD53">
        <v>43.2</v>
      </c>
      <c r="AE53">
        <v>4.33</v>
      </c>
    </row>
    <row r="54">
      <c r="AC54">
        <v>14.5</v>
      </c>
      <c r="AD54">
        <v>50</v>
      </c>
      <c r="AE54">
        <v>5.71</v>
      </c>
    </row>
    <row r="55">
      <c r="AC55">
        <v>24</v>
      </c>
      <c r="AD55">
        <v>50</v>
      </c>
      <c r="AE55">
        <v>5.71</v>
      </c>
    </row>
    <row r="56">
      <c r="AC56">
        <f>AA39</f>
        <v>8.780000000000001</v>
      </c>
    </row>
    <row r="57">
      <c r="A57">
        <f>A25</f>
        <v>0.3</v>
      </c>
      <c r="B57" t="str">
        <v>m</v>
      </c>
      <c r="C57">
        <f>C25</f>
        <v>8.35</v>
      </c>
      <c r="D57" t="str">
        <v>m</v>
      </c>
      <c r="E57" t="str">
        <v>Rb</v>
      </c>
      <c r="F57" t="str">
        <v>Rc</v>
      </c>
      <c r="H57">
        <f>H25</f>
        <v>8.35</v>
      </c>
      <c r="I57" t="str">
        <v>m</v>
      </c>
      <c r="J57">
        <f>I25</f>
        <v>0.3</v>
      </c>
      <c r="K57" t="str">
        <v>m</v>
      </c>
    </row>
    <row r="58">
      <c r="B58" t="str">
        <v>Ra</v>
      </c>
      <c r="E58">
        <f>+E26</f>
        <v>0.3</v>
      </c>
      <c r="F58">
        <v>0.3</v>
      </c>
      <c r="I58" t="str">
        <v>Rd</v>
      </c>
    </row>
    <row r="60">
      <c r="B60" t="str">
        <v xml:space="preserve">Rc =  </v>
      </c>
      <c r="C60" t="str">
        <f>CONCATENATE(G52,"*(",C57,"-",A57,")/",C57)</f>
        <v>0*(8.35-0.3)/8.35</v>
      </c>
      <c r="H60" t="str">
        <v>=</v>
      </c>
      <c r="I60">
        <f>G52*(C57-F52+A57)/C57</f>
        <v>0</v>
      </c>
      <c r="J60" t="str">
        <v>t</v>
      </c>
    </row>
    <row r="61">
      <c r="B61" t="str">
        <v xml:space="preserve">Rb =  </v>
      </c>
      <c r="C61" t="str">
        <f>CONCATENATE(E51,"*(",C57,"-",E52,"+",E58,"/2)/",C57)</f>
        <v>55.4*(8.35-9.7+0.3/2)/8.35</v>
      </c>
      <c r="H61" t="str">
        <v>=</v>
      </c>
      <c r="I61">
        <f>-E51*(C57-E52+E58)/C57</f>
        <v>6.966467065868261</v>
      </c>
      <c r="J61" t="str">
        <v>t</v>
      </c>
    </row>
    <row r="62">
      <c r="B62" t="str">
        <v>Ra=</v>
      </c>
      <c r="H62" t="str">
        <v>=</v>
      </c>
      <c r="I62">
        <f>E51-I61</f>
        <v>48.43353293413174</v>
      </c>
      <c r="J62" t="str">
        <v>t</v>
      </c>
    </row>
    <row r="63">
      <c r="B63" t="str">
        <v>Vert.Reaction =</v>
      </c>
      <c r="D63" t="str">
        <f>CONCATENATE(ROUND(I62,1)," + ",ROUND(I61,1))</f>
        <v>48.4 + 7</v>
      </c>
      <c r="H63" t="str">
        <v>=</v>
      </c>
      <c r="I63">
        <f>I62+I61</f>
        <v>55.4</v>
      </c>
      <c r="J63" t="str">
        <v>t</v>
      </c>
    </row>
    <row r="64">
      <c r="B64" t="str">
        <v>Braking Force, B =</v>
      </c>
      <c r="D64" t="str">
        <f>CONCATENATE(0.2,"*(",G52,"+",E51,")")</f>
        <v>0.2*(0+55.4)</v>
      </c>
      <c r="H64" t="str">
        <v>=</v>
      </c>
      <c r="I64">
        <f>0.2*(G52+E51)</f>
        <v>11.08</v>
      </c>
      <c r="J64" t="str">
        <v>t</v>
      </c>
    </row>
    <row r="65">
      <c r="B65" t="str">
        <v>Dead load reaction on the pier , Rg</v>
      </c>
      <c r="H65" t="str">
        <v>=</v>
      </c>
      <c r="I65">
        <f>I33</f>
        <v>485</v>
      </c>
      <c r="J65" t="str">
        <v>t</v>
      </c>
    </row>
    <row r="66">
      <c r="B66" t="str">
        <v>Value of " m " =</v>
      </c>
      <c r="H66" t="str">
        <v>=</v>
      </c>
      <c r="I66">
        <v>0</v>
      </c>
    </row>
    <row r="67">
      <c r="B67" t="str">
        <v>Horizontal force due to temperature, T = m*(Rg+Ra)</v>
      </c>
      <c r="H67" t="str">
        <v>=</v>
      </c>
      <c r="I67">
        <f>I66*(I65+I62)</f>
        <v>0</v>
      </c>
      <c r="J67" t="str">
        <v>t</v>
      </c>
    </row>
    <row r="68">
      <c r="B68" t="str">
        <v>Design horizontal force is higher of either ( B/2+T ) or ( B-T )</v>
      </c>
      <c r="H68" t="str">
        <v>=</v>
      </c>
      <c r="I68">
        <f>MAX(I64/2+I67,I64-I67)</f>
        <v>11.08</v>
      </c>
      <c r="J68" t="str">
        <v>t</v>
      </c>
    </row>
    <row r="69">
      <c r="B69" t="str">
        <v>( neglecting shear rating of elastomeric bearing in the adjacent span, which is on the conservative side )</v>
      </c>
    </row>
    <row r="71">
      <c r="B71" t="str">
        <v xml:space="preserve">CL class A(1L) </v>
      </c>
      <c r="F71" t="str">
        <v>CL of c/w</v>
      </c>
    </row>
    <row r="72">
      <c r="C72">
        <v>1.3</v>
      </c>
      <c r="D72">
        <f>E75/2-C72</f>
        <v>2.9000000000000004</v>
      </c>
    </row>
    <row r="75">
      <c r="E75">
        <f>E44</f>
        <v>8.4</v>
      </c>
      <c r="F75" t="str">
        <v>m</v>
      </c>
    </row>
    <row r="76">
      <c r="B76" t="str">
        <v xml:space="preserve">Transverse eccentricity </v>
      </c>
      <c r="H76" t="str">
        <v>=</v>
      </c>
      <c r="I76">
        <f>D72</f>
        <v>2.9000000000000004</v>
      </c>
      <c r="J76" t="str">
        <v>m</v>
      </c>
    </row>
    <row r="77">
      <c r="B77" t="str">
        <v>Transverse moment =</v>
      </c>
      <c r="E77" t="str">
        <f>CONCATENATE(I76,"*",ROUND(I63,1))</f>
        <v>2.9*55.4</v>
      </c>
      <c r="H77" t="str">
        <v>=</v>
      </c>
      <c r="I77">
        <f>I76*I63</f>
        <v>160.66000000000003</v>
      </c>
      <c r="J77" t="str">
        <v>t.m</v>
      </c>
    </row>
    <row r="78">
      <c r="B78" t="str">
        <v>Long. moment =</v>
      </c>
      <c r="D78" t="str">
        <f>CONCATENATE(ROUND(I61,1),"*",C6,"-",ROUND(I60,1),"*",C7)</f>
        <v>7*0.3-0*0.3</v>
      </c>
      <c r="H78" t="str">
        <v>=</v>
      </c>
      <c r="I78">
        <f>I61*C6-I60*C7</f>
        <v>2.0899401197604783</v>
      </c>
      <c r="J78" t="str">
        <v>t.m</v>
      </c>
    </row>
    <row r="79">
      <c r="B79" t="str">
        <v>Long. Eccentricity ( for input)</v>
      </c>
      <c r="H79" t="str">
        <v>=</v>
      </c>
      <c r="I79">
        <f>I78/I63</f>
        <v>0.037724550898203583</v>
      </c>
      <c r="J79" t="str">
        <v>m</v>
      </c>
    </row>
    <row r="82">
      <c r="A82" t="str">
        <v>Case 3 :</v>
      </c>
      <c r="B82" t="str">
        <v>Two lane of class-A</v>
      </c>
    </row>
    <row r="84">
      <c r="B84" t="str">
        <v xml:space="preserve">Rc =  </v>
      </c>
      <c r="C84" t="str">
        <f>CONCATENATE("2*",ROUND(I60,1))</f>
        <v>2*0</v>
      </c>
      <c r="H84" t="str">
        <v>=</v>
      </c>
      <c r="I84">
        <f>2*I60</f>
        <v>0</v>
      </c>
      <c r="J84" t="str">
        <v>t</v>
      </c>
    </row>
    <row r="85">
      <c r="B85" t="str">
        <v xml:space="preserve">Rb =  </v>
      </c>
      <c r="C85" t="str">
        <f>CONCATENATE("2*",ROUND(I61,1))</f>
        <v>2*7</v>
      </c>
      <c r="H85" t="str">
        <v>=</v>
      </c>
      <c r="I85">
        <f>2*I61</f>
        <v>13.932934131736522</v>
      </c>
      <c r="J85" t="str">
        <v>t</v>
      </c>
    </row>
    <row r="86">
      <c r="B86" t="str">
        <v>Ra=</v>
      </c>
      <c r="H86" t="str">
        <v>=</v>
      </c>
      <c r="I86">
        <f>2*E51-I85</f>
        <v>96.86706586826348</v>
      </c>
      <c r="J86" t="str">
        <v>t</v>
      </c>
    </row>
    <row r="87">
      <c r="B87" t="str">
        <v>Vert.Reaction =</v>
      </c>
      <c r="D87" t="str">
        <f>CONCATENATE(ROUND(I84,1)," + ",ROUND(I85,1))</f>
        <v>0 + 13.9</v>
      </c>
      <c r="H87" t="str">
        <v>=</v>
      </c>
      <c r="I87">
        <f>I84+I85</f>
        <v>13.932934131736522</v>
      </c>
      <c r="J87" t="str">
        <v>t</v>
      </c>
    </row>
    <row r="88">
      <c r="B88" t="str">
        <v>Braking Force(For single lane only)</v>
      </c>
      <c r="H88" t="str">
        <v>=</v>
      </c>
      <c r="I88">
        <f>I64</f>
        <v>11.08</v>
      </c>
      <c r="J88" t="str">
        <v>t</v>
      </c>
    </row>
    <row r="89">
      <c r="B89" t="str">
        <v>Dead load reaction on the pier , Rg</v>
      </c>
      <c r="H89" t="str">
        <v>=</v>
      </c>
      <c r="I89">
        <f>I33</f>
        <v>485</v>
      </c>
      <c r="J89" t="str">
        <v>t</v>
      </c>
    </row>
    <row r="90">
      <c r="B90" t="str">
        <v>Value of " m " =</v>
      </c>
      <c r="H90" t="str">
        <v>=</v>
      </c>
      <c r="I90">
        <v>0</v>
      </c>
    </row>
    <row r="91">
      <c r="B91" t="str">
        <v>Horizontal force due to temperature, T = m*(Rg+Ra)</v>
      </c>
      <c r="H91" t="str">
        <v>=</v>
      </c>
      <c r="I91">
        <f>I90*(I89+I86)</f>
        <v>0</v>
      </c>
      <c r="J91" t="str">
        <v>t</v>
      </c>
    </row>
    <row r="92">
      <c r="B92" t="str">
        <v>Design horizontal force is higher of either ( B/2+T ) or ( B-T )</v>
      </c>
      <c r="H92" t="str">
        <v>=</v>
      </c>
      <c r="I92">
        <f>MAX(I88/2+I91,I88-I91)</f>
        <v>11.08</v>
      </c>
      <c r="J92" t="str">
        <v>t</v>
      </c>
    </row>
    <row r="93">
      <c r="B93" t="str">
        <v>( neglecting shear rating of elastomeric bearing in the adjacent span, which is on the conservative side )</v>
      </c>
    </row>
    <row r="95">
      <c r="B95" t="str">
        <v xml:space="preserve">CL class A(2L) </v>
      </c>
      <c r="F95" t="str">
        <v>CL of c/w</v>
      </c>
    </row>
    <row r="96">
      <c r="C96">
        <v>3.05</v>
      </c>
      <c r="D96">
        <f>E99/2-C96</f>
        <v>1.1500000000000004</v>
      </c>
    </row>
    <row r="99">
      <c r="E99">
        <f>E44</f>
        <v>8.4</v>
      </c>
      <c r="F99" t="str">
        <v>m</v>
      </c>
    </row>
    <row r="100">
      <c r="B100" t="str">
        <v xml:space="preserve">Transverse eccentricity </v>
      </c>
      <c r="H100" t="str">
        <v>=</v>
      </c>
      <c r="I100">
        <f>D96</f>
        <v>1.1500000000000004</v>
      </c>
      <c r="J100" t="str">
        <v>m</v>
      </c>
    </row>
    <row r="101">
      <c r="B101" t="str">
        <v>Transverse moment =</v>
      </c>
      <c r="E101" t="str">
        <f>CONCATENATE(I100,"*",ROUND(I87,1))</f>
        <v>1.15*13.9</v>
      </c>
      <c r="H101" t="str">
        <v>=</v>
      </c>
      <c r="I101">
        <f>I87*I100</f>
        <v>16.022874251497004</v>
      </c>
      <c r="J101" t="str">
        <v>t.m</v>
      </c>
    </row>
    <row r="102">
      <c r="B102" t="str">
        <v>Long. moment =</v>
      </c>
      <c r="D102" t="str">
        <f>CONCATENATE(ROUND(I85,1),"*",C6,"-",ROUND(I84,1),"*",C7)</f>
        <v>13.9*0.3-0*0.3</v>
      </c>
      <c r="H102" t="str">
        <v>=</v>
      </c>
      <c r="I102">
        <f>ABS(I85*C6-I84*C7)</f>
        <v>4.179880239520957</v>
      </c>
      <c r="J102" t="str">
        <v>t.m</v>
      </c>
    </row>
    <row r="103">
      <c r="B103" t="str">
        <v>Long. Eccentricity ( for input)</v>
      </c>
      <c r="H103" t="str">
        <v>=</v>
      </c>
      <c r="I103">
        <f>I102/I87</f>
        <v>0.3</v>
      </c>
      <c r="J103" t="str">
        <v>m</v>
      </c>
    </row>
    <row r="106">
      <c r="A106" t="str">
        <v>Case 4 :</v>
      </c>
      <c r="B106" t="str">
        <v>Three lane of class-A</v>
      </c>
    </row>
    <row r="108">
      <c r="B108" t="str">
        <v xml:space="preserve">Rc =  </v>
      </c>
      <c r="C108" t="str">
        <f>CONCATENATE("90% of"," 3*",ROUND(I60,1))</f>
        <v>90% of 3*0</v>
      </c>
      <c r="H108" t="str">
        <v>=</v>
      </c>
      <c r="I108">
        <f>0.9*3*I60</f>
        <v>0</v>
      </c>
      <c r="J108" t="str">
        <v>t</v>
      </c>
    </row>
    <row r="109">
      <c r="B109" t="str">
        <v xml:space="preserve">Rb =  </v>
      </c>
      <c r="C109" t="str">
        <f>CONCATENATE("90% of"," 3*",ROUND(I61,1))</f>
        <v>90% of 3*7</v>
      </c>
      <c r="H109" t="str">
        <v>=</v>
      </c>
      <c r="I109">
        <f>0.9*3*I61</f>
        <v>18.809461077844304</v>
      </c>
      <c r="J109" t="str">
        <v>t</v>
      </c>
    </row>
    <row r="110">
      <c r="B110" t="str">
        <v>Ra=</v>
      </c>
      <c r="H110" t="str">
        <v>=</v>
      </c>
      <c r="I110">
        <f>load1*0.9*3-I109</f>
        <v>61.1105389221557</v>
      </c>
      <c r="J110" t="str">
        <v>t</v>
      </c>
    </row>
    <row r="111">
      <c r="B111" t="str">
        <v>Vert.Reaction =</v>
      </c>
      <c r="D111" t="str">
        <f>CONCATENATE(ROUND(I108,1)," + ",ROUND(I109,1))</f>
        <v>0 + 18.8</v>
      </c>
      <c r="I111">
        <f>I108+I109</f>
        <v>18.809461077844304</v>
      </c>
    </row>
    <row r="112">
      <c r="B112" t="str">
        <v>Braking Force, B =</v>
      </c>
      <c r="D112" t="str">
        <f>CONCATENATE("(0.2)*",55.4,"+","0.05*",55.4)</f>
        <v>(0.2)*55.4+0.05*55.4</v>
      </c>
      <c r="H112" t="str">
        <v>=</v>
      </c>
      <c r="I112">
        <f>(0.2)*55.4+(0.05)*55.4</f>
        <v>13.85</v>
      </c>
      <c r="J112" t="str">
        <v>t</v>
      </c>
    </row>
    <row r="113">
      <c r="B113" t="str">
        <v>(5% extra taken for third lane)</v>
      </c>
    </row>
    <row r="114">
      <c r="B114" t="str">
        <v>Dead load reaction on the pier , Rg</v>
      </c>
      <c r="H114" t="str">
        <v>=</v>
      </c>
      <c r="I114">
        <f>I33</f>
        <v>485</v>
      </c>
      <c r="J114" t="str">
        <v>t</v>
      </c>
    </row>
    <row r="115">
      <c r="B115" t="str">
        <v>Value of " m " =</v>
      </c>
      <c r="H115" t="str">
        <v>=</v>
      </c>
      <c r="I115">
        <v>0</v>
      </c>
    </row>
    <row r="116">
      <c r="B116" t="str">
        <v>Horizontal force due to temperature, T = m*(Rg+Ra)</v>
      </c>
      <c r="H116" t="str">
        <v>=</v>
      </c>
      <c r="I116">
        <f>I115*(I114+I111)</f>
        <v>0</v>
      </c>
      <c r="J116" t="str">
        <v>t</v>
      </c>
    </row>
    <row r="117">
      <c r="B117" t="str">
        <v>Design horizontal force is higher of either ( B/2+T ) or ( B-T )</v>
      </c>
      <c r="H117" t="str">
        <v>=</v>
      </c>
      <c r="I117">
        <f>MAX(I112/2+I116,I112-I116)</f>
        <v>13.85</v>
      </c>
      <c r="J117" t="str">
        <v>t</v>
      </c>
    </row>
    <row r="118">
      <c r="B118" t="str">
        <v>( neglecting shear rating of elastomeric bearing in the adjacent span, which is on the conservative side )</v>
      </c>
    </row>
    <row r="120">
      <c r="B120" t="str">
        <v xml:space="preserve">CL class A(3L) </v>
      </c>
      <c r="F120" t="str">
        <v>CL of c/w</v>
      </c>
    </row>
    <row r="121">
      <c r="C121">
        <v>4.8</v>
      </c>
      <c r="E121">
        <f>E124/2-C121</f>
        <v>0.7000000000000002</v>
      </c>
    </row>
    <row r="124">
      <c r="E124">
        <v>11</v>
      </c>
      <c r="F124" t="str">
        <v>m</v>
      </c>
    </row>
    <row r="125">
      <c r="B125" t="str">
        <v xml:space="preserve">Transverse eccentricity </v>
      </c>
      <c r="H125" t="str">
        <v>=</v>
      </c>
      <c r="I125">
        <f>E121</f>
        <v>0.7000000000000002</v>
      </c>
      <c r="J125" t="str">
        <v>m</v>
      </c>
    </row>
    <row r="126">
      <c r="B126" t="str">
        <v>Transverse moment =</v>
      </c>
      <c r="E126" t="str">
        <f>CONCATENATE(I125,"*",ROUND(I111,1))</f>
        <v>0.7*18.8</v>
      </c>
      <c r="H126" t="str">
        <v>=</v>
      </c>
      <c r="I126">
        <f>I125*I111</f>
        <v>13.166622754491016</v>
      </c>
      <c r="J126" t="str">
        <v>t.m</v>
      </c>
    </row>
    <row r="127">
      <c r="B127" t="str">
        <v>Long. moment =</v>
      </c>
      <c r="D127" t="str">
        <f>CONCATENATE(ROUND(I109,1),"*",C6,"-",ROUND(I108,1),"*",C7)</f>
        <v>18.8*0.3-0*0.3</v>
      </c>
      <c r="H127" t="str">
        <v>=</v>
      </c>
      <c r="I127">
        <f>ABS(I109*C6-I108*C7)</f>
        <v>5.642838323353291</v>
      </c>
      <c r="J127" t="str">
        <v>t.m</v>
      </c>
    </row>
    <row r="128">
      <c r="B128" t="str">
        <v>Long. Eccentricity ( for input)</v>
      </c>
      <c r="H128" t="str">
        <v>=</v>
      </c>
      <c r="I128">
        <f>I127/I111</f>
        <v>0.3</v>
      </c>
      <c r="J128" t="str">
        <v>m</v>
      </c>
    </row>
    <row r="130">
      <c r="A130" t="str">
        <v>Case 5 :</v>
      </c>
      <c r="B130" t="str">
        <v>One lane of class-70R(W)+One lane of class-A</v>
      </c>
    </row>
    <row r="132">
      <c r="B132" t="str">
        <v xml:space="preserve">Rc =  </v>
      </c>
      <c r="C132" t="str">
        <f>CONCATENATE("90% of","(",ROUND(I60,2),"+",ROUND(I29,2),")")</f>
        <v>90% of(0+0)</v>
      </c>
      <c r="H132" t="str">
        <v>=</v>
      </c>
      <c r="I132">
        <f>0.9*(I60+I29)</f>
        <v>0</v>
      </c>
      <c r="J132" t="str">
        <v>t</v>
      </c>
    </row>
    <row r="133">
      <c r="B133" t="str">
        <v xml:space="preserve">Rb =  </v>
      </c>
      <c r="C133" t="str">
        <f>CONCATENATE("90% of","(",ROUND(I61,2),"+",ROUND(I28,2),")")</f>
        <v>90% of(6.97+60.36)</v>
      </c>
      <c r="H133" t="str">
        <v>=</v>
      </c>
      <c r="I133">
        <f>0.9*(I61+I28)</f>
        <v>60.5931736526946</v>
      </c>
      <c r="J133" t="str">
        <v>t</v>
      </c>
    </row>
    <row r="134">
      <c r="B134" t="str">
        <v>Ra=</v>
      </c>
      <c r="H134" t="str">
        <v>=</v>
      </c>
      <c r="I134">
        <f>(E51+E19)*0.9-I133</f>
        <v>61.26682634730541</v>
      </c>
      <c r="J134" t="str">
        <v>t</v>
      </c>
    </row>
    <row r="135">
      <c r="B135" t="str">
        <v>Braking Force =</v>
      </c>
      <c r="D135" t="str">
        <f>CONCATENATE(I32," + ","5% of ",55.4)</f>
        <v>16 + 5% of 55.4</v>
      </c>
      <c r="H135" t="str">
        <v>=</v>
      </c>
      <c r="I135">
        <f>I32+0.05*55.4</f>
        <v>18.77</v>
      </c>
      <c r="J135" t="str">
        <v>t</v>
      </c>
    </row>
    <row r="136">
      <c r="B136" t="str">
        <v>(5% extra taken for class A)</v>
      </c>
    </row>
    <row r="137">
      <c r="B137" t="str">
        <v>Dead load reaction on the pier , Rg</v>
      </c>
      <c r="H137" t="str">
        <v>=</v>
      </c>
      <c r="I137">
        <f>I33</f>
        <v>485</v>
      </c>
      <c r="J137" t="str">
        <v>t</v>
      </c>
    </row>
    <row r="138">
      <c r="B138" t="str">
        <v>Value of " m " =</v>
      </c>
      <c r="H138" t="str">
        <v>=</v>
      </c>
      <c r="I138">
        <v>0</v>
      </c>
    </row>
    <row r="139">
      <c r="B139" t="str">
        <v>Horizontal force due to temperature, T = m*(Rg+Ra)</v>
      </c>
      <c r="H139" t="str">
        <v>=</v>
      </c>
      <c r="I139">
        <f>I138*(I137+I134)</f>
        <v>0</v>
      </c>
      <c r="J139" t="str">
        <v>t</v>
      </c>
    </row>
    <row r="140">
      <c r="B140" t="str">
        <v>Design horizontal force is higher of either ( B/2+T ) or ( B-T )</v>
      </c>
      <c r="H140" t="str">
        <v>=</v>
      </c>
      <c r="I140">
        <f>MAX(I135/2+I139,I135-I139)</f>
        <v>18.77</v>
      </c>
      <c r="J140" t="str">
        <v>t</v>
      </c>
    </row>
    <row r="141">
      <c r="B141" t="str">
        <v>( neglecting shear rating of elastomeric bearing in the adjacent span, which is on the conservative side )</v>
      </c>
    </row>
    <row r="143">
      <c r="B143" t="str">
        <v xml:space="preserve">CL class 70-R </v>
      </c>
      <c r="F143" t="str">
        <v>CL of c/w</v>
      </c>
      <c r="H143" t="str">
        <v>CL class A(1L)</v>
      </c>
    </row>
    <row r="144">
      <c r="C144">
        <v>2.595</v>
      </c>
      <c r="D144">
        <v>2.905</v>
      </c>
      <c r="F144">
        <v>0.84</v>
      </c>
    </row>
    <row r="147">
      <c r="E147">
        <f>E99</f>
        <v>8.4</v>
      </c>
    </row>
    <row r="148">
      <c r="B148" t="str">
        <v xml:space="preserve">Transverse ecc.(class 70 R) </v>
      </c>
      <c r="H148" t="str">
        <v>=</v>
      </c>
      <c r="I148">
        <f>D144</f>
        <v>2.905</v>
      </c>
      <c r="J148" t="str">
        <v>m</v>
      </c>
    </row>
    <row r="149">
      <c r="B149" t="str">
        <v xml:space="preserve">Transverse ecc.(class A) </v>
      </c>
      <c r="H149" t="str">
        <v>=</v>
      </c>
      <c r="I149">
        <f>-F144</f>
        <v>-0.84</v>
      </c>
      <c r="J149" t="str">
        <v>m</v>
      </c>
    </row>
    <row r="150">
      <c r="B150" t="str">
        <v>Trans. moment =</v>
      </c>
      <c r="D150" t="str">
        <f>CONCATENATE("0.9*(",ROUND(I31,1),"*",ROUND(I148,3),"-",ROUND(I63,1),"*",ROUND(I149,3),")")</f>
        <v>0.9*(60.4*2.905-55.4*-0.84)</v>
      </c>
      <c r="H150" t="str">
        <v>=</v>
      </c>
      <c r="I150">
        <f>0.9*(I31*I148+I63*I149)</f>
        <v>115.92694131736523</v>
      </c>
    </row>
    <row r="151">
      <c r="B151" t="str">
        <v>Net transverse ecc. (for input)</v>
      </c>
      <c r="H151" t="str">
        <v>=</v>
      </c>
      <c r="I151">
        <f>I150/(I132+I133)</f>
        <v>1.9132013447889424</v>
      </c>
      <c r="J151" t="str">
        <v>t.m</v>
      </c>
    </row>
    <row r="152">
      <c r="B152" t="str">
        <v>Long. moment =</v>
      </c>
      <c r="D152" t="str">
        <f>CONCATENATE(ROUND(I133,1),"*",C6,"-",ROUND(I132,1),"*",C7)</f>
        <v>60.6*0.3-0*0.3</v>
      </c>
      <c r="H152" t="str">
        <v>=</v>
      </c>
      <c r="I152">
        <f>ABS(I133*C6-I132*C7)</f>
        <v>18.17795209580838</v>
      </c>
      <c r="J152" t="str">
        <v>t.m</v>
      </c>
    </row>
    <row r="153">
      <c r="B153" t="str">
        <v>Long. Eccentricity ( for input)</v>
      </c>
      <c r="H153" t="str">
        <v>=</v>
      </c>
      <c r="I153">
        <f>I152/(I132+I133)</f>
        <v>0.3</v>
      </c>
      <c r="J153" t="str">
        <v>m</v>
      </c>
    </row>
    <row r="156">
      <c r="A156" t="str">
        <v>Condition B:</v>
      </c>
      <c r="C156" t="str">
        <v>MAXIMUM TRANSVERSE MOMENT / REACTION CASE</v>
      </c>
    </row>
    <row r="159">
      <c r="A159" t="str">
        <v>CASE 1:</v>
      </c>
      <c r="C159" t="str">
        <v>ONE LANE OF CLASS 70-R(W)</v>
      </c>
      <c r="U159" t="str">
        <v>first span</v>
      </c>
      <c r="AA159" t="str">
        <v>second span</v>
      </c>
    </row>
    <row r="160">
      <c r="U160" t="str">
        <v>SPAN</v>
      </c>
      <c r="V160" t="str">
        <v>LOAD</v>
      </c>
      <c r="W160" t="str">
        <v>CG</v>
      </c>
      <c r="AA160" t="str">
        <v>SPAN</v>
      </c>
      <c r="AB160" t="str">
        <v>LOAD</v>
      </c>
      <c r="AC160" t="str">
        <v>CG</v>
      </c>
    </row>
    <row r="161">
      <c r="E161">
        <f>H161+C162</f>
        <v>100</v>
      </c>
      <c r="G161" t="str">
        <v>Cg of</v>
      </c>
      <c r="H161">
        <f>IF(C162=49,51,34)</f>
        <v>51</v>
      </c>
      <c r="U161">
        <v>8.28</v>
      </c>
      <c r="V161">
        <v>49</v>
      </c>
      <c r="W161">
        <v>3.33</v>
      </c>
      <c r="AA161">
        <v>3</v>
      </c>
      <c r="AB161">
        <v>80</v>
      </c>
      <c r="AC161">
        <v>3.65</v>
      </c>
    </row>
    <row r="162">
      <c r="B162" t="str">
        <v>Cg of</v>
      </c>
      <c r="C162">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c r="E165" t="str">
        <v xml:space="preserve">    </v>
      </c>
      <c r="U165">
        <f>A167+C167+E168</f>
        <v>8.950000000000001</v>
      </c>
      <c r="AA165">
        <f>$C$25+$A$25+($E$26)</f>
        <v>8.950000000000001</v>
      </c>
    </row>
    <row r="167">
      <c r="A167">
        <v>0.3</v>
      </c>
      <c r="B167" t="str">
        <v>m</v>
      </c>
      <c r="C167">
        <f>H25</f>
        <v>8.35</v>
      </c>
      <c r="D167" t="str">
        <v>m</v>
      </c>
      <c r="E167" t="str">
        <v>Rb</v>
      </c>
      <c r="F167" t="str">
        <v>Rc</v>
      </c>
      <c r="H167">
        <f>C25</f>
        <v>8.35</v>
      </c>
      <c r="I167" t="str">
        <v>m</v>
      </c>
      <c r="J167">
        <v>1.6</v>
      </c>
      <c r="U167" t="str">
        <v>second span</v>
      </c>
      <c r="AA167" t="str">
        <v>first span</v>
      </c>
    </row>
    <row r="168">
      <c r="B168" t="str">
        <v>Ra</v>
      </c>
      <c r="E168">
        <v>0.3</v>
      </c>
      <c r="F168">
        <v>1.6</v>
      </c>
      <c r="I168" t="str">
        <v>Rd</v>
      </c>
      <c r="U168">
        <v>4.4</v>
      </c>
      <c r="V168">
        <v>34</v>
      </c>
      <c r="W168">
        <v>3.715</v>
      </c>
      <c r="AA168">
        <v>3</v>
      </c>
      <c r="AB168">
        <v>17</v>
      </c>
      <c r="AC168">
        <v>0.87</v>
      </c>
    </row>
    <row r="169">
      <c r="U169">
        <v>5.12</v>
      </c>
      <c r="V169">
        <v>51</v>
      </c>
      <c r="W169">
        <v>3.19</v>
      </c>
      <c r="AA169">
        <v>4.52</v>
      </c>
      <c r="AB169">
        <v>29</v>
      </c>
      <c r="AC169">
        <v>1.75</v>
      </c>
    </row>
    <row r="170">
      <c r="B170" t="str">
        <v xml:space="preserve">Rb =  </v>
      </c>
      <c r="C170" t="str">
        <f>CONCATENATE(C162,"*(",C167," - ",D162," + ",E168,")/",C167)</f>
        <v>49*(8.35 - 3.33 + 0.3)/8.35</v>
      </c>
      <c r="H170" t="str">
        <v>=</v>
      </c>
      <c r="I170">
        <f>C162*(C167-D162+E168)/C167</f>
        <v>31.219161676646703</v>
      </c>
      <c r="J170" t="str">
        <v>t</v>
      </c>
      <c r="AA170">
        <v>8.48</v>
      </c>
      <c r="AB170">
        <v>41</v>
      </c>
      <c r="AC170">
        <v>2.56</v>
      </c>
    </row>
    <row r="171">
      <c r="B171" t="str">
        <v xml:space="preserve">Rc =  </v>
      </c>
      <c r="C171" t="str">
        <f>CONCATENATE(H161,"*(",H167,"-",F164,"+",F168,")/",H167)</f>
        <v>51*(8.35-3.19+1.6)/8.35</v>
      </c>
      <c r="H171" t="str">
        <v>=</v>
      </c>
      <c r="I171">
        <f>H161*(H167-F164-F168)/H167</f>
        <v>21.7437125748503</v>
      </c>
      <c r="J171" t="str">
        <v>t</v>
      </c>
      <c r="AA171">
        <v>24</v>
      </c>
      <c r="AB171">
        <v>49</v>
      </c>
      <c r="AC171">
        <v>3.53</v>
      </c>
    </row>
    <row r="172">
      <c r="B172" t="str">
        <v>Ra=</v>
      </c>
      <c r="H172" t="str">
        <v>=</v>
      </c>
      <c r="I172">
        <f>C162-I171</f>
        <v>27.2562874251497</v>
      </c>
      <c r="J172" t="str">
        <v>t</v>
      </c>
      <c r="U172">
        <f>F168+H167+J167</f>
        <v>11.549999999999999</v>
      </c>
    </row>
    <row r="173">
      <c r="B173" t="str">
        <v>Vert. Reaction =</v>
      </c>
      <c r="D173" t="str">
        <f>CONCATENATE(ROUND(I170,1)," + ",ROUND(I171,1))</f>
        <v>31.2 + 21.7</v>
      </c>
      <c r="H173" t="str">
        <v>=</v>
      </c>
      <c r="I173">
        <f>ROUND(I170+I171,0)</f>
        <v>53</v>
      </c>
      <c r="J173" t="str">
        <v>t</v>
      </c>
      <c r="AA173">
        <f>$C$25+$A$25+($E$26)</f>
        <v>8.950000000000001</v>
      </c>
    </row>
    <row r="174">
      <c r="B174" t="str">
        <v>Braking Force, B =</v>
      </c>
      <c r="D174" t="str">
        <f>CONCATENATE("0.2*",E161)</f>
        <v>0.2*100</v>
      </c>
      <c r="H174" t="str">
        <v>=</v>
      </c>
      <c r="I174">
        <f>0.2*E161</f>
        <v>20</v>
      </c>
      <c r="J174" t="str">
        <v>t</v>
      </c>
    </row>
    <row r="175">
      <c r="B175" t="str">
        <v>Dead load reaction on the pier , Rg</v>
      </c>
      <c r="H175" t="str">
        <v>=</v>
      </c>
      <c r="I175">
        <f>I33</f>
        <v>485</v>
      </c>
      <c r="J175" t="str">
        <v>t</v>
      </c>
    </row>
    <row r="176">
      <c r="B176" t="str">
        <v>Value of " m " =</v>
      </c>
      <c r="H176" t="str">
        <v>=</v>
      </c>
      <c r="I176">
        <v>0</v>
      </c>
    </row>
    <row r="177">
      <c r="B177" t="str">
        <v>Horizontal force due to temperature, T = m*(Rg+Ra)</v>
      </c>
      <c r="H177" t="str">
        <v>=</v>
      </c>
      <c r="I177">
        <f>I176*(I175+I172)</f>
        <v>0</v>
      </c>
      <c r="J177" t="str">
        <v>t</v>
      </c>
    </row>
    <row r="178">
      <c r="B178" t="str">
        <v>Design horizontal force is higher of either ( B/2+T ) or ( B-T )</v>
      </c>
      <c r="H178" t="str">
        <v>=</v>
      </c>
      <c r="I178">
        <f>MAX(I174/2+I177,I174-I177)</f>
        <v>20</v>
      </c>
      <c r="J178" t="str">
        <v>t</v>
      </c>
    </row>
    <row r="179">
      <c r="B179" t="str">
        <v>( neglecting shear rating of elastomeric bearing in the adjacent span, which is on the conservative side )</v>
      </c>
    </row>
    <row r="181">
      <c r="B181" t="str">
        <v>CL of 70-R</v>
      </c>
      <c r="F181" t="str">
        <v>CL of c/w</v>
      </c>
    </row>
    <row r="182">
      <c r="C182">
        <v>2.595</v>
      </c>
      <c r="D182">
        <f>$E$44/2-C182</f>
        <v>1.605</v>
      </c>
    </row>
    <row r="185">
      <c r="E185">
        <f>E147</f>
        <v>8.4</v>
      </c>
      <c r="F185" t="str">
        <v>m</v>
      </c>
    </row>
    <row r="186">
      <c r="B186" t="str">
        <v xml:space="preserve">Transverse eccentricity </v>
      </c>
      <c r="H186" t="str">
        <v>=</v>
      </c>
      <c r="I186">
        <v>2.905</v>
      </c>
      <c r="J186" t="str">
        <v>m</v>
      </c>
    </row>
    <row r="187">
      <c r="B187" t="str">
        <v>Transverse moment =</v>
      </c>
      <c r="E187" t="str">
        <f>CONCATENATE(I186,"*","(",ROUND(I170,1)," + ",ROUND(I171,1),")")</f>
        <v>2.905*(31.2 + 21.7)</v>
      </c>
      <c r="H187" t="str">
        <v>=</v>
      </c>
      <c r="I187">
        <f>I186*I173</f>
        <v>153.965</v>
      </c>
      <c r="J187" t="str">
        <v>t.m</v>
      </c>
    </row>
    <row r="188">
      <c r="B188" t="str">
        <v>Long. moment =</v>
      </c>
      <c r="D188" t="str">
        <f>CONCATENATE(ROUND(I170,2),"*",C6,"-",ROUND(I171,2),"*",C7)</f>
        <v>31.22*0.3-21.74*0.3</v>
      </c>
      <c r="H188" t="str">
        <v>=</v>
      </c>
      <c r="I188">
        <f>ABS(I170*C6-I171*C7)</f>
        <v>2.8426347305389212</v>
      </c>
      <c r="J188" t="str">
        <v>t.m</v>
      </c>
    </row>
    <row r="189">
      <c r="B189" t="str">
        <v>Long. Eccentricity ( for input)</v>
      </c>
      <c r="H189" t="str">
        <v>=</v>
      </c>
      <c r="I189">
        <f>I188/I173</f>
        <v>0.053634617557338136</v>
      </c>
      <c r="J189" t="str">
        <v>m</v>
      </c>
    </row>
    <row r="191">
      <c r="A191" t="str">
        <v>Case 2:</v>
      </c>
      <c r="B191" t="str">
        <v>One lane of class-A</v>
      </c>
      <c r="E191" t="str">
        <v xml:space="preserve">Cg of </v>
      </c>
    </row>
    <row r="192">
      <c r="C192" t="str">
        <v>Cg of</v>
      </c>
      <c r="D192">
        <f>E192-H192</f>
        <v>29.6</v>
      </c>
      <c r="E192">
        <f>VLOOKUP(two_span_length,T195:W200,2,0.1)</f>
        <v>50</v>
      </c>
      <c r="F192" t="str">
        <v>t</v>
      </c>
      <c r="G192" t="str">
        <v>Cg of</v>
      </c>
      <c r="H192">
        <f>IF(OR(E192=T205,E192=T209),U205,IF(OR(E192=T212,E192=T213),U212,IF(E192=T214,U214,"err")))</f>
        <v>20.4</v>
      </c>
      <c r="I192" t="str">
        <v>t</v>
      </c>
    </row>
    <row r="193">
      <c r="E193">
        <f>VLOOKUP(two_span_length,T195:W200,4,0.1)</f>
        <v>5.71</v>
      </c>
      <c r="G193">
        <f>VLOOKUP(two_span_length,T195:W200,3,0.1)</f>
        <v>8.79</v>
      </c>
      <c r="H193" t="str">
        <v>m</v>
      </c>
    </row>
    <row r="194">
      <c r="T194" t="str">
        <v>two span length</v>
      </c>
      <c r="U194" t="str">
        <v>load</v>
      </c>
      <c r="V194" t="str">
        <v>cg6.8 end</v>
      </c>
      <c r="W194" t="str">
        <v>cg2.7 end</v>
      </c>
    </row>
    <row r="195">
      <c r="D195">
        <f>VLOOKUP(load1,R218:S221,2,0.1)</f>
        <v>4.07</v>
      </c>
      <c r="E195">
        <f>E193-D195</f>
        <v>1.6399999999999997</v>
      </c>
      <c r="F195">
        <f>G193-G195</f>
        <v>4.6499999999999995</v>
      </c>
      <c r="G195">
        <f>VLOOKUP(load,Q205:S214,3,0.1)</f>
        <v>4.14</v>
      </c>
      <c r="H195" t="str">
        <v>m</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tr">
        <v>m</v>
      </c>
      <c r="C198">
        <f>C25</f>
        <v>8.35</v>
      </c>
      <c r="D198" t="str">
        <v>m</v>
      </c>
      <c r="E198" t="str">
        <v>Rb</v>
      </c>
      <c r="F198" t="str">
        <v>Rc</v>
      </c>
      <c r="H198">
        <f>H25</f>
        <v>8.35</v>
      </c>
      <c r="I198" t="str">
        <v>m</v>
      </c>
      <c r="J198">
        <f>+J57</f>
        <v>0.3</v>
      </c>
      <c r="T198">
        <f>V198+W198</f>
        <v>18.700000000000003</v>
      </c>
      <c r="U198">
        <v>52.7</v>
      </c>
      <c r="V198">
        <v>9.24</v>
      </c>
      <c r="W198">
        <v>9.46</v>
      </c>
    </row>
    <row r="199">
      <c r="B199" t="str">
        <v>Ra</v>
      </c>
      <c r="E199">
        <f>+E26</f>
        <v>0.3</v>
      </c>
      <c r="F199">
        <v>0.3</v>
      </c>
      <c r="G199" t="str">
        <v>m</v>
      </c>
      <c r="I199" t="str">
        <v>Rd</v>
      </c>
      <c r="T199">
        <f>V199+W199</f>
        <v>18.8</v>
      </c>
      <c r="U199">
        <v>55.4</v>
      </c>
      <c r="V199">
        <v>9.71</v>
      </c>
      <c r="W199">
        <v>9.09</v>
      </c>
    </row>
    <row r="200">
      <c r="T200">
        <f>A198+C198+E199+H198+J198</f>
        <v>17.6</v>
      </c>
      <c r="U200">
        <v>55.4</v>
      </c>
      <c r="V200">
        <v>9.71</v>
      </c>
      <c r="W200">
        <v>9.09</v>
      </c>
    </row>
    <row r="201">
      <c r="B201" t="str">
        <v xml:space="preserve">Rc =  </v>
      </c>
      <c r="C201" t="str">
        <f>CONCATENATE(H192,"*(",H198,"-",F195,"+",F199,")/",H198)</f>
        <v>20.4*(8.35-4.65+0.3)/8.35</v>
      </c>
      <c r="H201" t="str">
        <v>=</v>
      </c>
      <c r="I201">
        <f>H192*(H198-(G193-G195)+F199)/H198</f>
        <v>9.772455089820358</v>
      </c>
      <c r="J201" t="str">
        <v>t</v>
      </c>
    </row>
    <row r="202">
      <c r="B202" t="str">
        <v xml:space="preserve">Rb =  </v>
      </c>
      <c r="C202" t="str">
        <f>CONCATENATE(E192,"*(",C198,"-",E195,"+",E199,")/",C198)</f>
        <v>50*(8.35-1.64+0.3)/8.35</v>
      </c>
      <c r="H202" t="str">
        <v>=</v>
      </c>
      <c r="I202">
        <f>D192*(C198-E195+E199)/C198</f>
        <v>24.849820359281438</v>
      </c>
      <c r="J202" t="str">
        <v>t</v>
      </c>
    </row>
    <row r="203">
      <c r="B203" t="str">
        <v>Ra=</v>
      </c>
      <c r="H203" t="str">
        <v>=</v>
      </c>
      <c r="I203">
        <f>load1-I202</f>
        <v>4.750179640718564</v>
      </c>
      <c r="J203" t="str">
        <v>t</v>
      </c>
    </row>
    <row r="204">
      <c r="B204" t="str">
        <v>Vert.Reaction =</v>
      </c>
      <c r="D204" t="str">
        <f>CONCATENATE(ROUND(I201,2)," + ",ROUND(I202,2))</f>
        <v>9.77 + 24.85</v>
      </c>
      <c r="H204" t="str">
        <v>=</v>
      </c>
      <c r="I204">
        <f>I201+I202</f>
        <v>34.62227544910179</v>
      </c>
      <c r="J204" t="str">
        <v>t</v>
      </c>
      <c r="Q204" t="str">
        <v>load</v>
      </c>
      <c r="R204" t="str">
        <v>Span2load</v>
      </c>
      <c r="S204" t="str">
        <v>cg 6.8</v>
      </c>
      <c r="T204" t="str">
        <v xml:space="preserve"> load</v>
      </c>
      <c r="U204" t="str">
        <v>Span2 load</v>
      </c>
      <c r="V204" t="str">
        <v>cg 6.8</v>
      </c>
    </row>
    <row r="205">
      <c r="B205" t="str">
        <v>Braking Force, B =</v>
      </c>
      <c r="D205" t="str">
        <f>CONCATENATE(0.2,"*(",E192,")")</f>
        <v>0.2*(50)</v>
      </c>
      <c r="H205" t="str">
        <v>=</v>
      </c>
      <c r="I205">
        <f>0.2*E192</f>
        <v>10</v>
      </c>
      <c r="J205" t="str">
        <v>t</v>
      </c>
      <c r="Q205">
        <v>27.2</v>
      </c>
      <c r="R205">
        <v>13.6</v>
      </c>
      <c r="S205">
        <v>1.5</v>
      </c>
      <c r="T205">
        <v>55.4</v>
      </c>
      <c r="U205">
        <v>27.2</v>
      </c>
      <c r="V205">
        <v>4.5</v>
      </c>
    </row>
    <row r="206">
      <c r="B206" t="str">
        <v>Dead load reaction on the pier , Rg</v>
      </c>
      <c r="H206" t="str">
        <v>=</v>
      </c>
      <c r="I206">
        <f>I33</f>
        <v>485</v>
      </c>
      <c r="J206" t="str">
        <v>t</v>
      </c>
    </row>
    <row r="207">
      <c r="B207" t="str">
        <v>Value of " m " =</v>
      </c>
      <c r="H207" t="str">
        <v>=</v>
      </c>
      <c r="I207">
        <v>0</v>
      </c>
    </row>
    <row r="208">
      <c r="B208" t="str">
        <v>Horizontal force due to temperature, T = m*(Rg+Ra)</v>
      </c>
      <c r="H208" t="str">
        <v>=</v>
      </c>
      <c r="I208">
        <f>I207*(I206+I203)</f>
        <v>0</v>
      </c>
      <c r="J208" t="str">
        <v>t</v>
      </c>
    </row>
    <row r="209">
      <c r="B209" t="str">
        <v>Design horizontal force is higher of either ( B/2+T ) or ( B-T )</v>
      </c>
      <c r="H209" t="str">
        <v>=</v>
      </c>
      <c r="I209">
        <f>MAX(I205/2+I208,I205-I208)</f>
        <v>10</v>
      </c>
      <c r="J209" t="str">
        <v>t</v>
      </c>
      <c r="Q209">
        <v>38.6</v>
      </c>
      <c r="R209">
        <v>20.4</v>
      </c>
      <c r="S209">
        <v>4.14</v>
      </c>
      <c r="T209">
        <v>52.7</v>
      </c>
      <c r="U209">
        <v>27.2</v>
      </c>
      <c r="V209">
        <v>4.5</v>
      </c>
    </row>
    <row r="210">
      <c r="B210" t="str">
        <v>( neglecting shear rating of elastomeric bearing in the adjacent span, which is on the conservative side )</v>
      </c>
    </row>
    <row r="212">
      <c r="B212" t="str">
        <v xml:space="preserve">CL class A(1L) </v>
      </c>
      <c r="F212" t="str">
        <v>CL of c/w</v>
      </c>
      <c r="Q212">
        <v>50</v>
      </c>
      <c r="R212">
        <v>20.4</v>
      </c>
      <c r="S212">
        <v>4.14</v>
      </c>
      <c r="T212">
        <v>50</v>
      </c>
      <c r="U212">
        <v>20.4</v>
      </c>
      <c r="V212">
        <v>4.14</v>
      </c>
    </row>
    <row r="213">
      <c r="C213">
        <v>1.3</v>
      </c>
      <c r="D213">
        <v>4.2</v>
      </c>
      <c r="Q213">
        <v>52.7</v>
      </c>
      <c r="R213">
        <v>27.2</v>
      </c>
      <c r="S213">
        <v>4.5</v>
      </c>
      <c r="T213">
        <v>38.6</v>
      </c>
      <c r="U213">
        <v>20.4</v>
      </c>
      <c r="V213">
        <v>4.14</v>
      </c>
    </row>
    <row r="214">
      <c r="Q214">
        <v>55.4</v>
      </c>
      <c r="R214">
        <v>27.2</v>
      </c>
      <c r="S214">
        <v>4.5</v>
      </c>
      <c r="T214">
        <v>27.2</v>
      </c>
      <c r="U214">
        <v>13.6</v>
      </c>
      <c r="V214">
        <v>1.5</v>
      </c>
    </row>
    <row r="215">
      <c r="T215" t="str">
        <v>span2</v>
      </c>
      <c r="U215">
        <f>$C$25+$A$25+($E$26-0.04)/2</f>
        <v>8.780000000000001</v>
      </c>
    </row>
    <row r="216">
      <c r="E216" t="str">
        <v>11.0 m</v>
      </c>
    </row>
    <row r="217">
      <c r="B217" t="str">
        <v xml:space="preserve">Transverse eccentricity </v>
      </c>
      <c r="H217" t="str">
        <v>=</v>
      </c>
      <c r="I217">
        <f>D213</f>
        <v>4.2</v>
      </c>
      <c r="J217" t="str">
        <v>m</v>
      </c>
      <c r="R217" t="str">
        <v>load 1</v>
      </c>
      <c r="S217" t="str">
        <v>Cg 2.7 end</v>
      </c>
      <c r="U217" t="str">
        <v>load 1</v>
      </c>
      <c r="V217" t="str">
        <v>Cg 2.7 end</v>
      </c>
    </row>
    <row r="218">
      <c r="B218" t="str">
        <v>Transverse moment =</v>
      </c>
      <c r="E218" t="str">
        <f>CONCATENATE(I217,"*",ROUND(I204,1))</f>
        <v>4.2*34.6</v>
      </c>
      <c r="H218" t="str">
        <v>=</v>
      </c>
      <c r="I218">
        <f>I217*I204</f>
        <v>145.41355688622752</v>
      </c>
      <c r="J218" t="str">
        <v>t.m</v>
      </c>
      <c r="R218">
        <v>13.6</v>
      </c>
      <c r="S218">
        <v>1.5</v>
      </c>
      <c r="U218">
        <v>28.2</v>
      </c>
      <c r="V218">
        <v>4.07</v>
      </c>
    </row>
    <row r="219">
      <c r="B219" t="str">
        <v>Long. moment =</v>
      </c>
      <c r="D219" t="str">
        <f>CONCATENATE(ROUND(I202,1),"*",C6,"-",ROUND(I201,1),"*",C7)</f>
        <v>24.8*0.3-9.8*0.3</v>
      </c>
      <c r="H219" t="str">
        <v>=</v>
      </c>
      <c r="I219">
        <f>ABS(I202*C6-I201*C7)</f>
        <v>4.523209580838323</v>
      </c>
      <c r="J219" t="str">
        <v>t.m</v>
      </c>
      <c r="R219">
        <v>18.2</v>
      </c>
      <c r="S219">
        <v>1.81</v>
      </c>
      <c r="U219">
        <v>25.5</v>
      </c>
      <c r="V219">
        <v>3.4</v>
      </c>
    </row>
    <row r="220">
      <c r="B220" t="str">
        <v>Long. Eccentricity ( for input)</v>
      </c>
      <c r="H220" t="str">
        <v>=</v>
      </c>
      <c r="I220">
        <f>I219/I204</f>
        <v>0.13064449179511303</v>
      </c>
      <c r="J220" t="str">
        <v>m</v>
      </c>
      <c r="R220">
        <v>25.5</v>
      </c>
      <c r="S220">
        <v>3.4</v>
      </c>
      <c r="U220">
        <v>29.6</v>
      </c>
      <c r="V220">
        <v>1.73</v>
      </c>
    </row>
    <row r="221">
      <c r="R221">
        <v>28.2</v>
      </c>
      <c r="S221">
        <v>4.07</v>
      </c>
      <c r="U221">
        <v>18.2</v>
      </c>
      <c r="V221">
        <v>1.81</v>
      </c>
    </row>
    <row r="223">
      <c r="A223" t="str">
        <v>Case 3 :</v>
      </c>
      <c r="B223" t="str">
        <v>Two lane of class-A</v>
      </c>
    </row>
    <row r="225">
      <c r="B225" t="str">
        <v xml:space="preserve">Rc =  </v>
      </c>
      <c r="C225" t="str">
        <f>CONCATENATE("2*",ROUND(I201,1))</f>
        <v>2*9.8</v>
      </c>
      <c r="G225" t="str">
        <v>=</v>
      </c>
      <c r="H225">
        <f>2*I201</f>
        <v>19.544910179640716</v>
      </c>
      <c r="I225" t="str">
        <v>t</v>
      </c>
    </row>
    <row r="226">
      <c r="B226" t="str">
        <v xml:space="preserve">Rb =  </v>
      </c>
      <c r="C226" t="str">
        <f>CONCATENATE("2*",ROUND(I202,1))</f>
        <v>2*24.8</v>
      </c>
      <c r="G226" t="str">
        <v>=</v>
      </c>
      <c r="H226">
        <f>2*I202</f>
        <v>49.699640718562875</v>
      </c>
      <c r="I226" t="str">
        <v>t</v>
      </c>
    </row>
    <row r="227">
      <c r="B227" t="str">
        <v>Ra=</v>
      </c>
      <c r="G227" t="str">
        <v>=</v>
      </c>
      <c r="H227">
        <f>load1*2-H226</f>
        <v>9.500359281437127</v>
      </c>
      <c r="I227" t="str">
        <v>t</v>
      </c>
    </row>
    <row r="228">
      <c r="B228" t="str">
        <v>Vert.Reaction =</v>
      </c>
      <c r="D228" t="str">
        <f>CONCATENATE(ROUND(H225,1)," + ",ROUND(H226,1))</f>
        <v>19.5 + 49.7</v>
      </c>
      <c r="G228" t="str">
        <v>=</v>
      </c>
      <c r="H228">
        <f>H225+H226</f>
        <v>69.24455089820358</v>
      </c>
      <c r="I228" t="str">
        <v>t</v>
      </c>
    </row>
    <row r="229">
      <c r="B229" t="str">
        <v>Braking Force(For single lane only)</v>
      </c>
      <c r="G229" t="str">
        <v>=</v>
      </c>
      <c r="H229">
        <f>I64</f>
        <v>11.08</v>
      </c>
      <c r="I229" t="str">
        <v>t</v>
      </c>
    </row>
    <row r="230">
      <c r="B230" t="str">
        <v>Dead load reaction on the pier , Rg</v>
      </c>
      <c r="G230" t="str">
        <v>=</v>
      </c>
      <c r="H230">
        <f>I33</f>
        <v>485</v>
      </c>
      <c r="I230" t="str">
        <v>t</v>
      </c>
    </row>
    <row r="231">
      <c r="B231" t="str">
        <v>Value of " m " =</v>
      </c>
      <c r="G231" t="str">
        <v>=</v>
      </c>
      <c r="H231">
        <v>0</v>
      </c>
    </row>
    <row r="232">
      <c r="B232" t="str">
        <v>Horizontal force due to temperature, T = m*(Rg+Ra)</v>
      </c>
      <c r="G232" t="str">
        <v>=</v>
      </c>
      <c r="H232">
        <f>H231*(H230+H227)</f>
        <v>0</v>
      </c>
      <c r="I232" t="str">
        <v>t</v>
      </c>
    </row>
    <row r="233">
      <c r="B233" t="str">
        <v>Design horizontal force is higher of either ( B/2+T ) or ( B-T )</v>
      </c>
      <c r="G233" t="str">
        <v>=</v>
      </c>
      <c r="H233">
        <f>MAX(H229/2+H232,H229-H232)</f>
        <v>11.08</v>
      </c>
      <c r="I233" t="str">
        <v>t</v>
      </c>
    </row>
    <row r="234">
      <c r="B234" t="str">
        <v>( neglecting shear rating of elastomeric bearing in the adjacent span, which is on the conservative side )</v>
      </c>
    </row>
    <row r="236">
      <c r="B236" t="str">
        <v xml:space="preserve">CL class A(2L) </v>
      </c>
      <c r="F236" t="str">
        <v>CL of c/w</v>
      </c>
    </row>
    <row r="237">
      <c r="C237">
        <v>3.05</v>
      </c>
      <c r="D237">
        <f>E240/2-C237</f>
        <v>1.1500000000000004</v>
      </c>
    </row>
    <row r="240">
      <c r="E240">
        <f>E44</f>
        <v>8.4</v>
      </c>
      <c r="F240" t="str">
        <v>m</v>
      </c>
    </row>
    <row r="241">
      <c r="B241" t="str">
        <v xml:space="preserve">Transverse eccentricity </v>
      </c>
      <c r="G241" t="str">
        <v>=</v>
      </c>
      <c r="H241">
        <f>D237</f>
        <v>1.1500000000000004</v>
      </c>
      <c r="I241" t="str">
        <v>m</v>
      </c>
    </row>
    <row r="242">
      <c r="B242" t="str">
        <v>Transverse moment =</v>
      </c>
      <c r="E242" t="str">
        <f>CONCATENATE(H241,"*",ROUND(H228,1))</f>
        <v>1.15*69.2</v>
      </c>
      <c r="G242" t="str">
        <v>=</v>
      </c>
      <c r="H242">
        <f>H228*H241</f>
        <v>79.63123353293415</v>
      </c>
      <c r="I242" t="str">
        <v>t.m</v>
      </c>
    </row>
    <row r="243">
      <c r="B243" t="str">
        <v>Long. moment =</v>
      </c>
      <c r="D243" t="str">
        <f>CONCATENATE(ROUND(H226,1),"*",C6,"-",ROUND(H225,1),"*",C7)</f>
        <v>49.7*0.3-19.5*0.3</v>
      </c>
      <c r="G243" t="str">
        <v>=</v>
      </c>
      <c r="H243">
        <f>ABS(H226*C6-H225*C7)</f>
        <v>9.046419161676646</v>
      </c>
      <c r="I243" t="str">
        <v>t.m</v>
      </c>
    </row>
    <row r="244">
      <c r="B244" t="str">
        <v>Long. Eccentricity ( for input)</v>
      </c>
      <c r="G244" t="str">
        <v>=</v>
      </c>
      <c r="H244">
        <f>H243/H228</f>
        <v>0.13064449179511303</v>
      </c>
      <c r="I244" t="str">
        <v>m</v>
      </c>
    </row>
    <row r="247">
      <c r="A247" t="str">
        <v>Case 4 :</v>
      </c>
      <c r="B247" t="str">
        <v>Three lane of class-A</v>
      </c>
    </row>
    <row r="249">
      <c r="B249" t="str">
        <v xml:space="preserve">Rc =  </v>
      </c>
      <c r="C249" t="str">
        <f>CONCATENATE("90% of"," 3*",ROUND(I201,1))</f>
        <v>90% of 3*9.8</v>
      </c>
      <c r="G249" t="str">
        <v>=</v>
      </c>
      <c r="H249">
        <f>0.9*3*I201</f>
        <v>26.385628742514967</v>
      </c>
      <c r="I249" t="str">
        <v>t</v>
      </c>
    </row>
    <row r="250">
      <c r="B250" t="str">
        <v xml:space="preserve">Rb =  </v>
      </c>
      <c r="C250" t="str">
        <f>CONCATENATE("90% of"," 3*",ROUND(I202,1))</f>
        <v>90% of 3*24.8</v>
      </c>
      <c r="G250" t="str">
        <v>=</v>
      </c>
      <c r="H250">
        <f>0.9*3*I202</f>
        <v>67.09451497005989</v>
      </c>
      <c r="I250" t="str">
        <v>t</v>
      </c>
    </row>
    <row r="251">
      <c r="B251" t="str">
        <v>Ra=</v>
      </c>
      <c r="G251" t="str">
        <v>=</v>
      </c>
      <c r="H251">
        <f>load1*0.9*3-H250</f>
        <v>12.825485029940111</v>
      </c>
      <c r="I251" t="str">
        <v>t</v>
      </c>
    </row>
    <row r="252">
      <c r="B252" t="str">
        <v>Vert.Reaction =</v>
      </c>
      <c r="D252" t="str">
        <f>CONCATENATE(ROUND(H249,1)," + ",ROUND(H250,1))</f>
        <v>26.4 + 67.1</v>
      </c>
      <c r="H252">
        <f>H249+H250</f>
        <v>93.48014371257486</v>
      </c>
    </row>
    <row r="253">
      <c r="B253" t="str">
        <v>Braking Force, B =</v>
      </c>
      <c r="D253" t="str">
        <f>CONCATENATE("(0.2)*",55.4,"+","0.05*",55.4)</f>
        <v>(0.2)*55.4+0.05*55.4</v>
      </c>
      <c r="G253" t="str">
        <v>=</v>
      </c>
      <c r="H253">
        <f>(0.2)*55.4+(0.05)*55.4</f>
        <v>13.85</v>
      </c>
      <c r="I253" t="str">
        <v>t</v>
      </c>
    </row>
    <row r="254">
      <c r="B254" t="str">
        <v>(5% extra taken for third lane)</v>
      </c>
    </row>
    <row r="255">
      <c r="B255" t="str">
        <v>Dead load reaction on the pier end , Rg</v>
      </c>
      <c r="G255" t="str">
        <v>=</v>
      </c>
      <c r="H255">
        <f>I33</f>
        <v>485</v>
      </c>
      <c r="I255" t="str">
        <v>t</v>
      </c>
    </row>
    <row r="256">
      <c r="B256" t="str">
        <v>Value of " m " =</v>
      </c>
      <c r="G256" t="str">
        <v>=</v>
      </c>
      <c r="H256">
        <v>0</v>
      </c>
    </row>
    <row r="257">
      <c r="B257" t="str">
        <v>Horizontal force due to temperature, T = m*(Rg+Ra)</v>
      </c>
      <c r="G257" t="str">
        <v>=</v>
      </c>
      <c r="H257">
        <f>H256*(H255+H252)</f>
        <v>0</v>
      </c>
      <c r="I257" t="str">
        <v>t</v>
      </c>
    </row>
    <row r="258">
      <c r="B258" t="str">
        <v>Design horizontal force is higher of either ( B/2+T ) or ( B-T )</v>
      </c>
      <c r="G258" t="str">
        <v>=</v>
      </c>
      <c r="H258">
        <f>MAX(H253/2+H257,H253-H257)</f>
        <v>13.85</v>
      </c>
      <c r="I258" t="str">
        <v>t</v>
      </c>
    </row>
    <row r="259">
      <c r="B259" t="str">
        <v>( neglecting shear rating of elastomeric bearing in the adjacent span, which is on the conservative side )</v>
      </c>
    </row>
    <row r="261">
      <c r="B261" t="str">
        <v xml:space="preserve">CL class A(3L) </v>
      </c>
      <c r="F261" t="str">
        <v>CL of c/w</v>
      </c>
    </row>
    <row r="262">
      <c r="C262">
        <v>4.8</v>
      </c>
      <c r="E262">
        <f>E265/2-C262</f>
        <v>0.7000000000000002</v>
      </c>
    </row>
    <row r="265">
      <c r="E265">
        <v>11</v>
      </c>
      <c r="F265" t="str">
        <v>m</v>
      </c>
    </row>
    <row r="266">
      <c r="B266" t="str">
        <v xml:space="preserve">Transverse eccentricity </v>
      </c>
      <c r="G266" t="str">
        <v>=</v>
      </c>
      <c r="H266">
        <f>E262</f>
        <v>0.7000000000000002</v>
      </c>
      <c r="I266" t="str">
        <v>m</v>
      </c>
    </row>
    <row r="267">
      <c r="B267" t="str">
        <v>Transverse moment =</v>
      </c>
      <c r="E267" t="str">
        <f>CONCATENATE(H266,"*",ROUND(H252,1))</f>
        <v>0.7*93.5</v>
      </c>
      <c r="G267" t="str">
        <v>=</v>
      </c>
      <c r="H267">
        <f>H266*H252</f>
        <v>65.43610059880241</v>
      </c>
      <c r="I267" t="str">
        <v>t.m</v>
      </c>
    </row>
    <row r="268">
      <c r="B268" t="str">
        <v>Long. moment =</v>
      </c>
      <c r="D268" t="str">
        <f>CONCATENATE(ROUND(H250,1),"*",C6,"-",ROUND(H249,1),"*",C7)</f>
        <v>67.1*0.3-26.4*0.3</v>
      </c>
      <c r="G268" t="str">
        <v>=</v>
      </c>
      <c r="H268">
        <f>ABS(H250*C6-H249*C7)</f>
        <v>12.212665868263475</v>
      </c>
      <c r="I268" t="str">
        <v>t.m</v>
      </c>
    </row>
    <row r="269">
      <c r="B269" t="str">
        <v>Long. Eccentricity ( for input)</v>
      </c>
      <c r="G269" t="str">
        <v>=</v>
      </c>
      <c r="H269">
        <f>H268/H252</f>
        <v>0.13064449179511306</v>
      </c>
      <c r="I269" t="str">
        <v>m</v>
      </c>
    </row>
    <row r="271">
      <c r="A271" t="str">
        <v>Case 5 :</v>
      </c>
      <c r="B271" t="str">
        <v>One lane of class-70R(W)+One lane of class-A</v>
      </c>
    </row>
    <row r="273">
      <c r="B273" t="str">
        <v xml:space="preserve">Rc =  </v>
      </c>
      <c r="C273" t="str">
        <f>CONCATENATE("90% of","(",ROUND(I201,2),"+",ROUND(I171,2),")")</f>
        <v>90% of(9.77+21.74)</v>
      </c>
      <c r="G273" t="str">
        <v>=</v>
      </c>
      <c r="H273">
        <f>0.9*(I201+I171)</f>
        <v>28.364550898203593</v>
      </c>
      <c r="I273" t="str">
        <v>t</v>
      </c>
    </row>
    <row r="274">
      <c r="B274" t="str">
        <v xml:space="preserve">Rb =  </v>
      </c>
      <c r="C274" t="str">
        <f>CONCATENATE("90% of","(",ROUND(I202,2),"+",ROUND(I170,2),")")</f>
        <v>90% of(24.85+31.22)</v>
      </c>
      <c r="G274" t="str">
        <v>=</v>
      </c>
      <c r="H274">
        <f>0.9*(I202+I170)</f>
        <v>50.46208383233533</v>
      </c>
      <c r="I274" t="str">
        <v>t</v>
      </c>
    </row>
    <row r="275">
      <c r="B275" t="str">
        <v>Ra=</v>
      </c>
      <c r="G275" t="str">
        <v>=</v>
      </c>
      <c r="H275">
        <f>load1*0.9*3-H274</f>
        <v>29.45791616766467</v>
      </c>
      <c r="I275" t="str">
        <v>t</v>
      </c>
    </row>
    <row r="276">
      <c r="B276" t="str">
        <v>Braking Force =</v>
      </c>
      <c r="D276" t="str">
        <f>CONCATENATE(I32," + ","5% of ",55.4)</f>
        <v>16 + 5% of 55.4</v>
      </c>
      <c r="G276" t="str">
        <v>=</v>
      </c>
      <c r="H276">
        <f>I32+0.05*55.4</f>
        <v>18.77</v>
      </c>
      <c r="I276" t="str">
        <v>t</v>
      </c>
    </row>
    <row r="277">
      <c r="B277" t="str">
        <v>(5% extra taken for class A)</v>
      </c>
    </row>
    <row r="278">
      <c r="B278" t="str">
        <v>Dead load reaction on the pier , Rg</v>
      </c>
      <c r="G278" t="str">
        <v>=</v>
      </c>
      <c r="H278">
        <f>I33</f>
        <v>485</v>
      </c>
      <c r="I278" t="str">
        <v>t</v>
      </c>
    </row>
    <row r="279">
      <c r="B279" t="str">
        <v>Value of " m " =</v>
      </c>
      <c r="G279" t="str">
        <v>=</v>
      </c>
      <c r="H279">
        <v>0</v>
      </c>
    </row>
    <row r="280">
      <c r="B280" t="str">
        <v>Horizontal force due to temperature, T = m*(Rg+Ra)</v>
      </c>
      <c r="G280" t="str">
        <v>=</v>
      </c>
      <c r="H280">
        <f>H279*(H278+H275)</f>
        <v>0</v>
      </c>
      <c r="I280" t="str">
        <v>t</v>
      </c>
    </row>
    <row r="281">
      <c r="B281" t="str">
        <v>Design horizontal force is higher of either ( B/2+T ) or ( B-T )</v>
      </c>
      <c r="G281" t="str">
        <v>=</v>
      </c>
      <c r="H281">
        <f>MAX(H276/2+H280,H276-H280)</f>
        <v>18.77</v>
      </c>
      <c r="I281" t="str">
        <v>t</v>
      </c>
    </row>
    <row r="282">
      <c r="B282" t="str">
        <v>( neglecting shear rating of elastomeric bearing in the adjacent span, which is on the conservative side )</v>
      </c>
    </row>
    <row r="284">
      <c r="B284" t="str">
        <v xml:space="preserve">CL class 70-R </v>
      </c>
      <c r="F284" t="str">
        <v>CL of c/w</v>
      </c>
      <c r="H284" t="str">
        <v>CL class A(1L)</v>
      </c>
    </row>
    <row r="285">
      <c r="C285">
        <v>2.595</v>
      </c>
      <c r="D285">
        <v>2.905</v>
      </c>
      <c r="F285">
        <v>0.84</v>
      </c>
    </row>
    <row r="288">
      <c r="E288">
        <v>8.4</v>
      </c>
    </row>
    <row r="289">
      <c r="B289" t="str">
        <v xml:space="preserve">Transverse ecc.(class 70 R) </v>
      </c>
      <c r="G289" t="str">
        <v>=</v>
      </c>
      <c r="H289">
        <f>D285</f>
        <v>2.905</v>
      </c>
      <c r="I289" t="str">
        <v>m</v>
      </c>
    </row>
    <row r="290">
      <c r="B290" t="str">
        <v xml:space="preserve">Transverse ecc.(class A) </v>
      </c>
      <c r="G290" t="str">
        <v>=</v>
      </c>
      <c r="H290">
        <f>-F285</f>
        <v>-0.84</v>
      </c>
      <c r="I290" t="str">
        <v>m</v>
      </c>
    </row>
    <row r="291">
      <c r="B291" t="str">
        <v>Trans. moment =</v>
      </c>
      <c r="D291" t="str">
        <f>CONCATENATE("0.9*(",ROUND(I28,1),"*",ROUND(H289,1),"-",ROUND(I60,1),"*",ROUND(H290,1),")")</f>
        <v>0.9*(60.4*2.9-0*-0.8)</v>
      </c>
      <c r="G291" t="str">
        <v>=</v>
      </c>
      <c r="H291">
        <f>0.9*(I173*H289+I204*H290)</f>
        <v>112.39405976047905</v>
      </c>
    </row>
    <row r="292">
      <c r="B292" t="str">
        <v>Net transverse ecc. (for input)</v>
      </c>
      <c r="G292" t="str">
        <v>=</v>
      </c>
      <c r="H292">
        <f>H291/(H273+H274)</f>
        <v>1.4258386159029504</v>
      </c>
      <c r="I292" t="str">
        <v>t.m</v>
      </c>
    </row>
    <row r="293">
      <c r="B293" t="str">
        <v>Long. moment =</v>
      </c>
      <c r="D293" t="str">
        <f>CONCATENATE(ROUND(H274,1),"*",C6,"-",ROUND(H273,1),"*",C7)</f>
        <v>50.5*0.3-28.4*0.3</v>
      </c>
      <c r="G293" t="str">
        <v>=</v>
      </c>
      <c r="H293">
        <f>ABS(H274*C6-H273*C7)</f>
        <v>6.62925988023952</v>
      </c>
      <c r="I293" t="str">
        <v>t.m</v>
      </c>
    </row>
    <row r="294">
      <c r="B294" t="str">
        <v>Long. Eccentricity ( for input)</v>
      </c>
      <c r="G294" t="str">
        <v>=</v>
      </c>
      <c r="H294">
        <f>H293/(H273+H274)</f>
        <v>0.08409923755975364</v>
      </c>
      <c r="I294" t="str">
        <v>m</v>
      </c>
    </row>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sheetData>
    <row r="1">
      <c r="A1" t="str">
        <v>Summary of Loads</v>
      </c>
    </row>
    <row r="3">
      <c r="A3" t="str">
        <v xml:space="preserve">Max. Longitudinal Moment </v>
      </c>
      <c r="F3" t="str">
        <v>Design horizontal force (t)</v>
      </c>
      <c r="H3" t="str">
        <v>Transverse ecc. (m)</v>
      </c>
      <c r="I3" t="str">
        <v>Longitudinal ecc. (m)</v>
      </c>
    </row>
    <row r="4">
      <c r="A4" t="str">
        <v>Max. vertical reaction (t)</v>
      </c>
      <c r="B4" t="str">
        <v>Transverse moment (t.m)</v>
      </c>
      <c r="D4" t="str">
        <v>Longitudinal moment (t.m)</v>
      </c>
    </row>
    <row r="5">
      <c r="A5">
        <f>LLOAD!I31</f>
        <v>60.35928143712574</v>
      </c>
      <c r="B5">
        <f>LLOAD!I46</f>
        <v>175.34371257485026</v>
      </c>
      <c r="D5">
        <f>LLOAD!I47</f>
        <v>18.10778443113772</v>
      </c>
      <c r="F5">
        <f>LLOAD!I37</f>
        <v>16</v>
      </c>
      <c r="H5">
        <f>LLOAD!I45</f>
        <v>2.905</v>
      </c>
      <c r="I5">
        <f>LLOAD!I48</f>
        <v>0.3</v>
      </c>
    </row>
    <row r="6">
      <c r="A6">
        <f>LLOAD!I63</f>
        <v>55.4</v>
      </c>
      <c r="B6">
        <f>LLOAD!I77</f>
        <v>160.66000000000003</v>
      </c>
      <c r="D6">
        <f>LLOAD!I78</f>
        <v>2.0899401197604783</v>
      </c>
      <c r="F6">
        <f>LLOAD!I68</f>
        <v>11.08</v>
      </c>
      <c r="G6" t="e">
        <f>[3]LLOAD!M63</f>
        <v>#REF!</v>
      </c>
      <c r="H6">
        <f>LLOAD!I76</f>
        <v>2.9000000000000004</v>
      </c>
      <c r="I6">
        <f>LLOAD!I79</f>
        <v>0.037724550898203583</v>
      </c>
    </row>
    <row r="7">
      <c r="A7">
        <f>LLOAD!I85</f>
        <v>13.932934131736522</v>
      </c>
      <c r="B7">
        <f>LLOAD!I101</f>
        <v>16.022874251497004</v>
      </c>
      <c r="D7">
        <f>LLOAD!I102</f>
        <v>4.179880239520957</v>
      </c>
      <c r="F7">
        <f>LLOAD!I92</f>
        <v>11.08</v>
      </c>
      <c r="G7" t="e">
        <f>[3]LLOAD!L228</f>
        <v>#REF!</v>
      </c>
      <c r="H7">
        <f>LLOAD!I125</f>
        <v>0.7000000000000002</v>
      </c>
      <c r="I7">
        <f>LLOAD!I128</f>
        <v>0.3</v>
      </c>
    </row>
    <row r="8">
      <c r="A8">
        <f>LLOAD!I109</f>
        <v>18.809461077844304</v>
      </c>
      <c r="B8">
        <f>LLOAD!I126</f>
        <v>13.166622754491016</v>
      </c>
      <c r="D8">
        <f>LLOAD!I127</f>
        <v>5.642838323353291</v>
      </c>
      <c r="F8">
        <f>LLOAD!I117</f>
        <v>13.85</v>
      </c>
      <c r="G8" t="e">
        <f>[3]LLOAD!L252</f>
        <v>#REF!</v>
      </c>
      <c r="H8">
        <f>LLOAD!I125</f>
        <v>0.7000000000000002</v>
      </c>
      <c r="I8">
        <f>LLOAD!I128</f>
        <v>0.3</v>
      </c>
    </row>
    <row r="9">
      <c r="A9">
        <f>LLOAD!I133</f>
        <v>60.5931736526946</v>
      </c>
      <c r="B9">
        <f>LLOAD!I150</f>
        <v>115.92694131736523</v>
      </c>
      <c r="D9">
        <f>LLOAD!I152</f>
        <v>18.17795209580838</v>
      </c>
      <c r="F9">
        <f>LLOAD!I140</f>
        <v>18.77</v>
      </c>
      <c r="G9" t="e">
        <f>[3]LLOAD!L275</f>
        <v>#REF!</v>
      </c>
      <c r="H9">
        <f>LLOAD!I151</f>
        <v>1.9132013447889424</v>
      </c>
      <c r="I9">
        <f>LLOAD!I153</f>
        <v>0.3</v>
      </c>
    </row>
    <row r="11">
      <c r="C11" t="str">
        <v xml:space="preserve">Max.Transverse Moment </v>
      </c>
      <c r="F11" t="str">
        <v>Design horizontal force (t)</v>
      </c>
      <c r="G11" t="str">
        <v>Transverse ecc. (m)</v>
      </c>
      <c r="H11" t="str">
        <v>Longitudinal ecc. (m)</v>
      </c>
    </row>
    <row r="12">
      <c r="A12" t="str">
        <v>Load case</v>
      </c>
      <c r="C12" t="str">
        <v>Max. vertical reaction (t)</v>
      </c>
      <c r="D12" t="str">
        <v>Transverse moment (t.m)</v>
      </c>
      <c r="E12" t="str">
        <v>Longitudinal moment (t.m)</v>
      </c>
    </row>
    <row r="13">
      <c r="A13" t="str">
        <v>1L class 70 - R</v>
      </c>
      <c r="C13">
        <f>LLOAD!I173</f>
        <v>53</v>
      </c>
      <c r="D13">
        <f>LLOAD!I187</f>
        <v>153.965</v>
      </c>
      <c r="E13">
        <f>LLOAD!I188</f>
        <v>2.8426347305389212</v>
      </c>
      <c r="F13">
        <f>LLOAD!I178</f>
        <v>20</v>
      </c>
      <c r="G13">
        <f>LLOAD!I186</f>
        <v>2.905</v>
      </c>
      <c r="H13">
        <f>LLOAD!I189</f>
        <v>0.053634617557338136</v>
      </c>
      <c r="J13" t="str">
        <v xml:space="preserve"> </v>
      </c>
    </row>
    <row r="14">
      <c r="A14" t="str">
        <v>1L class - A</v>
      </c>
      <c r="C14">
        <f>LLOAD!I204</f>
        <v>34.62227544910179</v>
      </c>
      <c r="D14">
        <f>LLOAD!I218</f>
        <v>145.41355688622752</v>
      </c>
      <c r="E14">
        <f>LLOAD!I219</f>
        <v>4.523209580838323</v>
      </c>
      <c r="F14">
        <f>LLOAD!I209</f>
        <v>10</v>
      </c>
      <c r="G14">
        <f>LLOAD!I217</f>
        <v>4.2</v>
      </c>
      <c r="H14">
        <f>LLOAD!I220</f>
        <v>0.13064449179511303</v>
      </c>
    </row>
    <row r="15">
      <c r="A15" t="str">
        <v>2L class - A</v>
      </c>
      <c r="C15">
        <f>LLOAD!H228</f>
        <v>69.24455089820358</v>
      </c>
      <c r="D15">
        <f>LLOAD!H242</f>
        <v>79.63123353293415</v>
      </c>
      <c r="E15">
        <f>LLOAD!H243</f>
        <v>9.046419161676646</v>
      </c>
      <c r="F15">
        <f>LLOAD!H233</f>
        <v>11.08</v>
      </c>
      <c r="G15">
        <f>LLOAD!H243</f>
        <v>9.046419161676646</v>
      </c>
      <c r="H15">
        <f>LLOAD!H244</f>
        <v>0.13064449179511303</v>
      </c>
    </row>
    <row r="16">
      <c r="A16" t="str">
        <v>3L class - A</v>
      </c>
      <c r="C16">
        <f>LLOAD!H252</f>
        <v>93.48014371257486</v>
      </c>
      <c r="D16">
        <f>LLOAD!H267</f>
        <v>65.43610059880241</v>
      </c>
      <c r="E16">
        <f>LLOAD!H268</f>
        <v>12.212665868263475</v>
      </c>
      <c r="F16">
        <f>LLOAD!H258</f>
        <v>13.85</v>
      </c>
      <c r="G16">
        <f>LLOAD!H266</f>
        <v>0.7000000000000002</v>
      </c>
      <c r="H16">
        <f>LLOAD!H269</f>
        <v>0.13064449179511306</v>
      </c>
    </row>
    <row r="17">
      <c r="A17" t="str">
        <v>1L class 70 - R +      1L class - A</v>
      </c>
      <c r="C17">
        <f>LLOAD!H273+LLOAD!H274</f>
        <v>78.82663473053893</v>
      </c>
      <c r="D17">
        <f>LLOAD!H291</f>
        <v>112.39405976047905</v>
      </c>
      <c r="E17">
        <f>LLOAD!H293</f>
        <v>6.62925988023952</v>
      </c>
      <c r="F17">
        <f>LLOAD!H281</f>
        <v>18.77</v>
      </c>
      <c r="G17">
        <f>LLOAD!H292</f>
        <v>1.4258386159029504</v>
      </c>
      <c r="H17">
        <f>LLOAD!H294</f>
        <v>0.08409923755975364</v>
      </c>
    </row>
    <row r="19">
      <c r="A19" t="str">
        <v>Vertical reaction due to braking has been neglected.</v>
      </c>
    </row>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sheetData>
    <row r="2">
      <c r="B2" t="str">
        <v>Maximum Reaction due Live Load including Impact</v>
      </c>
      <c r="H2">
        <f>MAX('loadsumm '!C13,'loadsumm '!C14,'loadsumm '!C15,'loadsumm '!C17)</f>
        <v>78.82663473053893</v>
      </c>
      <c r="I2" t="str">
        <v>MT</v>
      </c>
      <c r="J2" t="str">
        <v>=</v>
      </c>
      <c r="K2">
        <f>H2*10</f>
        <v>788.2663473053892</v>
      </c>
      <c r="L2" t="str">
        <v>KN</v>
      </c>
    </row>
    <row r="4">
      <c r="B4" t="str">
        <v xml:space="preserve">Maximum Longitudinal moment due to Live Load including Impact and Breaking Force </v>
      </c>
      <c r="H4">
        <f>MAX('loadsumm '!E15,'loadsumm '!E16,'loadsumm '!E17,'loadsumm '!E19)</f>
        <v>12.212665868263475</v>
      </c>
      <c r="I4" t="str">
        <v>T-M</v>
      </c>
      <c r="J4" t="str">
        <v>=</v>
      </c>
      <c r="K4">
        <f>H4*10</f>
        <v>122.12665868263474</v>
      </c>
      <c r="L4" t="str">
        <v>KNM</v>
      </c>
    </row>
    <row r="6">
      <c r="B6" t="str">
        <v xml:space="preserve">Maximum Transverse moment due to Live Load including Impact and Breaking Force </v>
      </c>
      <c r="H6">
        <f>MAX('loadsumm '!D17,'loadsumm '!D18,'loadsumm '!D19,'loadsumm '!D21)</f>
        <v>112.39405976047905</v>
      </c>
      <c r="I6" t="str">
        <v>T-M</v>
      </c>
      <c r="J6" t="str">
        <v>=</v>
      </c>
      <c r="K6">
        <f>H6*10</f>
        <v>1123.9405976047906</v>
      </c>
      <c r="L6" t="str">
        <v>KNM</v>
      </c>
    </row>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sheetData>
    <row r="1">
      <c r="A1" t="str">
        <f>'FOOTING DESIGN'!A2:N2</f>
        <v>Name Of Work :- Construction of Submersible Bridge on ON KHERWARA - JAWAS - SUVERI ROAD IN KM 9/000, ACROSS RIVER SOM</v>
      </c>
    </row>
    <row r="2">
      <c r="A2" t="str">
        <v>Deck Level</v>
      </c>
      <c r="G2">
        <f>HYDRAULICS!E40</f>
        <v>101.6</v>
      </c>
      <c r="H2" t="str">
        <v>M</v>
      </c>
    </row>
    <row r="3">
      <c r="A3" t="str">
        <v>Foundation Level</v>
      </c>
      <c r="G3">
        <f>'STABILITY CHECK FOR PIER'!E18-1+4</f>
        <v>96.46999999999998</v>
      </c>
      <c r="H3" t="str">
        <v>M</v>
      </c>
    </row>
    <row r="4">
      <c r="A4" t="str">
        <v>Thickness of Deck Slab</v>
      </c>
      <c r="G4">
        <f>'Deck Anchorage'!H11*1000</f>
        <v>750</v>
      </c>
      <c r="H4" t="str">
        <v>mm</v>
      </c>
    </row>
    <row r="5">
      <c r="A5" t="str">
        <v>Thickness of Approach Slab</v>
      </c>
      <c r="G5">
        <v>300</v>
      </c>
      <c r="H5" t="str">
        <v>mm</v>
      </c>
    </row>
    <row r="6">
      <c r="A6" t="str">
        <v>Height below Approach Slab</v>
      </c>
      <c r="G6">
        <f>(Y14-Y31-G5/1000)*1000</f>
        <v>4830.00000000001</v>
      </c>
      <c r="H6" t="str">
        <v>mm</v>
      </c>
    </row>
    <row r="7">
      <c r="A7" t="str">
        <v>Length of Heel projection</v>
      </c>
      <c r="G7">
        <f>4500</f>
        <v>4500</v>
      </c>
      <c r="H7" t="str">
        <v>mm</v>
      </c>
      <c r="J7" t="str">
        <v>Offset</v>
      </c>
      <c r="K7">
        <v>1000</v>
      </c>
      <c r="L7" t="str">
        <v>mm</v>
      </c>
    </row>
    <row r="8">
      <c r="A8" t="str">
        <v>Length of Toe projection</v>
      </c>
      <c r="G8">
        <f>2500</f>
        <v>2500</v>
      </c>
      <c r="H8" t="str">
        <v>mm</v>
      </c>
      <c r="J8" t="str">
        <v>Offset</v>
      </c>
      <c r="K8">
        <v>1000</v>
      </c>
      <c r="L8" t="str">
        <v>mm</v>
      </c>
    </row>
    <row r="9">
      <c r="A9" t="str">
        <v>Width of Stem</v>
      </c>
      <c r="G9">
        <v>1050</v>
      </c>
      <c r="H9" t="str">
        <v>mm</v>
      </c>
    </row>
    <row r="10">
      <c r="A10" t="str">
        <v>Thickness of Abutment Cap</v>
      </c>
      <c r="G10">
        <v>1200</v>
      </c>
      <c r="H10" t="str">
        <v>mm</v>
      </c>
    </row>
    <row r="11">
      <c r="A11" t="str">
        <v>Thickness of Dirt Wall</v>
      </c>
      <c r="G11">
        <v>300</v>
      </c>
      <c r="H11" t="str">
        <v>mm</v>
      </c>
    </row>
    <row r="12">
      <c r="A12" t="str">
        <v>Depth of Footing</v>
      </c>
      <c r="G12">
        <v>1000</v>
      </c>
      <c r="H12" t="str">
        <v>mm</v>
      </c>
    </row>
    <row r="13">
      <c r="M13">
        <f>G11</f>
        <v>300</v>
      </c>
    </row>
    <row r="14">
      <c r="X14" t="str">
        <v xml:space="preserve">RL </v>
      </c>
      <c r="Y14">
        <f>G2</f>
        <v>101.6</v>
      </c>
      <c r="Z14" t="str">
        <v>M</v>
      </c>
    </row>
    <row r="15">
      <c r="A15">
        <f>G5</f>
        <v>300</v>
      </c>
      <c r="F15" t="str">
        <v>APPROACH SLAB</v>
      </c>
    </row>
    <row r="17">
      <c r="K17">
        <f>G4-G5</f>
        <v>450</v>
      </c>
      <c r="M17" t="str">
        <v>DIRT WALL</v>
      </c>
      <c r="Q17" t="str">
        <v>DECK SLAB</v>
      </c>
      <c r="W17">
        <f>G4</f>
        <v>750</v>
      </c>
    </row>
    <row r="20">
      <c r="J20">
        <f>G10</f>
        <v>1200</v>
      </c>
      <c r="N20" t="str">
        <v>PIER CAP</v>
      </c>
    </row>
    <row r="21">
      <c r="B21">
        <f>G6</f>
        <v>4830.00000000001</v>
      </c>
    </row>
    <row r="23">
      <c r="K23">
        <f>B21-K17-J20-W30</f>
        <v>2180.00000000001</v>
      </c>
    </row>
    <row r="28">
      <c r="C28">
        <f>K7</f>
        <v>1000</v>
      </c>
      <c r="F28" t="str">
        <v>HEEL</v>
      </c>
      <c r="S28" t="str">
        <v>TOE</v>
      </c>
      <c r="U28">
        <f>K8</f>
        <v>1000</v>
      </c>
    </row>
    <row r="30">
      <c r="W30">
        <f>G12</f>
        <v>1000</v>
      </c>
    </row>
    <row r="31">
      <c r="X31" t="str">
        <v xml:space="preserve">RL </v>
      </c>
      <c r="Y31">
        <f>G3</f>
        <v>96.46999999999998</v>
      </c>
      <c r="Z31" t="str">
        <v>M</v>
      </c>
    </row>
    <row r="32">
      <c r="G32">
        <f>G7</f>
        <v>4500</v>
      </c>
      <c r="O32">
        <f>G9</f>
        <v>1050</v>
      </c>
      <c r="S32">
        <f>G8</f>
        <v>2500</v>
      </c>
    </row>
    <row r="33">
      <c r="M33">
        <f>G32+O32+S32</f>
        <v>8050</v>
      </c>
    </row>
    <row r="35">
      <c r="C35" t="str">
        <v>TYPICAL SECTION OF THE ABUTMENT  TYPABUT-01</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sheetData>
    <row r="1">
      <c r="A1" t="str">
        <v>Design of ABUTMENT</v>
      </c>
    </row>
    <row r="2">
      <c r="A2" t="str">
        <f>'TYPE1-AbutMENT Drawing'!A1:Z1</f>
        <v>Name Of Work :- Construction of Submersible Bridge on ON KHERWARA - JAWAS - SUVERI ROAD IN KM 9/000, ACROSS RIVER SOM</v>
      </c>
    </row>
    <row r="3">
      <c r="A3" t="str">
        <v>(a) Data</v>
      </c>
      <c r="B3" t="str">
        <v>Preliminary dimensions</v>
      </c>
      <c r="C3" t="str">
        <v>: Assumed as in Fig. TYPABUT-01</v>
      </c>
    </row>
    <row r="4">
      <c r="B4" t="str">
        <v>Superstructure</v>
      </c>
      <c r="C4" t="str">
        <v xml:space="preserve">: RCC Slab Bridge </v>
      </c>
      <c r="D4" t="str">
        <v xml:space="preserve">Total Width of Slab = </v>
      </c>
      <c r="F4">
        <v>8.4</v>
      </c>
      <c r="G4" t="str">
        <v>M</v>
      </c>
    </row>
    <row r="5">
      <c r="C5" t="str">
        <v xml:space="preserve"> overall length = 8.80 m</v>
      </c>
    </row>
    <row r="6">
      <c r="B6" t="str">
        <v xml:space="preserve">Type of abutment </v>
      </c>
      <c r="C6" t="str">
        <v>: Reinforced concrete</v>
      </c>
    </row>
    <row r="7">
      <c r="B7" t="str">
        <v>Loading</v>
      </c>
      <c r="C7" t="str">
        <v>: As for National Highway</v>
      </c>
    </row>
    <row r="8">
      <c r="B8" t="str">
        <v>Back fill</v>
      </c>
      <c r="C8" t="str">
        <v xml:space="preserve">: Gravel with angle of repose     Φ = </v>
      </c>
      <c r="F8">
        <v>35</v>
      </c>
      <c r="G8" t="str">
        <v>o</v>
      </c>
    </row>
    <row r="9">
      <c r="C9" t="str">
        <v xml:space="preserve">Unit weight of back fill, w = </v>
      </c>
      <c r="E9">
        <v>18</v>
      </c>
      <c r="F9" t="str">
        <v>kN/m3</v>
      </c>
    </row>
    <row r="10">
      <c r="C10" t="str">
        <v>Angle of internal friction of soil on wall, z =</v>
      </c>
      <c r="F10">
        <v>17.5</v>
      </c>
      <c r="G10" t="str">
        <v>o</v>
      </c>
    </row>
    <row r="11">
      <c r="B11" t="str">
        <v>Approach slab</v>
      </c>
      <c r="C11" t="str">
        <v>: R.C. slab 300 mm thick, adequately reinforced</v>
      </c>
    </row>
    <row r="12">
      <c r="B12" t="str">
        <v>Load from superstructure per running foot of abutment wall:</v>
      </c>
    </row>
    <row r="13">
      <c r="B13" t="str">
        <v>Dead load</v>
      </c>
      <c r="C13" t="str">
        <v>=</v>
      </c>
      <c r="D13">
        <f>'STABILITY CHECK FOR PIER'!P46/8.4</f>
        <v>177.84689142857164</v>
      </c>
      <c r="E13" t="str">
        <v>kN/m</v>
      </c>
    </row>
    <row r="14">
      <c r="B14" t="str">
        <v>Live load</v>
      </c>
      <c r="C14" t="str">
        <v>=</v>
      </c>
      <c r="D14">
        <f>'STABILITY CHECK FOR PIER'!F63/8.4</f>
        <v>93.84123182207014</v>
      </c>
      <c r="E14" t="str">
        <v>kN/m</v>
      </c>
    </row>
    <row r="15">
      <c r="B15" t="str">
        <v>(Refer Stability Analysis for sub structure. The above two values are obtained from the calculations for superstructure, and are taken to act over a width of 15 m).</v>
      </c>
    </row>
    <row r="16">
      <c r="B16" t="str">
        <v>Bearing : Tar Paper Bearings</v>
      </c>
    </row>
    <row r="17">
      <c r="A17" t="str">
        <v>(C) Self weight of abutment</v>
      </c>
    </row>
    <row r="18">
      <c r="B18" t="str">
        <v>Treating the section as composed of 6   elements as shown in Fig. 1the weight of each element and moment about the point O on the front toe are computed as in Table 1</v>
      </c>
    </row>
    <row r="19">
      <c r="A19" t="str">
        <v>(d) Longitudinal forces</v>
      </c>
    </row>
    <row r="20">
      <c r="A20" t="str">
        <v xml:space="preserve">    (i) </v>
      </c>
      <c r="B20" t="str">
        <v>Force due to braking</v>
      </c>
    </row>
    <row r="21">
      <c r="B21" t="str">
        <v xml:space="preserve">Force due to 70 R wheeled vehicle = </v>
      </c>
      <c r="C21">
        <v>0.2</v>
      </c>
      <c r="D21" t="str">
        <v xml:space="preserve">x </v>
      </c>
      <c r="E21">
        <v>1000</v>
      </c>
      <c r="F21" t="str">
        <v xml:space="preserve">= </v>
      </c>
      <c r="G21">
        <f>C21*E21</f>
        <v>200</v>
      </c>
      <c r="H21" t="str">
        <v>kN</v>
      </c>
    </row>
    <row r="22">
      <c r="B22" t="str">
        <v>This force acts at 1.2 m above the road level(Clause 214.3).</v>
      </c>
    </row>
    <row r="23">
      <c r="B23" t="str">
        <v>Force on   one abutment wall =</v>
      </c>
      <c r="C23">
        <f>G21</f>
        <v>200</v>
      </c>
      <c r="D23" t="str">
        <v>/</v>
      </c>
      <c r="E23">
        <v>2</v>
      </c>
      <c r="F23" t="str">
        <v xml:space="preserve">= </v>
      </c>
      <c r="G23">
        <f>C23/E23</f>
        <v>100</v>
      </c>
      <c r="H23" t="str">
        <v>kN</v>
      </c>
    </row>
    <row r="24">
      <c r="B24" t="str">
        <v>Horizontal force per m of wall =</v>
      </c>
      <c r="C24">
        <f>G23</f>
        <v>100</v>
      </c>
      <c r="D24" t="str">
        <v>/</v>
      </c>
      <c r="E24">
        <f>F4</f>
        <v>8.4</v>
      </c>
      <c r="F24" t="str">
        <v xml:space="preserve">= </v>
      </c>
      <c r="G24">
        <f>ROUNDUP(C24/E24,2)</f>
        <v>11.91</v>
      </c>
      <c r="H24" t="str">
        <v>kN/ m</v>
      </c>
    </row>
    <row r="25">
      <c r="A25" t="str">
        <v>(ii)</v>
      </c>
      <c r="B25" t="str">
        <v>Force due to temperature variation and shrinkage</v>
      </c>
    </row>
    <row r="26">
      <c r="B26" t="str">
        <v xml:space="preserve">Assuming moderate climate, variation in temperature is taken as + </v>
      </c>
      <c r="D26">
        <v>17</v>
      </c>
      <c r="E26" t="str">
        <v>oC as per</v>
      </c>
    </row>
    <row r="27">
      <c r="B27" t="str">
        <v>Clause 218.5 of Bridge Code.</v>
      </c>
    </row>
    <row r="28">
      <c r="B28" t="str">
        <v>Coefficient of Thermal expansion =</v>
      </c>
      <c r="C28">
        <f>11.7*10^-6</f>
        <v>0.000011699999999999998</v>
      </c>
      <c r="D28" t="str">
        <v>/oC</v>
      </c>
    </row>
    <row r="29">
      <c r="B29" t="str">
        <v xml:space="preserve">Strain due to temperature variation    = </v>
      </c>
      <c r="C29">
        <f>D26</f>
        <v>17</v>
      </c>
      <c r="D29" t="str">
        <v>x</v>
      </c>
      <c r="E29">
        <f>C28</f>
        <v>0.000011699999999999998</v>
      </c>
      <c r="F29" t="str">
        <v>=</v>
      </c>
      <c r="G29">
        <f>C29*E29</f>
        <v>0.00019889999999999996</v>
      </c>
    </row>
    <row r="30">
      <c r="B30" t="str">
        <v xml:space="preserve">From Clause 220.3, strain due to concrete shrinkage = </v>
      </c>
      <c r="C30">
        <f>2*10^-4</f>
        <v>0.0002</v>
      </c>
    </row>
    <row r="31">
      <c r="B31" t="str">
        <v xml:space="preserve">Total strain due to temperature and shrinkage = </v>
      </c>
      <c r="C31">
        <f>G29</f>
        <v>0.00019889999999999996</v>
      </c>
      <c r="D31" t="str">
        <v>+</v>
      </c>
      <c r="E31">
        <f>C30</f>
        <v>0.0002</v>
      </c>
      <c r="F31" t="str">
        <v>=</v>
      </c>
      <c r="G31">
        <f>E31+C31</f>
        <v>0.0003989</v>
      </c>
    </row>
    <row r="32">
      <c r="B32" t="str">
        <v xml:space="preserve">Horizontal deformation of deck due to temperature and shrinkage affecting one abutment = </v>
      </c>
      <c r="C32">
        <f>G31</f>
        <v>0.0003989</v>
      </c>
      <c r="D32" t="str">
        <v>x</v>
      </c>
      <c r="E32">
        <f>'STABILITY CHECK FOR PIER'!D27*1000</f>
        <v>8799.999999999998</v>
      </c>
      <c r="F32" t="str">
        <v>/2 =</v>
      </c>
      <c r="G32">
        <f>C32*E32/2</f>
        <v>1.7551599999999996</v>
      </c>
      <c r="H32" t="str">
        <v>mm</v>
      </c>
    </row>
    <row r="33">
      <c r="B33" t="str">
        <v>Modulus of Elasticity Ec =</v>
      </c>
      <c r="C33" t="str">
        <v>5000x fck1/2</v>
      </c>
      <c r="D33" t="str">
        <v>=</v>
      </c>
      <c r="E33">
        <f>ROUNDUP(5700*(30^0.5),2)</f>
        <v>31220.19</v>
      </c>
      <c r="F33" t="str">
        <v>N/mm2</v>
      </c>
    </row>
    <row r="34">
      <c r="B34" t="str">
        <v>Horizontal Stress due to strain in longitudinal direction at bearing level =</v>
      </c>
      <c r="C34">
        <f>G31</f>
        <v>0.0003989</v>
      </c>
      <c r="D34" t="str">
        <v>x</v>
      </c>
      <c r="E34">
        <f>E33</f>
        <v>31220.19</v>
      </c>
      <c r="F34" t="str">
        <v>=</v>
      </c>
      <c r="G34">
        <f>G31*E33</f>
        <v>12.453733791</v>
      </c>
      <c r="H34" t="str">
        <v>N/mm2</v>
      </c>
    </row>
    <row r="35">
      <c r="B35" t="str">
        <v>Horizontal Force due to strain in longitudinal direction at bearing level (For 1 m width of Slab) =</v>
      </c>
      <c r="C35">
        <f>G34</f>
        <v>12.453733791</v>
      </c>
      <c r="D35" t="str">
        <v>x</v>
      </c>
      <c r="E35">
        <f>'STABILITY CHECK FOR PIER'!H27*1000</f>
        <v>750</v>
      </c>
      <c r="F35" t="str">
        <v>=</v>
      </c>
      <c r="G35">
        <f>C35*E35</f>
        <v>9340.300343249999</v>
      </c>
      <c r="H35" t="str">
        <v>N/m</v>
      </c>
    </row>
    <row r="36">
      <c r="F36" t="str">
        <v>=</v>
      </c>
      <c r="G36">
        <f>G35/1000</f>
        <v>9.340300343249998</v>
      </c>
      <c r="H36" t="str">
        <v>kN/m</v>
      </c>
    </row>
    <row r="37">
      <c r="A37" t="str">
        <v>(iii)</v>
      </c>
      <c r="B37" t="str">
        <v>Vertical reaction   due to braking</v>
      </c>
    </row>
    <row r="38">
      <c r="A38" t="str">
        <v xml:space="preserve"> </v>
      </c>
      <c r="B38" t="str">
        <v xml:space="preserve">                                                              200(1.2 + 0.975)      </v>
      </c>
    </row>
    <row r="39">
      <c r="B39" t="str">
        <v xml:space="preserve">Vertical reaction at one abutment = ---------------------- </v>
      </c>
      <c r="D39" t="str">
        <v>=</v>
      </c>
      <c r="E39">
        <f>200*(1.2+0.975)/(11.1*15)</f>
        <v>2.612612612612612</v>
      </c>
      <c r="F39" t="str">
        <v>kN/m</v>
      </c>
    </row>
    <row r="40">
      <c r="B40" t="str">
        <v xml:space="preserve">                                                              11.10x15</v>
      </c>
    </row>
    <row r="41">
      <c r="A41" t="str">
        <v>(d)Earth pressure</v>
      </c>
    </row>
    <row r="42">
      <c r="B42" t="str">
        <v>Active earth  pressure P = 0.5 wh2 Ka</v>
      </c>
    </row>
    <row r="43">
      <c r="B43" t="str">
        <v>where    Ka is obtained from Equation (3.5)</v>
      </c>
    </row>
    <row r="44">
      <c r="B44" t="str">
        <v>Ka = secΘ sin(Θ-Φ)/[(sin(Θ+z)1/2 +{sin(Φ+z) sin(Φ-δ)/sin(Θ-δ)}1/2]</v>
      </c>
    </row>
    <row r="45">
      <c r="B45" t="str">
        <v>Where P= Total active pressure, acting at a height of 0.42 h inclined at z to the normal to the wall on the earth side</v>
      </c>
    </row>
    <row r="46">
      <c r="B46" t="str">
        <v>w = unit weight of earth fill</v>
      </c>
    </row>
    <row r="47">
      <c r="B47" t="str">
        <v>h = height of wall</v>
      </c>
    </row>
    <row r="48">
      <c r="B48" t="str">
        <v>Θ = Angle subtended by the earthside wall with thw horizontal on the earth side</v>
      </c>
    </row>
    <row r="49">
      <c r="B49" t="str">
        <v>Φ = Angle of internal friction of the earthfill</v>
      </c>
    </row>
    <row r="50">
      <c r="B50" t="str">
        <v>z = angle of friction of the earthside wall with the earth</v>
      </c>
    </row>
    <row r="51">
      <c r="B51" t="str">
        <v>δ = Inclination of earthfill surface with the horizontal</v>
      </c>
    </row>
    <row r="52">
      <c r="B52" t="str">
        <v>Θ =</v>
      </c>
      <c r="C52">
        <v>90</v>
      </c>
      <c r="D52">
        <v>0</v>
      </c>
      <c r="F52" t="str">
        <v>Φ =</v>
      </c>
      <c r="G52">
        <f>F8</f>
        <v>35</v>
      </c>
      <c r="H52">
        <v>0</v>
      </c>
    </row>
    <row r="53">
      <c r="B53" t="str">
        <v>z =</v>
      </c>
      <c r="C53">
        <f>F10</f>
        <v>17.5</v>
      </c>
      <c r="D53">
        <v>0</v>
      </c>
      <c r="F53" t="str">
        <v>δ =</v>
      </c>
      <c r="G53">
        <v>0</v>
      </c>
      <c r="H53">
        <v>0</v>
      </c>
    </row>
    <row r="54">
      <c r="B54" t="str">
        <v xml:space="preserve">Substituting values in Equation (3.5), we get Ka = </v>
      </c>
      <c r="C54">
        <f>ROUNDUP(0.496,3)</f>
        <v>0.496</v>
      </c>
      <c r="D54" t="str">
        <v>Coefficient</v>
      </c>
    </row>
    <row r="55">
      <c r="B55" t="str">
        <v xml:space="preserve">Height of backfill below  approach   slab = </v>
      </c>
      <c r="C55">
        <f>'TYPE1-AbutMENT Drawing'!G6/1000</f>
        <v>4.83000000000001</v>
      </c>
      <c r="D55" t="str">
        <v>m</v>
      </c>
    </row>
    <row r="56">
      <c r="B56" t="str">
        <v xml:space="preserve">Active  earth pressure = </v>
      </c>
    </row>
    <row r="57">
      <c r="B57">
        <f>0.5</f>
        <v>0.5</v>
      </c>
      <c r="C57" t="str">
        <v>x</v>
      </c>
      <c r="D57">
        <f>E9</f>
        <v>18</v>
      </c>
      <c r="E57" t="str">
        <v>x</v>
      </c>
      <c r="F57">
        <f>C55</f>
        <v>4.83000000000001</v>
      </c>
      <c r="G57" t="str">
        <v>2 x</v>
      </c>
      <c r="H57">
        <f>C54</f>
        <v>0.496</v>
      </c>
    </row>
    <row r="58">
      <c r="B58" t="str">
        <v>=</v>
      </c>
      <c r="C58">
        <f>ROUNDUP(B57*D57*F57*F57*H57,2)</f>
        <v>104.15</v>
      </c>
      <c r="D58" t="str">
        <v>kN/m</v>
      </c>
    </row>
    <row r="59">
      <c r="B59" t="str">
        <v>Height above base of centre of pressure =</v>
      </c>
      <c r="C59">
        <f>0.42</f>
        <v>0.42</v>
      </c>
      <c r="D59" t="str">
        <v>x</v>
      </c>
      <c r="E59">
        <f>C55</f>
        <v>4.83000000000001</v>
      </c>
      <c r="F59" t="str">
        <v>=</v>
      </c>
      <c r="G59">
        <f>ROUNDUP(C59*E59,2)</f>
        <v>2.03</v>
      </c>
      <c r="H59" t="str">
        <v>m</v>
      </c>
    </row>
    <row r="60">
      <c r="B60" t="str">
        <v>Passive pressure in front of toe slab is neglected.</v>
      </c>
    </row>
    <row r="61">
      <c r="A61" t="str">
        <v>(e) Live load surcharge and approach slab</v>
      </c>
    </row>
    <row r="62">
      <c r="B62" t="str">
        <v>Equivalent height of earth for live load surcharge as per clause 714.4  is 1.20 m</v>
      </c>
    </row>
    <row r="63">
      <c r="B63" t="str">
        <v>Horizontal force   due to L.L. surcharge =1.2 x 18 x 0.496 x 9.20 =</v>
      </c>
      <c r="E63">
        <f>ROUNDUP(1.2*18*0.496*$C$55,2)</f>
        <v>51.75</v>
      </c>
      <c r="F63" t="str">
        <v>kN/m</v>
      </c>
    </row>
    <row r="64">
      <c r="B64" t="str">
        <v>Horizontal force   due to approach slab = 0.3 x 24 x 0.496 x 9.20 =</v>
      </c>
      <c r="E64">
        <f>ROUNDUP(0.3*24*0.496*$C$55,2)</f>
        <v>17.25</v>
      </c>
      <c r="F64" t="str">
        <v>kN/m</v>
      </c>
    </row>
    <row r="65">
      <c r="D65" t="str">
        <v>Total</v>
      </c>
      <c r="E65">
        <f>SUM(E63:E64)</f>
        <v>69</v>
      </c>
      <c r="F65" t="str">
        <v>kN/m</v>
      </c>
    </row>
    <row r="66">
      <c r="B66" t="str">
        <v xml:space="preserve">The above two forces act at </v>
      </c>
      <c r="C66">
        <f>'TYPE1-AbutMENT Drawing'!B21/2000</f>
        <v>2.415000000000005</v>
      </c>
      <c r="D66" t="str">
        <v>m  above the base.</v>
      </c>
    </row>
    <row r="67">
      <c r="B67" t="str">
        <v>Vertical load due to L.L. surcharge and approach slab</v>
      </c>
    </row>
    <row r="68">
      <c r="B68" t="str">
        <f>CONCATENATE("= (1.2 x 18 + 0.3 x 24 ) x ",'TYPE1-AbutMENT Drawing'!G32/1000," = ")</f>
        <v xml:space="preserve">= (1.2 x 18 + 0.3 x 24 ) x 4.5 = </v>
      </c>
      <c r="C68">
        <f>((1.2*18)+(0.3*24))*'TYPE1-AbutMENT Drawing'!G32/1000</f>
        <v>129.6</v>
      </c>
      <c r="D68" t="str">
        <v>kN/m</v>
      </c>
    </row>
    <row r="69">
      <c r="A69" t="str">
        <v>(f) Weight of earth on heel  slab</v>
      </c>
    </row>
    <row r="70">
      <c r="B70" t="str">
        <v xml:space="preserve">Vertical load = </v>
      </c>
      <c r="C70" t="str">
        <f>CONCATENATE("18 x",'TYPE1-AbutMENT Drawing'!G32/1000,"x (",'TYPE1-AbutMENT Drawing'!G6/1000," - ",'TYPE1-AbutMENT Drawing'!W30/1000,")")</f>
        <v>18 x4.5x (4.83000000000001 - 1)</v>
      </c>
      <c r="D70" t="str">
        <v xml:space="preserve"> = </v>
      </c>
      <c r="E70">
        <f>C124</f>
        <v>34.48</v>
      </c>
      <c r="F70" t="str">
        <v>kN/m</v>
      </c>
    </row>
    <row r="71">
      <c r="A71" t="str">
        <v>(g) Check for stability - overturning</v>
      </c>
    </row>
    <row r="72">
      <c r="B72" t="str">
        <v>The   forces and their position are as shown in Fig. 1</v>
      </c>
    </row>
    <row r="73">
      <c r="B73" t="str">
        <v>The forces and moments about the point O at toe on the base are tabulated as in</v>
      </c>
    </row>
    <row r="74">
      <c r="B74" t="str">
        <v>Table 1 Two cases of lading condition are  examined (i) Span loaded condition  and  (ii) Span unloaded  condition.</v>
      </c>
    </row>
    <row r="75">
      <c r="B75" t="str">
        <v>Case (i) Span loaded condition</v>
      </c>
    </row>
    <row r="76">
      <c r="B76" t="str">
        <v>See Row 15 of Table 12.3</v>
      </c>
    </row>
    <row r="77">
      <c r="B77" t="str">
        <v>Overturning moment about toe =</v>
      </c>
      <c r="C77">
        <f>G134</f>
        <v>471.349</v>
      </c>
      <c r="D77" t="str">
        <v>kN-m</v>
      </c>
    </row>
    <row r="78">
      <c r="B78" t="str">
        <v xml:space="preserve">Restoring moment about toe = </v>
      </c>
      <c r="C78">
        <f>F134</f>
        <v>4132.472</v>
      </c>
      <c r="D78" t="str">
        <v>kN-m</v>
      </c>
    </row>
    <row r="79">
      <c r="B79" t="str">
        <v xml:space="preserve">Factor of safety against overturning = </v>
      </c>
      <c r="C79">
        <f>C78</f>
        <v>4132.472</v>
      </c>
      <c r="D79" t="str">
        <v>/</v>
      </c>
      <c r="E79">
        <f>C77</f>
        <v>471.349</v>
      </c>
      <c r="F79" t="str">
        <v>=</v>
      </c>
      <c r="G79">
        <f>ROUND(C79/E79,2)</f>
        <v>8.77</v>
      </c>
    </row>
    <row r="80">
      <c r="B80" t="str">
        <v xml:space="preserve">Location of Resultant from O </v>
      </c>
      <c r="G80" t="str">
        <v>&gt; 1.5 Hence Safe</v>
      </c>
    </row>
    <row r="81">
      <c r="B81" t="str">
        <v>X0 = ( MV - MH) / V= ( 1740.9 - 623.1) / 691.4 = 1.62 m</v>
      </c>
    </row>
    <row r="82">
      <c r="C82" t="str">
        <f>CONCATENATE("=(",F134," - ",G134," ) / ",C134," ) =")</f>
        <v>=(4132.472 - 471.349 ) / 1004.041 ) =</v>
      </c>
      <c r="E82">
        <f>ROUND((F134-G134)/C134,2)</f>
        <v>3.65</v>
      </c>
      <c r="F82" t="str">
        <v>m</v>
      </c>
    </row>
    <row r="83">
      <c r="A83" t="str">
        <v>Eccentricity of resultant</v>
      </c>
    </row>
    <row r="84">
      <c r="B84" t="str">
        <v xml:space="preserve">emax = B/6 = </v>
      </c>
      <c r="C84">
        <f>'TYPE1-AbutMENT Drawing'!M33/1000</f>
        <v>8.05</v>
      </c>
      <c r="D84" t="str">
        <v>/6 =</v>
      </c>
      <c r="E84">
        <f>C84/6</f>
        <v>1.3416666666666668</v>
      </c>
      <c r="F84" t="str">
        <v>m</v>
      </c>
    </row>
    <row r="85">
      <c r="B85" t="str">
        <v>e  = (B/2 -X0) = 0.78 m &lt; 0.80 m</v>
      </c>
      <c r="C85">
        <f>'TYPE1-AbutMENT Drawing'!M33/2000</f>
        <v>4.025</v>
      </c>
      <c r="D85" t="str">
        <v>-</v>
      </c>
      <c r="E85">
        <f>E82</f>
        <v>3.65</v>
      </c>
      <c r="F85" t="str">
        <v>=</v>
      </c>
      <c r="G85">
        <f>ROUNDUP(C85-E85,2)</f>
        <v>0.38</v>
      </c>
      <c r="H85" t="str">
        <v>m</v>
      </c>
    </row>
    <row r="86">
      <c r="F86" t="str">
        <v>&lt;</v>
      </c>
      <c r="G86">
        <f>E84</f>
        <v>1.3416666666666668</v>
      </c>
      <c r="H86" t="str">
        <v>m</v>
      </c>
    </row>
    <row r="87">
      <c r="B87" t="str">
        <v>Case (ii) Span   unloaded condition</v>
      </c>
    </row>
    <row r="88">
      <c r="B88" t="str">
        <v>See Row 11 of Table 12.3</v>
      </c>
    </row>
    <row r="89">
      <c r="B89" t="str">
        <v>Overturning moment about toe =</v>
      </c>
      <c r="C89">
        <f>G128</f>
        <v>419.06399999999996</v>
      </c>
      <c r="D89" t="str">
        <v>kN-m</v>
      </c>
    </row>
    <row r="90">
      <c r="B90" t="str">
        <v xml:space="preserve">Restoring moment about toe = </v>
      </c>
      <c r="C90">
        <f>F128</f>
        <v>3855.154</v>
      </c>
      <c r="D90" t="str">
        <v>kN-m</v>
      </c>
    </row>
    <row r="91">
      <c r="B91" t="str">
        <v xml:space="preserve">Factor of safety against overturning = </v>
      </c>
      <c r="C91">
        <f>C90</f>
        <v>3855.154</v>
      </c>
      <c r="D91" t="str">
        <v>/</v>
      </c>
      <c r="E91">
        <f>C89</f>
        <v>419.06399999999996</v>
      </c>
      <c r="F91" t="str">
        <v>=</v>
      </c>
      <c r="G91">
        <f>ROUND(C91/E91,2)</f>
        <v>9.2</v>
      </c>
    </row>
    <row r="92">
      <c r="B92" t="str">
        <v xml:space="preserve">Location of Resultant from O </v>
      </c>
      <c r="G92" t="str">
        <v>&gt; 1.5 Hence Safe</v>
      </c>
    </row>
    <row r="93">
      <c r="B93" t="str">
        <v xml:space="preserve">X0 = ( MV - MH) / V= </v>
      </c>
    </row>
    <row r="94">
      <c r="C94" t="str">
        <f>CONCATENATE("=(",F128," - ",G128," ) / ",C128," ) =")</f>
        <v>=(3855.154 - 419.064 ) / 907.587 ) =</v>
      </c>
      <c r="E94">
        <f>ROUND((F128-G128)/C128,2)</f>
        <v>3.79</v>
      </c>
      <c r="F94" t="str">
        <v>m</v>
      </c>
    </row>
    <row r="95">
      <c r="A95" t="str">
        <v>(h)Check for stresses at base</v>
      </c>
    </row>
    <row r="96">
      <c r="B96" t="str">
        <v>For Span loaded condition</v>
      </c>
    </row>
    <row r="97">
      <c r="B97" t="str">
        <v xml:space="preserve">Total downward forces = </v>
      </c>
      <c r="C97">
        <f>C134</f>
        <v>1004.0409999999999</v>
      </c>
      <c r="D97" t="str">
        <v>kN</v>
      </c>
    </row>
    <row r="98">
      <c r="D98">
        <f>C134</f>
        <v>1004.0409999999999</v>
      </c>
      <c r="E98" t="str">
        <v xml:space="preserve">              6 x 0.78</v>
      </c>
    </row>
    <row r="99">
      <c r="A99" t="str">
        <v xml:space="preserve">Extreme stresses at base =     </v>
      </c>
    </row>
    <row r="100">
      <c r="B100" t="str">
        <v>Maximum Stress =</v>
      </c>
      <c r="C100" t="str">
        <f>CONCATENATE($C$97,"/","(",'TYPE1-AbutMENT Drawing'!$M$33/1000,"x",1,")","(1 +","(",6,"x",$G$85,"/",'TYPE1-AbutMENT Drawing'!$M$33/1000,"))")</f>
        <v>1004.041/(8.05x1)(1 +(6x0.38/8.05))</v>
      </c>
      <c r="E100" t="str">
        <v>=</v>
      </c>
      <c r="F100">
        <f>ROUNDUP(($D$98*1000/'TYPE1-AbutMENT Drawing'!$M$33)*(1+$G$85*6*1000/'TYPE1-AbutMENT Drawing'!$M$33),2)</f>
        <v>160.06</v>
      </c>
      <c r="G100" t="str">
        <v>kN/m2</v>
      </c>
    </row>
    <row r="101">
      <c r="B101" t="str">
        <v>Minimum Stress =</v>
      </c>
      <c r="C101" t="str">
        <f>CONCATENATE($C$97,"/","(",'TYPE1-AbutMENT Drawing'!$M$33/1000,"x",1,")","(1 -","(",6,"x",$G$85,"/",'TYPE1-AbutMENT Drawing'!$M$33/1000,"))")</f>
        <v>1004.041/(8.05x1)(1 -(6x0.38/8.05))</v>
      </c>
      <c r="E101" t="str">
        <v>=</v>
      </c>
      <c r="F101">
        <f>ROUNDUP(($D$98*1000/'TYPE1-AbutMENT Drawing'!$M$33)*(1-$G$85*6*1000/'TYPE1-AbutMENT Drawing'!$M$33),2)</f>
        <v>89.4</v>
      </c>
      <c r="G101" t="str">
        <v>kN/m2</v>
      </c>
    </row>
    <row r="102">
      <c r="A102" t="str">
        <v>Table 1  Forces and Moments  About Base for Abutment.</v>
      </c>
    </row>
    <row r="103">
      <c r="A103" t="str">
        <v>SI.</v>
      </c>
      <c r="B103" t="str">
        <v>Details</v>
      </c>
      <c r="C103" t="str">
        <v>Force, kN</v>
      </c>
      <c r="E103" t="str">
        <v>Moment about O, kn-m</v>
      </c>
    </row>
    <row r="104">
      <c r="A104" t="str">
        <v>No.</v>
      </c>
      <c r="C104" t="str">
        <v>V</v>
      </c>
      <c r="D104" t="str">
        <v>H</v>
      </c>
      <c r="E104" t="str">
        <v>Arm</v>
      </c>
    </row>
    <row r="105">
      <c r="E105" t="str">
        <v>m</v>
      </c>
      <c r="F105" t="str">
        <v>Mv</v>
      </c>
      <c r="G105" t="str">
        <v>MH</v>
      </c>
    </row>
    <row r="106">
      <c r="A106" t="str">
        <v>1.</v>
      </c>
      <c r="B106" t="str">
        <v>D.L. from superstructure</v>
      </c>
      <c r="C106">
        <f>$D$13</f>
        <v>177.84689142857164</v>
      </c>
      <c r="D106" t="str">
        <v>-</v>
      </c>
      <c r="E106">
        <f>ROUNDUP(('TYPE1-AbutMENT Drawing'!S32+('TYPE1-AbutMENT Drawing'!O32-'TYPE1-AbutMENT Drawing'!M13)/2)/1000,2)</f>
        <v>2.88</v>
      </c>
      <c r="F106">
        <f>ROUNDUP((C106*E106),2)</f>
        <v>512.2</v>
      </c>
      <c r="G106" t="str">
        <v>-</v>
      </c>
    </row>
    <row r="107">
      <c r="A107" t="str">
        <v>2.</v>
      </c>
      <c r="B107" t="str">
        <v>Horizontal force due to temperatre and shrinkage</v>
      </c>
      <c r="C107">
        <v>0</v>
      </c>
      <c r="D107">
        <f>$G$36</f>
        <v>9.340300343249998</v>
      </c>
      <c r="E107">
        <f>ROUNDUP(('TYPE1-AbutMENT Drawing'!$B$21-'TYPE1-AbutMENT Drawing'!$K$17)/1000,2)</f>
        <v>4.39</v>
      </c>
      <c r="F107" t="str">
        <v>-</v>
      </c>
      <c r="G107">
        <f>D107*E107</f>
        <v>41.00391850686749</v>
      </c>
    </row>
    <row r="108">
      <c r="A108" t="str">
        <v>3.</v>
      </c>
      <c r="B108" t="str">
        <v>Active earth pressure</v>
      </c>
      <c r="C108">
        <v>0</v>
      </c>
      <c r="D108">
        <f>C58</f>
        <v>104.15</v>
      </c>
      <c r="E108">
        <f>G59</f>
        <v>2.03</v>
      </c>
      <c r="F108" t="str">
        <v>-</v>
      </c>
      <c r="G108">
        <f>D108*E108</f>
        <v>211.4245</v>
      </c>
    </row>
    <row r="109">
      <c r="A109" t="str">
        <v>4.</v>
      </c>
      <c r="B109" t="str">
        <v>Horizontal force due to L.L surcharge and approach slab</v>
      </c>
      <c r="C109">
        <v>0</v>
      </c>
      <c r="D109">
        <f>$E$65</f>
        <v>69</v>
      </c>
      <c r="E109">
        <f>C66</f>
        <v>2.415000000000005</v>
      </c>
      <c r="F109" t="str">
        <v>-</v>
      </c>
      <c r="G109">
        <f>D109*E109</f>
        <v>166.63500000000033</v>
      </c>
    </row>
    <row r="110">
      <c r="A110" t="str">
        <v>5.</v>
      </c>
      <c r="B110" t="str">
        <v>Vertical load due to L.L.</v>
      </c>
      <c r="C110">
        <f>C68</f>
        <v>129.6</v>
      </c>
      <c r="D110" t="str">
        <v>-</v>
      </c>
      <c r="E110">
        <f>('TYPE1-AbutMENT Drawing'!M33-'TYPE1-AbutMENT Drawing'!G32/2)/1000</f>
        <v>5.8</v>
      </c>
      <c r="F110">
        <f>C110*E110</f>
        <v>751.68</v>
      </c>
      <c r="G110" t="str">
        <v>-</v>
      </c>
    </row>
    <row r="111">
      <c r="B111" t="str">
        <v>surcharge and approach slab</v>
      </c>
    </row>
    <row r="112">
      <c r="A112" t="str">
        <v>6.</v>
      </c>
      <c r="B112" t="str">
        <v>Self weight - part 1</v>
      </c>
      <c r="C112">
        <f>ROUNDUP('TYPE1-AbutMENT Drawing'!M33*'TYPE1-AbutMENT Drawing'!W30*24/1000000,2)</f>
        <v>193.2</v>
      </c>
      <c r="D112" t="str">
        <v>-</v>
      </c>
      <c r="E112">
        <f>'TYPE1-AbutMENT Drawing'!M33/2000</f>
        <v>4.025</v>
      </c>
      <c r="F112">
        <f>C112*E112</f>
        <v>777.63</v>
      </c>
      <c r="G112" t="str">
        <v>-</v>
      </c>
    </row>
    <row r="113">
      <c r="B113" t="str">
        <f>CONCATENATE('TYPE1-AbutMENT Drawing'!M33/1000,"x",'TYPE1-AbutMENT Drawing'!W30/1000,"x 24 =")</f>
        <v>8.05x1x 24 =</v>
      </c>
    </row>
    <row r="114">
      <c r="A114" t="str">
        <v>7.</v>
      </c>
      <c r="B114" t="str">
        <v>Self weight - part 2</v>
      </c>
      <c r="C114">
        <f>ROUNDUP('TYPE1-AbutMENT Drawing'!K23*'TYPE1-AbutMENT Drawing'!O32*24/1000000,2)</f>
        <v>54.94</v>
      </c>
      <c r="D114" t="str">
        <v>-</v>
      </c>
      <c r="E114">
        <f>ROUNDUP(('TYPE1-AbutMENT Drawing'!S32+'TYPE1-AbutMENT Drawing'!O32/2)/1000,2)</f>
        <v>3.03</v>
      </c>
      <c r="F114">
        <f>C114*E114</f>
        <v>166.4682</v>
      </c>
      <c r="G114" t="str">
        <v>-</v>
      </c>
    </row>
    <row r="115">
      <c r="B115" t="str">
        <f>CONCATENATE('TYPE1-AbutMENT Drawing'!K23/1000,"x",'TYPE1-AbutMENT Drawing'!O32/1000,"x 24 =")</f>
        <v>2.18000000000001x1.05x 24 =</v>
      </c>
    </row>
    <row r="116">
      <c r="A116" t="str">
        <v>8.</v>
      </c>
      <c r="B116" t="str">
        <v>Self weight - part 3</v>
      </c>
      <c r="C116">
        <f>ROUNDUP('TYPE1-AbutMENT Drawing'!J20*'TYPE1-AbutMENT Drawing'!O32*24/1000000,2)</f>
        <v>30.24</v>
      </c>
      <c r="D116" t="str">
        <v>-</v>
      </c>
      <c r="E116" t="str">
        <v>1.68</v>
      </c>
      <c r="F116">
        <f>C116*E116</f>
        <v>50.8032</v>
      </c>
      <c r="G116" t="str">
        <v>-</v>
      </c>
    </row>
    <row r="117">
      <c r="B117" t="str">
        <f>CONCATENATE('TYPE1-AbutMENT Drawing'!J20/1000,"x",'TYPE1-AbutMENT Drawing'!O32/1000,"x 24 =")</f>
        <v>1.2x1.05x 24 =</v>
      </c>
    </row>
    <row r="118">
      <c r="A118" t="str">
        <v>9.</v>
      </c>
      <c r="B118" t="str">
        <v>Self weight - part 4</v>
      </c>
      <c r="C118">
        <f>ROUNDUP('TYPE1-AbutMENT Drawing'!K17*'TYPE1-AbutMENT Drawing'!M13*24/1000000,2)</f>
        <v>3.24</v>
      </c>
      <c r="D118" t="str">
        <v>-</v>
      </c>
      <c r="E118" t="str">
        <v>2.05</v>
      </c>
      <c r="F118">
        <f>C118*E118</f>
        <v>6.6419999999999995</v>
      </c>
      <c r="G118" t="str">
        <v>-</v>
      </c>
    </row>
    <row r="119">
      <c r="B119" t="str">
        <f>CONCATENATE('TYPE1-AbutMENT Drawing'!M13/1000,"x",'TYPE1-AbutMENT Drawing'!K17/1000,"x 24 =")</f>
        <v>0.3x0.45x 24 =</v>
      </c>
    </row>
    <row r="120">
      <c r="A120" t="str">
        <v>9.</v>
      </c>
      <c r="B120" t="str">
        <v>Self weight - part 5 Triangular River Side</v>
      </c>
      <c r="C120">
        <f>0.5*24*('TYPE1-AbutMENT Drawing'!$G$8-500)/1000*('TYPE1-AbutMENT Drawing'!$G$6-'TYPE1-AbutMENT Drawing'!$G$10-'TYPE1-AbutMENT Drawing'!$G$12)/1000</f>
        <v>63.12000000000024</v>
      </c>
      <c r="D120" t="str">
        <v>-</v>
      </c>
      <c r="E120">
        <f>0.5+(2/3*('TYPE1-AbutMENT Drawing'!$G$8/1000-0.5))</f>
        <v>1.8333333333333333</v>
      </c>
      <c r="F120">
        <f>C120*E120</f>
        <v>115.72000000000044</v>
      </c>
      <c r="G120" t="str">
        <v>-</v>
      </c>
    </row>
    <row r="121">
      <c r="B121" t="str">
        <f>CONCATENATE("1/2x",('TYPE1-AbutMENT Drawing'!$G$8-500)/1000,"x",('TYPE1-AbutMENT Drawing'!$G$6-'TYPE1-AbutMENT Drawing'!$G$12-'TYPE1-AbutMENT Drawing'!$G10)/1000,"x",24,"=")</f>
        <v>1/2x2x2.63000000000001x24=</v>
      </c>
    </row>
    <row r="122">
      <c r="A122" t="str">
        <v>9.</v>
      </c>
      <c r="B122" t="str">
        <v>Self weight - part 5 Triangular Earth Fill Side</v>
      </c>
      <c r="C122">
        <f>0.5*24*('TYPE1-AbutMENT Drawing'!$G$7-500)/1000*('TYPE1-AbutMENT Drawing'!$G$6-'TYPE1-AbutMENT Drawing'!$G$10-'TYPE1-AbutMENT Drawing'!$G$12)/1000</f>
        <v>126.24000000000048</v>
      </c>
      <c r="D122" t="str">
        <v>-</v>
      </c>
      <c r="E122">
        <f>'TYPE1-AbutMENT Drawing'!$M$33/1000-0.5-(2/3*('TYPE1-AbutMENT Drawing'!$G$7/1000-0.5))</f>
        <v>4.883333333333335</v>
      </c>
      <c r="F122">
        <f>C122*E122</f>
        <v>616.4720000000025</v>
      </c>
      <c r="G122" t="str">
        <v>-</v>
      </c>
    </row>
    <row r="123">
      <c r="B123" t="str">
        <f>CONCATENATE("1/2x",('TYPE1-AbutMENT Drawing'!$G$7-500)/1000,"x",('TYPE1-AbutMENT Drawing'!$G$6-'TYPE1-AbutMENT Drawing'!$G$12-'TYPE1-AbutMENT Drawing'!$G12)/1000,"x",24,"=")</f>
        <v>1/2x4x2.83000000000001x24=</v>
      </c>
    </row>
    <row r="124">
      <c r="A124" t="str">
        <v>10.</v>
      </c>
      <c r="B124" t="str">
        <v>Weight of earth on heel slab part 1 Rectangular Portion</v>
      </c>
      <c r="C124">
        <f>ROUNDUP((0.5*('TYPE1-AbutMENT Drawing'!$B$21-'TYPE1-AbutMENT Drawing'!$W$30)/1000* $E$9),2)</f>
        <v>34.48</v>
      </c>
      <c r="D124" t="str">
        <v>-</v>
      </c>
      <c r="E124">
        <f>'TYPE1-AbutMENT Drawing'!$M$33/1000-0.25</f>
        <v>7.800000000000001</v>
      </c>
      <c r="F124">
        <f>C124*E124</f>
        <v>268.944</v>
      </c>
      <c r="G124" t="str">
        <v>-</v>
      </c>
    </row>
    <row r="125">
      <c r="B125" t="str">
        <f>CONCATENATE(0.5," x ",('TYPE1-AbutMENT Drawing'!B21-'TYPE1-AbutMENT Drawing'!W30)/1000," x ", E9,"=")</f>
        <v>0.5 x 3.83000000000001 x 18=</v>
      </c>
    </row>
    <row r="126">
      <c r="A126" t="str">
        <v>10.</v>
      </c>
      <c r="B126" t="str">
        <v>Weight of earth on heel slab part 2 Triangular Portion</v>
      </c>
      <c r="C126">
        <f>0.5*18*('TYPE1-AbutMENT Drawing'!$G$7-500)/1000*('TYPE1-AbutMENT Drawing'!$G$6-'TYPE1-AbutMENT Drawing'!$G$10-'TYPE1-AbutMENT Drawing'!$G$12)/1000</f>
        <v>94.68000000000036</v>
      </c>
      <c r="D126" t="str">
        <v>-</v>
      </c>
      <c r="E126">
        <f>'TYPE1-AbutMENT Drawing'!$M$33/1000-0.5-(1/3*('TYPE1-AbutMENT Drawing'!$G$7/1000-0.5))</f>
        <v>6.216666666666668</v>
      </c>
      <c r="F126">
        <f>C126*E126</f>
        <v>588.5940000000023</v>
      </c>
      <c r="G126" t="str">
        <v>-</v>
      </c>
    </row>
    <row r="127">
      <c r="B127" t="str">
        <f>CONCATENATE("1/2x",('TYPE1-AbutMENT Drawing'!$G$7-500)/1000,"x",('TYPE1-AbutMENT Drawing'!$G$6-'TYPE1-AbutMENT Drawing'!$G$12-'TYPE1-AbutMENT Drawing'!$G15)/1000,"x",18,"=")</f>
        <v>1/2x4x3.83000000000001x18=</v>
      </c>
    </row>
    <row r="128">
      <c r="A128" t="str">
        <v>11.</v>
      </c>
      <c r="B128" t="str">
        <v xml:space="preserve">   Items 1 to 10</v>
      </c>
      <c r="C128">
        <f>ROUNDUP(SUM(C106:C127),3)</f>
        <v>907.587</v>
      </c>
      <c r="F128">
        <f>ROUNDUP(SUM(F106:F127),3)</f>
        <v>3855.154</v>
      </c>
      <c r="G128">
        <f>ROUNDUP(SUM(G106:G127),3)</f>
        <v>419.06399999999996</v>
      </c>
    </row>
    <row r="129">
      <c r="B129" t="str">
        <v xml:space="preserve">   (Span unloaded condition)</v>
      </c>
    </row>
    <row r="130">
      <c r="A130" t="str">
        <v>12.</v>
      </c>
      <c r="B130" t="str">
        <v>L.L. from Superstructure</v>
      </c>
      <c r="C130">
        <f>D14</f>
        <v>93.84123182207014</v>
      </c>
      <c r="D130" t="str">
        <v>-</v>
      </c>
      <c r="E130">
        <f>('TYPE1-AbutMENT Drawing'!S32+('TYPE1-AbutMENT Drawing'!O32-'TYPE1-AbutMENT Drawing'!M13)/2)/1000</f>
        <v>2.875</v>
      </c>
      <c r="F130">
        <f>C130*E130</f>
        <v>269.79354148845164</v>
      </c>
      <c r="G130" t="str">
        <v>-</v>
      </c>
    </row>
    <row r="131">
      <c r="B131" t="str">
        <v xml:space="preserve">   Class 70 R wheeled vehicle</v>
      </c>
    </row>
    <row r="132">
      <c r="A132" t="str">
        <v>13.</v>
      </c>
      <c r="B132" t="str">
        <v>Vertical force due to braking</v>
      </c>
      <c r="C132">
        <f>E39</f>
        <v>2.612612612612612</v>
      </c>
      <c r="D132" t="str">
        <v>-</v>
      </c>
      <c r="E132">
        <f>E106</f>
        <v>2.88</v>
      </c>
      <c r="F132">
        <f>C132*E132</f>
        <v>7.524324324324323</v>
      </c>
      <c r="G132" t="str">
        <v>-</v>
      </c>
    </row>
    <row r="133">
      <c r="A133" t="str">
        <v>14.</v>
      </c>
      <c r="B133" t="str">
        <v>Horizontal force due to braking</v>
      </c>
      <c r="C133">
        <v>0</v>
      </c>
      <c r="D133">
        <f>G24</f>
        <v>11.91</v>
      </c>
      <c r="E133">
        <f>ROUNDUP(('TYPE1-AbutMENT Drawing'!$B$21-'TYPE1-AbutMENT Drawing'!$K$17)/1000,2)</f>
        <v>4.39</v>
      </c>
      <c r="G133">
        <f>D133*E133</f>
        <v>52.28489999999999</v>
      </c>
    </row>
    <row r="134">
      <c r="A134" t="str">
        <v>15.</v>
      </c>
      <c r="B134" t="str">
        <v xml:space="preserve">  Items 11 to 14</v>
      </c>
      <c r="C134">
        <f>ROUNDUP(SUM(C128:C133),3)</f>
        <v>1004.0409999999999</v>
      </c>
      <c r="D134">
        <f>SUM(D106:D133)</f>
        <v>194.40030034325</v>
      </c>
      <c r="E134" t="str">
        <v>-</v>
      </c>
      <c r="F134">
        <f>ROUNDUP(SUM(F128:F133),3)</f>
        <v>4132.472</v>
      </c>
      <c r="G134">
        <f>ROUNDUP(SUM(G128:G133),3)</f>
        <v>471.349</v>
      </c>
    </row>
    <row r="135">
      <c r="B135" t="str">
        <v xml:space="preserve">     (Span loaded condition)</v>
      </c>
    </row>
    <row r="136">
      <c r="B136" t="str">
        <v>NET LONGITUDINAL MOMENT</v>
      </c>
      <c r="C136">
        <f>F134</f>
        <v>4132.472</v>
      </c>
      <c r="D136" t="str">
        <v>-</v>
      </c>
      <c r="E136">
        <f>G134</f>
        <v>471.349</v>
      </c>
      <c r="F136" t="str">
        <v>=</v>
      </c>
      <c r="G136">
        <f>C136-E136</f>
        <v>3661.1229999999996</v>
      </c>
    </row>
    <row r="138">
      <c r="B138" t="str">
        <v xml:space="preserve">Maximum pressure =  </v>
      </c>
      <c r="C138">
        <f>F100</f>
        <v>160.06</v>
      </c>
      <c r="D138" t="str">
        <v>kN/m2 &lt;</v>
      </c>
      <c r="E138">
        <f>'STABILITY CHECK FOR PIER'!E17*10</f>
        <v>200</v>
      </c>
      <c r="F138" t="str">
        <v>kN/m2 permissible HENCE OK.</v>
      </c>
    </row>
    <row r="139">
      <c r="B139" t="str">
        <v xml:space="preserve">Minimum pressure  =  </v>
      </c>
      <c r="C139">
        <f>F101</f>
        <v>89.4</v>
      </c>
      <c r="D139" t="str">
        <v>kN/m2 &gt;0 (No tension) HENCE OK.</v>
      </c>
    </row>
    <row r="140">
      <c r="A140" t="str">
        <v>(i)  Check for sliding</v>
      </c>
    </row>
    <row r="141">
      <c r="B141" t="str">
        <v>See Row 15 of Table 1</v>
      </c>
    </row>
    <row r="142">
      <c r="B142" t="str">
        <v xml:space="preserve">Sliding force = </v>
      </c>
      <c r="C142">
        <f>D134</f>
        <v>194.40030034325</v>
      </c>
      <c r="D142" t="str">
        <v xml:space="preserve"> kN</v>
      </c>
    </row>
    <row r="143">
      <c r="B143" t="str">
        <v>Force resisting sliding =</v>
      </c>
      <c r="C143">
        <v>0.6</v>
      </c>
      <c r="D143" t="str">
        <v xml:space="preserve">x </v>
      </c>
      <c r="E143">
        <f>C134</f>
        <v>1004.0409999999999</v>
      </c>
      <c r="F143" t="str">
        <v xml:space="preserve">= </v>
      </c>
      <c r="G143">
        <f>ROUNDUP(C143*E143,2)</f>
        <v>602.43</v>
      </c>
      <c r="H143" t="str">
        <v>kN</v>
      </c>
    </row>
    <row r="144">
      <c r="B144" t="str">
        <v xml:space="preserve">Factor of Safety against    sliding = </v>
      </c>
      <c r="C144">
        <f>G143</f>
        <v>602.43</v>
      </c>
      <c r="D144" t="str">
        <v xml:space="preserve">/ </v>
      </c>
      <c r="E144">
        <f>C142</f>
        <v>194.40030034325</v>
      </c>
      <c r="F144" t="str">
        <v xml:space="preserve">= </v>
      </c>
      <c r="G144">
        <f>ROUND(C144/E144,2)</f>
        <v>3.1</v>
      </c>
    </row>
    <row r="145">
      <c r="A145" t="str">
        <v>(j) Summary</v>
      </c>
      <c r="G145" t="str">
        <v>&gt; 1.5 Hence Safe</v>
      </c>
    </row>
    <row r="146">
      <c r="B146" t="str">
        <v>The assumed section of the abutment is adequate.</v>
      </c>
    </row>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sheetData>
    <row r="1">
      <c r="A1" t="str">
        <v xml:space="preserve">DESIGN OF ABUTMENT FOOTING </v>
      </c>
    </row>
    <row r="2">
      <c r="A2" t="str">
        <f>'TYPE1-STABILITY CHECK ABUTMENT'!A2</f>
        <v>Name Of Work :- Construction of Submersible Bridge on ON KHERWARA - JAWAS - SUVERI ROAD IN KM 9/000, ACROSS RIVER SOM</v>
      </c>
    </row>
    <row r="3">
      <c r="A3" t="str">
        <v>REDISTRIBUTION OF PRESSURE</v>
      </c>
    </row>
    <row r="4">
      <c r="A4" t="str">
        <v>FOR WIND AT SERVICE CONDITION</v>
      </c>
    </row>
    <row r="5">
      <c r="B5" t="str">
        <v xml:space="preserve">Length of footing </v>
      </c>
      <c r="C5" t="str">
        <v>lf</v>
      </c>
      <c r="D5">
        <f>15+'TYPE1-AbutMENT Drawing'!K7/1000+'TYPE1-AbutMENT Drawing'!K8/1000</f>
        <v>17</v>
      </c>
      <c r="E5" t="str">
        <v>m</v>
      </c>
    </row>
    <row r="6">
      <c r="B6" t="str">
        <v>Width of Footing</v>
      </c>
      <c r="C6" t="str">
        <v>lb</v>
      </c>
      <c r="D6">
        <f>'TYPE1- Abut Footing STRESS'!D18</f>
        <v>8.05</v>
      </c>
      <c r="E6" t="str">
        <v>m</v>
      </c>
    </row>
    <row r="7">
      <c r="B7" t="str">
        <v>Width of Abutment just above footing</v>
      </c>
      <c r="D7">
        <f>D6-('TYPE1-AbutMENT Drawing'!K7+'TYPE1-AbutMENT Drawing'!K8)/1000</f>
        <v>6.050000000000001</v>
      </c>
      <c r="E7" t="str">
        <v>m</v>
      </c>
    </row>
    <row r="8">
      <c r="B8" t="str">
        <v>Vertical Load</v>
      </c>
      <c r="C8" t="str">
        <v>P</v>
      </c>
      <c r="D8">
        <f>'TYPE1-STABILITY CHECK ABUTMENT'!C134</f>
        <v>1004.0409999999999</v>
      </c>
      <c r="E8" t="str">
        <v>kN</v>
      </c>
    </row>
    <row r="9">
      <c r="B9" t="str">
        <v>Longitudinal Moment</v>
      </c>
      <c r="C9" t="str">
        <v>Me</v>
      </c>
      <c r="D9">
        <f>'TYPE1-STABILITY CHECK ABUTMENT'!G136</f>
        <v>3661.1229999999996</v>
      </c>
      <c r="E9" t="str">
        <v>kN-m</v>
      </c>
    </row>
    <row r="10">
      <c r="B10" t="str">
        <v>Transverse Moment</v>
      </c>
      <c r="C10" t="str">
        <v>Mb</v>
      </c>
      <c r="D10">
        <v>0</v>
      </c>
      <c r="E10" t="str">
        <v>kN-m</v>
      </c>
    </row>
    <row r="11">
      <c r="B11" t="str">
        <v>el</v>
      </c>
      <c r="C11" t="str">
        <v>= Me/P</v>
      </c>
      <c r="D11">
        <f>D9/D8</f>
        <v>3.6463879463089652</v>
      </c>
      <c r="E11" t="str">
        <v>m</v>
      </c>
    </row>
    <row r="12">
      <c r="B12" t="str">
        <v>eb</v>
      </c>
      <c r="C12" t="str">
        <v>= Mb/P</v>
      </c>
      <c r="D12">
        <f>D10/D8</f>
        <v>0</v>
      </c>
      <c r="E12" t="str">
        <v>m</v>
      </c>
    </row>
    <row r="13">
      <c r="B13" t="str">
        <v>el/lf</v>
      </c>
      <c r="D13">
        <f>D11/D5</f>
        <v>0.21449340860640972</v>
      </c>
      <c r="E13" t="str">
        <v>Refer VK Raina "Concrete Bridge Practice : Analysis, Design and Economics " Chapter 14 "Evaluation of Base Presssure and Contact Area" Fig 14.2 &amp; 14.3</v>
      </c>
    </row>
    <row r="14">
      <c r="B14" t="str">
        <v>eb/lb</v>
      </c>
      <c r="D14">
        <f>D12/D6</f>
        <v>0</v>
      </c>
    </row>
    <row r="15">
      <c r="B15" t="str">
        <v>K</v>
      </c>
      <c r="D15">
        <v>1</v>
      </c>
    </row>
    <row r="16">
      <c r="B16" t="str">
        <v>y</v>
      </c>
      <c r="D16">
        <v>0</v>
      </c>
    </row>
    <row r="17">
      <c r="B17" t="str">
        <v>Area in Tension = y x lb</v>
      </c>
      <c r="E17">
        <f>D6*D16</f>
        <v>0</v>
      </c>
      <c r="F17" t="str">
        <v>m2</v>
      </c>
      <c r="G17">
        <f>E17/D6*100</f>
        <v>0</v>
      </c>
      <c r="H17" t="str">
        <v>%</v>
      </c>
    </row>
    <row r="18">
      <c r="B18" t="str">
        <v>Maximum Pressure before Redistribution</v>
      </c>
      <c r="E18">
        <f>'TYPE1-STABILITY CHECK ABUTMENT'!F100</f>
        <v>160.06</v>
      </c>
      <c r="F18" t="str">
        <v>kN/m2</v>
      </c>
    </row>
    <row r="19">
      <c r="B19" t="str">
        <v>Maximum Pressure After Redistribution = pxK</v>
      </c>
      <c r="E19">
        <f>E18*D15</f>
        <v>160.06</v>
      </c>
      <c r="F19" t="str">
        <v>kN/m2</v>
      </c>
    </row>
    <row r="20">
      <c r="B20" t="str">
        <v>Maximum Stress at Edge of Pier</v>
      </c>
      <c r="E20">
        <f>E19</f>
        <v>160.06</v>
      </c>
      <c r="F20" t="str">
        <v>kN/m2</v>
      </c>
    </row>
    <row r="21">
      <c r="B21" t="str">
        <v>Distance From Face of Pier to the Edge</v>
      </c>
      <c r="E21">
        <f>'TYPE1- Abut Footing STRESS'!F8</f>
        <v>1</v>
      </c>
      <c r="F21" t="str">
        <v>m</v>
      </c>
    </row>
    <row r="22">
      <c r="B22" t="str">
        <v>Stress at the Edge of Pier</v>
      </c>
      <c r="E22">
        <f>(D6-E17-E21)*E20/(D6-E17)</f>
        <v>140.17677018633543</v>
      </c>
      <c r="F22" t="str">
        <v>kN/m2</v>
      </c>
    </row>
    <row r="23">
      <c r="B23" t="str">
        <v>Average Stress on Cantilevered Area</v>
      </c>
      <c r="E23">
        <f>(E20+E22)/2</f>
        <v>150.11838509316772</v>
      </c>
      <c r="F23" t="str">
        <v>kN/m2</v>
      </c>
    </row>
    <row r="24">
      <c r="B24" t="str">
        <v>Area of the Cantilever Portion</v>
      </c>
      <c r="E24">
        <f>E21*1</f>
        <v>1</v>
      </c>
      <c r="F24" t="str">
        <v>m2</v>
      </c>
    </row>
    <row r="25">
      <c r="B25" t="str">
        <v>Distance of Centroid of the Stress in Cantilever Portion</v>
      </c>
      <c r="E25">
        <f>E21/3*(E22+2*E20)/(E20+E22)</f>
        <v>0.5110375275938189</v>
      </c>
      <c r="F25" t="str">
        <v>m</v>
      </c>
    </row>
    <row r="26">
      <c r="B26" t="str">
        <v>Moment about the Face of Pier</v>
      </c>
      <c r="E26">
        <f>E23*E24*E25</f>
        <v>76.71612836438923</v>
      </c>
      <c r="F26" t="str">
        <v>kN-m</v>
      </c>
    </row>
    <row r="27">
      <c r="B27" t="str">
        <v>CONCRETE GRADE</v>
      </c>
      <c r="E27" t="str">
        <v>M-25</v>
      </c>
    </row>
    <row r="28">
      <c r="B28" t="str">
        <v>FOR THIS GRADE scbc</v>
      </c>
      <c r="E28">
        <v>10</v>
      </c>
      <c r="F28" t="str">
        <v>N/mm2</v>
      </c>
    </row>
    <row r="29">
      <c r="B29" t="str">
        <v>m</v>
      </c>
      <c r="E29">
        <f>280/(3*E28)</f>
        <v>9.333333333333334</v>
      </c>
    </row>
    <row r="30">
      <c r="B30" t="str">
        <v>sst</v>
      </c>
      <c r="E30">
        <v>200</v>
      </c>
    </row>
    <row r="31">
      <c r="B31" t="str">
        <v>factor k</v>
      </c>
      <c r="E31">
        <f>(E29*E28)/(E28*E29+E30)</f>
        <v>0.3181818181818182</v>
      </c>
    </row>
    <row r="32">
      <c r="B32" t="str">
        <v>j</v>
      </c>
      <c r="E32">
        <f>1-(E31/3)</f>
        <v>0.8939393939393939</v>
      </c>
    </row>
    <row r="33">
      <c r="B33" t="str">
        <v>R</v>
      </c>
      <c r="E33">
        <f>0.5*E28*E32*E31</f>
        <v>1.4221763085399448</v>
      </c>
    </row>
    <row r="34">
      <c r="B34" t="str">
        <v>Effective Depth Required</v>
      </c>
      <c r="E34">
        <f>SQRT((E26*1000*1000)/(E33*1000))</f>
        <v>232.25582703938719</v>
      </c>
      <c r="F34" t="str">
        <v>mm</v>
      </c>
    </row>
    <row r="35">
      <c r="B35" t="str">
        <v xml:space="preserve">Adopt Total Depth </v>
      </c>
      <c r="E35">
        <v>1000</v>
      </c>
      <c r="F35" t="str">
        <v>mm</v>
      </c>
    </row>
    <row r="36">
      <c r="B36" t="str">
        <v>Cover</v>
      </c>
      <c r="E36">
        <v>50</v>
      </c>
      <c r="F36" t="str">
        <v>mm</v>
      </c>
    </row>
    <row r="37">
      <c r="B37" t="str">
        <v>Assume Bar Dia</v>
      </c>
      <c r="E37">
        <v>16</v>
      </c>
      <c r="F37" t="str">
        <v>mm</v>
      </c>
    </row>
    <row r="38">
      <c r="B38" t="str">
        <v>Keeping A Cover Of 50 mm Effective Depth</v>
      </c>
      <c r="E38">
        <f>E35-E36-E37/2</f>
        <v>942</v>
      </c>
      <c r="F38" t="str">
        <v>mm</v>
      </c>
    </row>
    <row r="39">
      <c r="B39" t="str">
        <v>Adopt Effective Depth</v>
      </c>
      <c r="E39">
        <f>IF(E34&gt;E38,E34,E38)</f>
        <v>942</v>
      </c>
      <c r="F39" t="str">
        <v>mm</v>
      </c>
    </row>
    <row r="40">
      <c r="B40" t="str">
        <v>Steel Required  Ast</v>
      </c>
      <c r="E40">
        <f>(E26*1000*1000)/(E30*E32*E39)</f>
        <v>455.50977653475206</v>
      </c>
      <c r="F40" t="str">
        <v>mm2</v>
      </c>
    </row>
    <row r="41">
      <c r="B41" t="str">
        <v>Area Of One Bar</v>
      </c>
      <c r="E41">
        <f>3.14*E37*E37/4</f>
        <v>200.96</v>
      </c>
      <c r="F41" t="str">
        <v>mm2</v>
      </c>
    </row>
    <row r="42">
      <c r="B42" t="str">
        <v>Spacing S</v>
      </c>
      <c r="E42">
        <f>(E41*1000)/E40</f>
        <v>441.17604133282134</v>
      </c>
      <c r="F42" t="str">
        <v>mm</v>
      </c>
    </row>
    <row r="43">
      <c r="B43" t="str">
        <v>Provide  Bars Of Dia And Spacing</v>
      </c>
      <c r="C43">
        <f>E37</f>
        <v>16</v>
      </c>
      <c r="D43" t="str">
        <v>mm</v>
      </c>
      <c r="E43">
        <v>150</v>
      </c>
      <c r="F43" t="str">
        <v>mm</v>
      </c>
      <c r="G43" t="str">
        <v>Adopt spacing as 150 mm</v>
      </c>
    </row>
    <row r="44">
      <c r="B44" t="str">
        <v>Area Of Distribution Steel</v>
      </c>
      <c r="E44">
        <f>(0.2*1000*E39)/100</f>
        <v>1884</v>
      </c>
      <c r="F44" t="str">
        <v>mm2</v>
      </c>
    </row>
    <row r="45">
      <c r="B45" t="str">
        <v xml:space="preserve">Dia Of Bar For Distribution Steel </v>
      </c>
      <c r="E45">
        <v>20</v>
      </c>
      <c r="F45" t="str">
        <v>mm</v>
      </c>
    </row>
    <row r="46">
      <c r="B46" t="str">
        <v>Area Of One Bar In Distribution Reinforcement</v>
      </c>
      <c r="E46">
        <f>3.14*E45*E45/4</f>
        <v>314</v>
      </c>
      <c r="F46" t="str">
        <v>mm2</v>
      </c>
    </row>
    <row r="47">
      <c r="B47" t="str">
        <v>Using The Bars Spacing Required</v>
      </c>
      <c r="E47">
        <f>(E46*1000)/E44</f>
        <v>166.66666666666666</v>
      </c>
      <c r="F47" t="str">
        <v>mm</v>
      </c>
    </row>
    <row r="48">
      <c r="B48" t="str">
        <v>Provide  Bars Of Dia And Spacing</v>
      </c>
      <c r="C48">
        <v>16</v>
      </c>
      <c r="D48" t="str">
        <v>mm</v>
      </c>
      <c r="E48">
        <f>ROUNDDOWN(E47,-1)</f>
        <v>160</v>
      </c>
      <c r="F48" t="str">
        <v>mm</v>
      </c>
      <c r="G48" t="str">
        <v>Adopt spacing as 150 mm</v>
      </c>
    </row>
    <row r="50">
      <c r="B50" t="str">
        <v>Provide  Bars Of Dia And Spacing for Top Main Steel</v>
      </c>
      <c r="C50">
        <v>12</v>
      </c>
      <c r="D50" t="str">
        <v>mm</v>
      </c>
      <c r="E50">
        <v>150</v>
      </c>
      <c r="F50" t="str">
        <v>mm</v>
      </c>
    </row>
    <row r="51">
      <c r="B51" t="str">
        <v>Provide  Bars Of Dia And Spacing for Top Distribution Steel</v>
      </c>
      <c r="C51">
        <v>12</v>
      </c>
      <c r="D51" t="str">
        <v>mm</v>
      </c>
      <c r="E51">
        <v>150</v>
      </c>
      <c r="F51" t="str">
        <v>mm</v>
      </c>
    </row>
    <row r="52">
      <c r="A52" t="str">
        <v>CHECK FOR SHEAR</v>
      </c>
      <c r="C52" t="str">
        <v>(As per IRC 21-1987 Cl. 304.7)</v>
      </c>
    </row>
    <row r="53">
      <c r="B53" t="str">
        <v>Critical Section is at a distance equal to effective depth from pier face</v>
      </c>
      <c r="E53">
        <f>E39</f>
        <v>942</v>
      </c>
      <c r="F53" t="str">
        <v>mm</v>
      </c>
    </row>
    <row r="54">
      <c r="B54" t="str">
        <v>Section of Shear from end of pier</v>
      </c>
      <c r="E54">
        <f>E21-E53/1000</f>
        <v>0.05800000000000005</v>
      </c>
      <c r="F54" t="str">
        <v>m</v>
      </c>
    </row>
    <row r="55">
      <c r="B55" t="str">
        <v>Maximum Stress at Edge of Pier</v>
      </c>
      <c r="E55">
        <f>E20</f>
        <v>160.06</v>
      </c>
      <c r="F55" t="str">
        <v>kN/m2</v>
      </c>
    </row>
    <row r="56">
      <c r="B56" t="str">
        <v>Stress at the Section for Shear Check</v>
      </c>
      <c r="E56">
        <f>E55/('[7]STRESS DIAGRAM'!D18-'[7]STRESS DIAGRAM'!B21)*(-'TYPE1-ABUTMENT FOOTING DESIGN'!E54+'[7]STRESS DIAGRAM'!D18-'[7]STRESS DIAGRAM'!B21)</f>
        <v>157.48125555555555</v>
      </c>
      <c r="F56" t="str">
        <v>kN/m2</v>
      </c>
    </row>
    <row r="57">
      <c r="B57" t="str">
        <v>Average Stress on Cantilevered Area</v>
      </c>
      <c r="E57">
        <f>(E55+E56)/2</f>
        <v>158.77062777777778</v>
      </c>
      <c r="F57" t="str">
        <v>kN/m2</v>
      </c>
    </row>
    <row r="58">
      <c r="B58" t="str">
        <v>Shear Force</v>
      </c>
      <c r="E58">
        <f>E57*E54</f>
        <v>9.20869641111112</v>
      </c>
      <c r="F58" t="str">
        <v>kN</v>
      </c>
    </row>
    <row r="59">
      <c r="B59" t="str">
        <v>V=V' + M/d tanB</v>
      </c>
      <c r="C59" t="str">
        <v>(B=0) Hence V =V'</v>
      </c>
    </row>
    <row r="60">
      <c r="B60" t="str">
        <v>Actual Shear Stress</v>
      </c>
      <c r="E60">
        <f>E58*1000/E53/1000</f>
        <v>0.009775686211370616</v>
      </c>
      <c r="F60" t="str">
        <v>N/mm2</v>
      </c>
    </row>
    <row r="61">
      <c r="B61" t="str">
        <v>Percentage Steel</v>
      </c>
      <c r="C61" t="str">
        <v>100As/bd</v>
      </c>
      <c r="E61">
        <f>100*E41*(1000/E43)/(1000*E39)</f>
        <v>0.14222222222222222</v>
      </c>
    </row>
    <row r="62">
      <c r="B62" t="str">
        <v>Tc</v>
      </c>
      <c r="E62">
        <v>0.23</v>
      </c>
      <c r="F62" t="str">
        <v>N/mm2</v>
      </c>
    </row>
    <row r="63">
      <c r="B63" t="str">
        <v>k=1</v>
      </c>
    </row>
    <row r="64">
      <c r="B64" t="str">
        <v>Permissble Shear Stress = k Tc</v>
      </c>
      <c r="E64">
        <f>E62</f>
        <v>0.23</v>
      </c>
      <c r="F64" t="str">
        <v>N/mm2</v>
      </c>
    </row>
    <row r="65">
      <c r="D65" t="str">
        <v>&lt; Actual Shear Stress hence Shear Reinforcement should be provided</v>
      </c>
    </row>
    <row r="66">
      <c r="B66" t="str">
        <v>Dia Of two Legged Stirrups</v>
      </c>
      <c r="E66">
        <v>16</v>
      </c>
      <c r="F66" t="str">
        <v>mm</v>
      </c>
    </row>
    <row r="67">
      <c r="B67" t="str">
        <v>Area Of One Bar In Distribution Reinforcement</v>
      </c>
      <c r="E67">
        <f>3.14*E66*E66/4</f>
        <v>200.96</v>
      </c>
      <c r="F67" t="str">
        <v>mm2</v>
      </c>
    </row>
    <row r="68">
      <c r="B68" t="str">
        <v>Using The Bars Spacing Required s= Asw ts d/V</v>
      </c>
      <c r="E68">
        <f>2*E67*E30*E39/(E58*1000)</f>
        <v>8222.849860555174</v>
      </c>
      <c r="F68" t="str">
        <v>mm</v>
      </c>
    </row>
    <row r="69">
      <c r="B69" t="str">
        <v>Provide  Bars Of Dia And Spacing</v>
      </c>
      <c r="C69">
        <f>E66</f>
        <v>16</v>
      </c>
      <c r="D69" t="str">
        <v>mm</v>
      </c>
      <c r="E69">
        <v>150</v>
      </c>
      <c r="F69" t="str">
        <v>mm</v>
      </c>
      <c r="G69" t="str">
        <v>Adopt spacing as 150 mm</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sheetData>
    <row r="1">
      <c r="E1">
        <f>D18-1</f>
        <v>7.050000000000001</v>
      </c>
      <c r="F1" t="str">
        <v>m</v>
      </c>
    </row>
    <row r="8">
      <c r="B8">
        <f>'TYPE1-AbutMENT Drawing'!K7/1000</f>
        <v>1</v>
      </c>
      <c r="C8" t="str">
        <v>m</v>
      </c>
      <c r="F8">
        <f>'TYPE1-AbutMENT Drawing'!K8/1000</f>
        <v>1</v>
      </c>
      <c r="G8" t="str">
        <v>m</v>
      </c>
    </row>
    <row r="18">
      <c r="D18">
        <f>'TYPE1-AbutMENT Drawing'!M33/1000</f>
        <v>8.05</v>
      </c>
      <c r="E18" t="str">
        <v>m</v>
      </c>
    </row>
    <row r="21">
      <c r="B21">
        <v>258.56357441323684</v>
      </c>
      <c r="C21" t="str">
        <v>m</v>
      </c>
    </row>
    <row r="25">
      <c r="E25">
        <f>'TYPE1-ABUTMENT FOOTING DESIGN'!E56</f>
        <v>157.48125555555555</v>
      </c>
    </row>
    <row r="26">
      <c r="E26" t="str">
        <v>kN/m2</v>
      </c>
      <c r="G26">
        <f>'TYPE1-ABUTMENT FOOTING DESIGN'!E55</f>
        <v>160.06</v>
      </c>
      <c r="H26" t="str">
        <v>kN/m2</v>
      </c>
    </row>
    <row r="29">
      <c r="D29" t="str">
        <v>STRESS DIAGRAM</v>
      </c>
    </row>
    <row r="31">
      <c r="A31" t="str">
        <v xml:space="preserve">DESIGN OF ABUTMENT FOOTING </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sheetData>
    <row r="1">
      <c r="A1" t="str">
        <v xml:space="preserve">REINFORCEMENT CALCULATION IN ABUTMENT SUBMERSIBLE BRIDGE  </v>
      </c>
    </row>
    <row r="2">
      <c r="A2" t="str">
        <f>'TYPE1-STABILITY CHECK ABUTMENT'!A2</f>
        <v>Name Of Work :- Construction of Submersible Bridge on ON KHERWARA - JAWAS - SUVERI ROAD IN KM 9/000, ACROSS RIVER SOM</v>
      </c>
    </row>
    <row r="3">
      <c r="A3" t="str">
        <v>Minimum Shrinkage and Temperature reinforcement required as per Clause 305.10 IRC 21-2000</v>
      </c>
    </row>
    <row r="4">
      <c r="A4" t="str">
        <v>in any RC structure is 250 Sq mm per m in each direction. Allowable maximum spacing is 300 mm.</v>
      </c>
    </row>
    <row r="5">
      <c r="B5" t="str">
        <v>Shrinkage and Temperature reinforcement required per metre =</v>
      </c>
      <c r="E5">
        <v>250</v>
      </c>
      <c r="F5" t="str">
        <v>mm2</v>
      </c>
    </row>
    <row r="6">
      <c r="B6" t="str">
        <v>Area Of One Bar</v>
      </c>
      <c r="C6">
        <v>12</v>
      </c>
      <c r="D6" t="str">
        <v>mm dia</v>
      </c>
      <c r="E6">
        <f>3.14*C6*C6/4</f>
        <v>113.03999999999999</v>
      </c>
      <c r="F6" t="str">
        <v>mm2</v>
      </c>
    </row>
    <row r="7">
      <c r="B7" t="str">
        <v>Spacing S</v>
      </c>
      <c r="E7">
        <f>(E6*1000)/E5</f>
        <v>452.15999999999997</v>
      </c>
      <c r="F7" t="str">
        <v>mm</v>
      </c>
    </row>
    <row r="8">
      <c r="B8" t="str">
        <v>Provide  Bars Of Dia And Spacing</v>
      </c>
      <c r="C8">
        <f>C6</f>
        <v>12</v>
      </c>
      <c r="D8" t="str">
        <v>mm</v>
      </c>
      <c r="E8">
        <v>125</v>
      </c>
      <c r="F8" t="str">
        <v>mm</v>
      </c>
    </row>
    <row r="9">
      <c r="B9" t="str">
        <v>Provide  Bars Of Dia And Spacing</v>
      </c>
      <c r="C9">
        <f>C8</f>
        <v>12</v>
      </c>
      <c r="D9" t="str">
        <v>mm</v>
      </c>
      <c r="E9">
        <v>125</v>
      </c>
      <c r="F9" t="str">
        <v>mm</v>
      </c>
    </row>
    <row r="10">
      <c r="B10" t="str">
        <v>HORIZONTAL SHRINKAGE &amp;TEMPERATURE REINFORCEMENT</v>
      </c>
      <c r="D10">
        <v>12</v>
      </c>
      <c r="E10" t="str">
        <v>MM BARS</v>
      </c>
      <c r="F10">
        <f>E8</f>
        <v>125</v>
      </c>
      <c r="G10" t="str">
        <v>MM</v>
      </c>
      <c r="H10" t="str">
        <v>In Vertical direction on all FOUR faces</v>
      </c>
    </row>
    <row r="11">
      <c r="B11" t="str">
        <v>VERTICAL SHRINKAGE &amp;TEMPERATURE REINFORCEMENT</v>
      </c>
      <c r="D11">
        <v>12</v>
      </c>
      <c r="E11" t="str">
        <v>MM BARS</v>
      </c>
      <c r="F11">
        <f>F10</f>
        <v>125</v>
      </c>
      <c r="G11" t="str">
        <v>MM</v>
      </c>
      <c r="H11" t="str">
        <v>In Lateral direction on all FOUR faces</v>
      </c>
    </row>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sheetData>
    <row r="1">
      <c r="B1" t="str">
        <v xml:space="preserve">DESIGN OF Abutment CAP SUBMERSIBLE BRIDGE </v>
      </c>
    </row>
    <row r="2">
      <c r="A2" t="str">
        <f>'TYPE1-STABILITY CHECK ABUTMENT'!A2</f>
        <v>Name Of Work :- Construction of Submersible Bridge on ON KHERWARA - JAWAS - SUVERI ROAD IN KM 9/000, ACROSS RIVER SOM</v>
      </c>
    </row>
    <row r="3">
      <c r="A3" t="str">
        <v>DESIGN OF Abutment CAP :-</v>
      </c>
    </row>
    <row r="4">
      <c r="A4" t="str">
        <v>D.L./ M Width  along bridge</v>
      </c>
    </row>
    <row r="5">
      <c r="A5" t="str">
        <v xml:space="preserve">DL.  Of Slab = </v>
      </c>
      <c r="C5">
        <v>0.975</v>
      </c>
      <c r="D5" t="str">
        <v xml:space="preserve">x </v>
      </c>
      <c r="E5">
        <v>15</v>
      </c>
      <c r="F5" t="str">
        <v>x.</v>
      </c>
      <c r="G5">
        <v>2.4</v>
      </c>
      <c r="H5" t="str">
        <v>=</v>
      </c>
      <c r="I5">
        <f>C5*E5*G5</f>
        <v>35.1</v>
      </c>
      <c r="J5" t="str">
        <v>T</v>
      </c>
    </row>
    <row r="6">
      <c r="A6" t="str">
        <v xml:space="preserve">D.L. of Wearing coat = </v>
      </c>
      <c r="C6">
        <v>0.075</v>
      </c>
      <c r="D6" t="str">
        <v xml:space="preserve">x </v>
      </c>
      <c r="E6">
        <v>12</v>
      </c>
      <c r="F6" t="str">
        <v>x.</v>
      </c>
      <c r="G6">
        <v>2.4</v>
      </c>
      <c r="H6" t="str">
        <v>=</v>
      </c>
      <c r="I6">
        <f>C6*E6*G6</f>
        <v>2.1599999999999997</v>
      </c>
      <c r="J6" t="str">
        <v>T</v>
      </c>
    </row>
    <row r="7">
      <c r="G7" t="str">
        <v>TOTAL</v>
      </c>
      <c r="I7">
        <f>SUM(I5:I6)</f>
        <v>37.26</v>
      </c>
      <c r="J7" t="str">
        <v>T</v>
      </c>
    </row>
    <row r="8">
      <c r="A8" t="str">
        <v xml:space="preserve">  D.L. of Slab &amp; Wearing coat on half of the Abutment </v>
      </c>
      <c r="E8" t="str">
        <v>=</v>
      </c>
    </row>
    <row r="9">
      <c r="E9">
        <f>I7</f>
        <v>37.26</v>
      </c>
      <c r="F9" t="str">
        <v>/</v>
      </c>
      <c r="G9">
        <v>2</v>
      </c>
      <c r="H9" t="str">
        <v>=</v>
      </c>
      <c r="I9">
        <f>E9/G9</f>
        <v>18.63</v>
      </c>
      <c r="J9" t="str">
        <v>T</v>
      </c>
    </row>
    <row r="10">
      <c r="A10" t="str">
        <v xml:space="preserve">   L.L. on Abutment cap including impact along bridge </v>
      </c>
    </row>
    <row r="11">
      <c r="D11" t="str">
        <v xml:space="preserve">     =</v>
      </c>
      <c r="E11">
        <v>82.5</v>
      </c>
      <c r="F11" t="str">
        <v xml:space="preserve">x </v>
      </c>
      <c r="G11">
        <v>1.1375</v>
      </c>
      <c r="H11" t="str">
        <v>=</v>
      </c>
      <c r="I11">
        <f>E11*G11</f>
        <v>93.84375</v>
      </c>
      <c r="J11" t="str">
        <v>T</v>
      </c>
    </row>
    <row r="12">
      <c r="A12" t="str">
        <v xml:space="preserve">   (Refer   Live Load Computation)</v>
      </c>
    </row>
    <row r="13">
      <c r="A13" t="str">
        <v xml:space="preserve">    Dispersion width across the span for</v>
      </c>
    </row>
    <row r="14">
      <c r="A14" t="str">
        <v xml:space="preserve">    70 T TRACKED VEHTCLE </v>
      </c>
      <c r="D14" t="str">
        <v xml:space="preserve">    =</v>
      </c>
      <c r="E14">
        <v>6.695</v>
      </c>
      <c r="F14" t="str">
        <v>M</v>
      </c>
    </row>
    <row r="15">
      <c r="A15" t="str">
        <v xml:space="preserve">   ( Refer Solid slab  design    page SS-16) </v>
      </c>
    </row>
    <row r="16">
      <c r="A16" t="str">
        <v xml:space="preserve">    Live Load u.d.l. on Abutment    </v>
      </c>
      <c r="D16" t="str">
        <v xml:space="preserve">     =</v>
      </c>
      <c r="E16">
        <f>I11</f>
        <v>93.84375</v>
      </c>
      <c r="F16" t="str">
        <v>/</v>
      </c>
      <c r="G16">
        <f>E14</f>
        <v>6.695</v>
      </c>
      <c r="H16" t="str">
        <v>=</v>
      </c>
      <c r="I16">
        <f>E16/G16</f>
        <v>14.016990291262136</v>
      </c>
      <c r="J16" t="str">
        <v>T</v>
      </c>
    </row>
    <row r="17">
      <c r="B17" t="str">
        <v>Per M width</v>
      </c>
    </row>
    <row r="18">
      <c r="A18" t="str">
        <v xml:space="preserve">    Total Load on Half    =</v>
      </c>
      <c r="D18">
        <f>I9</f>
        <v>18.63</v>
      </c>
      <c r="E18" t="str">
        <v>+</v>
      </c>
      <c r="F18">
        <f>I16</f>
        <v>14.016990291262136</v>
      </c>
      <c r="H18" t="str">
        <v>=</v>
      </c>
      <c r="I18">
        <f>D18+F18</f>
        <v>32.646990291262135</v>
      </c>
      <c r="J18" t="str">
        <v>T</v>
      </c>
    </row>
    <row r="19">
      <c r="A19" t="str">
        <v xml:space="preserve">    of Abutment along bridge </v>
      </c>
      <c r="I19" t="str">
        <v xml:space="preserve">   Per M width</v>
      </c>
    </row>
    <row r="20">
      <c r="A20" t="str">
        <v>Effective depth of slab =90-2.5-2.5/2 =</v>
      </c>
      <c r="D20">
        <f>90-2.5-1.25</f>
        <v>86.25</v>
      </c>
      <c r="E20" t="str">
        <v>cm</v>
      </c>
    </row>
    <row r="21">
      <c r="A21" t="str">
        <v>Placement of the live load at effective depth from the support ( taking support width 750 mm)</v>
      </c>
    </row>
    <row r="22">
      <c r="A22" t="str">
        <v>Eccentricity = 71.25 -75/2</v>
      </c>
      <c r="D22" t="str">
        <v>=</v>
      </c>
      <c r="E22">
        <f>71.25-37.5</f>
        <v>33.75</v>
      </c>
      <c r="F22" t="str">
        <v>cm</v>
      </c>
      <c r="G22" t="str">
        <v>=</v>
      </c>
      <c r="H22">
        <f>E22/100</f>
        <v>0.3375</v>
      </c>
      <c r="I22" t="str">
        <v>M</v>
      </c>
    </row>
    <row r="23">
      <c r="A23" t="str">
        <v xml:space="preserve">     Bending Moment along the bridge  =</v>
      </c>
      <c r="C23">
        <f>I18</f>
        <v>32.646990291262135</v>
      </c>
      <c r="D23" t="str">
        <v>x</v>
      </c>
      <c r="E23">
        <f>H22</f>
        <v>0.3375</v>
      </c>
      <c r="H23">
        <f>ROUNDUP(C23*E23,2)</f>
        <v>11.02</v>
      </c>
      <c r="I23" t="str">
        <v>T - M/M width</v>
      </c>
    </row>
    <row r="24">
      <c r="B24" t="str">
        <v>=</v>
      </c>
      <c r="C24">
        <f>H23</f>
        <v>11.02</v>
      </c>
      <c r="D24" t="str">
        <v>x</v>
      </c>
      <c r="E24">
        <v>10</v>
      </c>
      <c r="F24" t="str">
        <v>=</v>
      </c>
      <c r="G24">
        <f>ROUNDUP(C24*10,2)</f>
        <v>110.2</v>
      </c>
      <c r="H24" t="str">
        <v>kN-M/M width</v>
      </c>
    </row>
    <row r="25">
      <c r="A25" t="str">
        <v xml:space="preserve">    This moment is too small hence it will not/be the governing  B.M.</v>
      </c>
    </row>
    <row r="26">
      <c r="B26" t="str">
        <v>Moment in Abutment cap</v>
      </c>
      <c r="E26">
        <f>G24</f>
        <v>110.2</v>
      </c>
      <c r="F26" t="str">
        <v>kN-m</v>
      </c>
    </row>
    <row r="27">
      <c r="B27" t="str">
        <v>CONCRETE GRADE</v>
      </c>
      <c r="E27" t="str">
        <v>M30</v>
      </c>
    </row>
    <row r="28">
      <c r="B28" t="str">
        <v>FOR THIS GRADE scbc</v>
      </c>
      <c r="E28">
        <v>10</v>
      </c>
      <c r="F28" t="str">
        <v>N/mm2</v>
      </c>
    </row>
    <row r="29">
      <c r="B29" t="str">
        <v>m</v>
      </c>
      <c r="E29">
        <f>280/(3*E28)</f>
        <v>9.333333333333334</v>
      </c>
    </row>
    <row r="30">
      <c r="B30" t="str">
        <v>sst</v>
      </c>
      <c r="E30">
        <v>200</v>
      </c>
    </row>
    <row r="31">
      <c r="B31" t="str">
        <v>factor k</v>
      </c>
      <c r="E31">
        <f>(E29*E28)/(E28*E29+E30)</f>
        <v>0.3181818181818182</v>
      </c>
    </row>
    <row r="32">
      <c r="B32" t="str">
        <v>j</v>
      </c>
      <c r="E32">
        <f>1-(E31/3)</f>
        <v>0.8939393939393939</v>
      </c>
    </row>
    <row r="33">
      <c r="B33" t="str">
        <v>R</v>
      </c>
      <c r="E33">
        <f>0.5*E28*E32*E31</f>
        <v>1.4221763085399448</v>
      </c>
    </row>
    <row r="34">
      <c r="B34" t="str">
        <v>Effective Depth Required</v>
      </c>
      <c r="E34">
        <f>SQRT((E26*1000*1000)/(E33*1000))</f>
        <v>278.364646665695</v>
      </c>
      <c r="F34" t="str">
        <v>mm</v>
      </c>
    </row>
    <row r="35">
      <c r="B35" t="str">
        <v xml:space="preserve">Adopt Total Depth </v>
      </c>
      <c r="E35">
        <f>1200</f>
        <v>1200</v>
      </c>
      <c r="F35" t="str">
        <v>mm</v>
      </c>
    </row>
    <row r="36">
      <c r="B36" t="str">
        <v>Cover</v>
      </c>
      <c r="E36">
        <v>50</v>
      </c>
      <c r="F36" t="str">
        <v>mm</v>
      </c>
    </row>
    <row r="37">
      <c r="B37" t="str">
        <v>Assume Bar Dia</v>
      </c>
      <c r="E37">
        <v>25</v>
      </c>
      <c r="F37" t="str">
        <v>mm</v>
      </c>
    </row>
    <row r="38">
      <c r="B38" t="str">
        <v>Keeping A Cover Of 50 mm Effective Depth</v>
      </c>
      <c r="E38">
        <f>E35-E36-E37/2</f>
        <v>1137.5</v>
      </c>
      <c r="F38" t="str">
        <v>mm</v>
      </c>
    </row>
    <row r="39">
      <c r="B39" t="str">
        <v>Adopt Effective Depth</v>
      </c>
      <c r="E39">
        <f>IF(E34&gt;E38,E34,E38)</f>
        <v>1137.5</v>
      </c>
      <c r="F39" t="str">
        <v>mm</v>
      </c>
    </row>
    <row r="40">
      <c r="B40" t="str">
        <v>Steel Required  Ast</v>
      </c>
      <c r="E40">
        <f>(E26*1000*1000)/(E30*E32*E39)</f>
        <v>541.8662693238964</v>
      </c>
      <c r="F40" t="str">
        <v>mm2</v>
      </c>
    </row>
    <row r="41">
      <c r="B41" t="str">
        <v>Area Of One Bar</v>
      </c>
      <c r="E41">
        <f>3.14*E37*E37/4</f>
        <v>490.625</v>
      </c>
      <c r="F41" t="str">
        <v>mm2</v>
      </c>
    </row>
    <row r="42">
      <c r="B42" t="str">
        <v>Spacing S</v>
      </c>
      <c r="E42">
        <f>(E41*1000)/E40</f>
        <v>905.4355802810318</v>
      </c>
      <c r="F42" t="str">
        <v>mm</v>
      </c>
    </row>
    <row r="43">
      <c r="B43" t="str">
        <v>Provide  Bars Of Dia And Spacing</v>
      </c>
      <c r="C43">
        <f>E37</f>
        <v>25</v>
      </c>
      <c r="D43" t="str">
        <v>mm</v>
      </c>
      <c r="E43">
        <v>100</v>
      </c>
      <c r="F43" t="str">
        <v>mm</v>
      </c>
      <c r="G43" t="str">
        <v>Adopt spacing as 100 mm</v>
      </c>
    </row>
    <row r="44">
      <c r="B44" t="str">
        <v>Provide  Bars Of Dia And Spacing for Top Main Steel</v>
      </c>
      <c r="C44">
        <f>C43</f>
        <v>25</v>
      </c>
      <c r="D44" t="str">
        <v>mm</v>
      </c>
      <c r="E44">
        <f>E43</f>
        <v>100</v>
      </c>
      <c r="F44" t="str">
        <v>mm</v>
      </c>
    </row>
    <row r="45">
      <c r="B45" t="str">
        <v>Provide  Bars Of Dia And Spacing for Bottom Steel</v>
      </c>
      <c r="C45">
        <v>16</v>
      </c>
      <c r="D45" t="str">
        <v>mm</v>
      </c>
      <c r="E45">
        <f>E44</f>
        <v>100</v>
      </c>
      <c r="F45" t="str">
        <v>mm</v>
      </c>
    </row>
    <row r="46">
      <c r="A46" t="str">
        <v>Abutment SECTION ACROSS BRIDGE</v>
      </c>
    </row>
    <row r="47">
      <c r="A47" t="str">
        <v>DEAD LOAD MOMENT PER METRE Width  across bridge :-</v>
      </c>
    </row>
    <row r="48">
      <c r="A48" t="str">
        <v>Slab   D.L.</v>
      </c>
      <c r="C48">
        <v>0.975</v>
      </c>
      <c r="D48" t="str">
        <v xml:space="preserve">x </v>
      </c>
      <c r="E48">
        <v>15</v>
      </c>
      <c r="F48" t="str">
        <v>x.</v>
      </c>
      <c r="G48">
        <v>2.4</v>
      </c>
      <c r="H48" t="str">
        <v>=</v>
      </c>
      <c r="I48">
        <f>C48*E48*G48</f>
        <v>35.1</v>
      </c>
      <c r="J48" t="str">
        <v>T</v>
      </c>
    </row>
    <row r="49">
      <c r="A49" t="str">
        <v xml:space="preserve">D.L. of Wearing coat = </v>
      </c>
      <c r="C49">
        <v>0.075</v>
      </c>
      <c r="D49" t="str">
        <v xml:space="preserve">x </v>
      </c>
      <c r="E49">
        <v>12</v>
      </c>
      <c r="F49" t="str">
        <v>x.</v>
      </c>
      <c r="G49">
        <v>2.4</v>
      </c>
      <c r="H49" t="str">
        <v>=</v>
      </c>
      <c r="I49">
        <f>C49*E49*G49</f>
        <v>2.1599999999999997</v>
      </c>
      <c r="J49" t="str">
        <v>T</v>
      </c>
    </row>
    <row r="50">
      <c r="G50" t="str">
        <v>TOTAL</v>
      </c>
      <c r="I50">
        <f>SUM(I48:I49)</f>
        <v>37.26</v>
      </c>
      <c r="J50" t="str">
        <v>T</v>
      </c>
    </row>
    <row r="51">
      <c r="A51" t="str">
        <v xml:space="preserve">D.L. of Slab &amp; Wearing coat on half of the Abutment </v>
      </c>
      <c r="E51" t="str">
        <v>=</v>
      </c>
    </row>
    <row r="52">
      <c r="E52">
        <f>I50</f>
        <v>37.26</v>
      </c>
      <c r="F52" t="str">
        <v>/</v>
      </c>
      <c r="G52">
        <v>2</v>
      </c>
      <c r="H52" t="str">
        <v>=</v>
      </c>
      <c r="I52">
        <f>E52/G52</f>
        <v>18.63</v>
      </c>
      <c r="J52" t="str">
        <v>T/ M width</v>
      </c>
    </row>
    <row r="53">
      <c r="A53" t="str">
        <v xml:space="preserve">L.L on Abutment </v>
      </c>
      <c r="E53" t="str">
        <v xml:space="preserve">  = </v>
      </c>
      <c r="I53">
        <v>64.69</v>
      </c>
      <c r="J53" t="str">
        <v>T</v>
      </c>
    </row>
    <row r="55">
      <c r="A55" t="str">
        <v xml:space="preserve">Dispersion width along the span for </v>
      </c>
    </row>
    <row r="56">
      <c r="A56" t="str">
        <v>70 T Tracked vehical</v>
      </c>
      <c r="C56" t="str">
        <v xml:space="preserve">  = </v>
      </c>
      <c r="D56">
        <v>5.3</v>
      </c>
      <c r="E56" t="str">
        <v>M</v>
      </c>
    </row>
    <row r="58">
      <c r="A58" t="str">
        <v xml:space="preserve"> L.L. . per M  width on Abutment   =      </v>
      </c>
      <c r="E58">
        <f>I53</f>
        <v>64.69</v>
      </c>
      <c r="F58" t="str">
        <v>/</v>
      </c>
      <c r="G58">
        <f>D56</f>
        <v>5.3</v>
      </c>
      <c r="H58" t="str">
        <v>=</v>
      </c>
      <c r="I58">
        <f>E58/G58</f>
        <v>12.205660377358491</v>
      </c>
      <c r="J58" t="str">
        <v>T/ M width</v>
      </c>
    </row>
    <row r="59">
      <c r="A59" t="str">
        <v>Total D.L. + L.L. on half of  Abutment across</v>
      </c>
      <c r="D59">
        <f>I52</f>
        <v>18.63</v>
      </c>
      <c r="E59" t="str">
        <v>+</v>
      </c>
      <c r="F59">
        <f>I58</f>
        <v>12.205660377358491</v>
      </c>
      <c r="H59" t="str">
        <v>=</v>
      </c>
      <c r="I59">
        <f>ROUNDUP((D59+F59),2)</f>
        <v>30.84</v>
      </c>
      <c r="J59" t="str">
        <v>T</v>
      </c>
    </row>
    <row r="60">
      <c r="A60" t="str">
        <v>bridge per M width</v>
      </c>
      <c r="I60" t="str">
        <v xml:space="preserve">   Per M width</v>
      </c>
    </row>
    <row r="61">
      <c r="A61" t="str">
        <v>The Live Load is with clearance from the Footpath and kerb. The cantilever portion of Abutment cap and width of footpath is 1500 mm</v>
      </c>
    </row>
    <row r="62">
      <c r="A62" t="str">
        <v>Hence There is no eccentricity.</v>
      </c>
    </row>
    <row r="63">
      <c r="A63" t="str">
        <v xml:space="preserve">     Bending Moment across the bridge  =</v>
      </c>
      <c r="C63">
        <f>I59</f>
        <v>30.84</v>
      </c>
      <c r="D63" t="str">
        <v>x</v>
      </c>
      <c r="E63">
        <v>0</v>
      </c>
      <c r="H63">
        <f>C63*E63</f>
        <v>0</v>
      </c>
      <c r="I63" t="str">
        <v>T - M/M width</v>
      </c>
    </row>
    <row r="64">
      <c r="A64" t="str">
        <v>Provide Minimum  steel</v>
      </c>
    </row>
    <row r="65">
      <c r="A65" t="str">
        <v>Minimum Reinforcement calculation for Abutment cap :-</v>
      </c>
    </row>
    <row r="66">
      <c r="A66" t="str">
        <v xml:space="preserve"> As per clause 710.8.2, IRC- 78 - 2000, the thickness of Abutment</v>
      </c>
    </row>
    <row r="67">
      <c r="A67" t="str">
        <v xml:space="preserve"> cap shall be at least 200 mm  However the thickness </v>
      </c>
    </row>
    <row r="68">
      <c r="A68" t="str">
        <v xml:space="preserve"> of Abutment cap here is 1200 MM.</v>
      </c>
    </row>
    <row r="69">
      <c r="A69" t="str">
        <v xml:space="preserve"> Grade of Concrete  M 30</v>
      </c>
    </row>
    <row r="70">
      <c r="A70" t="str">
        <v>Minimum Shrinkage and Temperature reinforcement required as per Clause 305.10 IRC 21-2000</v>
      </c>
    </row>
    <row r="71">
      <c r="A71" t="str">
        <v>in any RC structure is 250 Sq mm per m in each direction. Allowable maximum spacing is 300 mm.</v>
      </c>
    </row>
    <row r="72">
      <c r="A72" t="str">
        <v>Shrinkage and Temperature reinforcement required =</v>
      </c>
      <c r="F72">
        <v>250</v>
      </c>
      <c r="G72" t="str">
        <v>x</v>
      </c>
      <c r="H72">
        <v>1.2</v>
      </c>
      <c r="I72" t="str">
        <v>=</v>
      </c>
      <c r="J72">
        <f>F72*H72</f>
        <v>300</v>
      </c>
      <c r="K72" t="str">
        <v>mm2</v>
      </c>
    </row>
    <row r="73">
      <c r="A73" t="str">
        <v>Provide 25 mm tor reiforcement @ 100 mm c/c ( 14 Nos.) in top along the Abutment cap</v>
      </c>
    </row>
    <row r="74">
      <c r="A74" t="str">
        <v>Provide 16 mm tor reiforcement @ 100 mm c/c ( 14 Nos.) in bottom along the Abutment cap</v>
      </c>
    </row>
    <row r="75">
      <c r="A75" t="str">
        <v>Area of Steel Provided at top</v>
      </c>
    </row>
    <row r="76">
      <c r="A76" t="str">
        <v>= (14x 491)</v>
      </c>
      <c r="C76" t="str">
        <v>=</v>
      </c>
      <c r="D76">
        <f>14*491</f>
        <v>6874</v>
      </c>
      <c r="E76" t="str">
        <v>mm2</v>
      </c>
      <c r="F76" t="str">
        <v xml:space="preserve"> &gt; 300 mm2 </v>
      </c>
      <c r="H76" t="str">
        <v>OK</v>
      </c>
    </row>
    <row r="78">
      <c r="A78" t="str">
        <v>Area of Steel Provided at bottom</v>
      </c>
    </row>
    <row r="79">
      <c r="A79" t="str">
        <v>= (14x 201)</v>
      </c>
      <c r="C79" t="str">
        <v>=</v>
      </c>
      <c r="D79">
        <v>2814</v>
      </c>
      <c r="E79" t="str">
        <v>mm2</v>
      </c>
      <c r="F79" t="str">
        <v xml:space="preserve"> &gt; 300 mm2 </v>
      </c>
      <c r="H79" t="str">
        <v>OK</v>
      </c>
    </row>
    <row r="80">
      <c r="A80" t="str">
        <v>CHECK FOR SHEAR ALONG BRIDGE DIRECTION</v>
      </c>
    </row>
    <row r="81">
      <c r="B81" t="str">
        <v xml:space="preserve">V =  </v>
      </c>
      <c r="C81">
        <f>I59</f>
        <v>30.84</v>
      </c>
      <c r="D81" t="str">
        <v>T</v>
      </c>
    </row>
    <row r="82">
      <c r="B82" t="str">
        <v>Shear Force</v>
      </c>
      <c r="E82">
        <f>C81*10</f>
        <v>308.4</v>
      </c>
      <c r="F82" t="str">
        <v>kN</v>
      </c>
    </row>
    <row r="83">
      <c r="B83" t="str">
        <v>V=V' + M/d tanB</v>
      </c>
      <c r="C83" t="str">
        <v>(B=0) Hence V =V'</v>
      </c>
    </row>
    <row r="84">
      <c r="B84" t="str">
        <v>Actual Shear Stress</v>
      </c>
      <c r="E84">
        <f>E82*1000/$E$39/1000</f>
        <v>0.2711208791208791</v>
      </c>
      <c r="F84" t="str">
        <v>N/mm2</v>
      </c>
    </row>
    <row r="85">
      <c r="B85" t="str">
        <v>Percentage Steel</v>
      </c>
      <c r="C85" t="str">
        <v>100As/bd</v>
      </c>
      <c r="E85">
        <f>100*$D$79/(1000*$E$39)</f>
        <v>0.2473846153846154</v>
      </c>
    </row>
    <row r="86">
      <c r="B86" t="str">
        <v>Tc</v>
      </c>
      <c r="E86">
        <v>0.23</v>
      </c>
      <c r="F86" t="str">
        <v>N/mm2</v>
      </c>
    </row>
    <row r="87">
      <c r="B87" t="str">
        <v>k=1</v>
      </c>
    </row>
    <row r="88">
      <c r="B88" t="str">
        <v>Permissble Shear Stress = k Tc</v>
      </c>
      <c r="E88">
        <f>E86</f>
        <v>0.23</v>
      </c>
      <c r="F88" t="str">
        <v>N/mm2</v>
      </c>
    </row>
    <row r="89">
      <c r="D89" t="str">
        <v>&lt; Actual Shear Stress hence Shear Reinforcement should be provided</v>
      </c>
    </row>
    <row r="90">
      <c r="B90" t="str">
        <v>Dia Of two Legged Stirrups</v>
      </c>
      <c r="E90">
        <v>16</v>
      </c>
      <c r="F90" t="str">
        <v>mm</v>
      </c>
    </row>
    <row r="91">
      <c r="B91" t="str">
        <v>Area Of One Bar In Distribution Reinforcement</v>
      </c>
      <c r="E91">
        <f>3.14*E90*E90/4</f>
        <v>200.96</v>
      </c>
      <c r="F91" t="str">
        <v>mm2</v>
      </c>
    </row>
    <row r="92">
      <c r="B92" t="str">
        <v>Using The Bars Spacing Required s= Asw ts d/V</v>
      </c>
      <c r="E92">
        <f>2*E91*E30*E39/(E82*1000)</f>
        <v>296.48767833981844</v>
      </c>
      <c r="F92" t="str">
        <v>mm</v>
      </c>
    </row>
    <row r="93">
      <c r="B93" t="str">
        <v>Provide  Bars Of Dia And Spacing</v>
      </c>
      <c r="C93">
        <f>E90</f>
        <v>16</v>
      </c>
      <c r="D93" t="str">
        <v>mm</v>
      </c>
      <c r="E93">
        <v>100</v>
      </c>
      <c r="F93" t="str">
        <v>mm</v>
      </c>
      <c r="G93" t="str">
        <v>Adopt spacing as 100 mm</v>
      </c>
    </row>
    <row r="94">
      <c r="A94" t="str">
        <v>HOWEVER</v>
      </c>
    </row>
    <row r="95">
      <c r="A95" t="str">
        <v xml:space="preserve">Provide 16 mm tor 2 legged vertical stirrups @ 100 mm centre to centre along the Abutment cap </v>
      </c>
    </row>
    <row r="96">
      <c r="A96" t="str">
        <v>Provide 16 mm tor 2 legged horizontal stirrups @ 100 mm centre to centre along the Abutment cap</v>
      </c>
    </row>
    <row r="98">
      <c r="A98" t="str">
        <v xml:space="preserve"> SHEAR CHECK ACROSS BRIDGE  DIRECTION </v>
      </c>
    </row>
    <row r="99">
      <c r="B99" t="str">
        <v xml:space="preserve">V =  </v>
      </c>
      <c r="C99">
        <v>20.3</v>
      </c>
      <c r="D99" t="str">
        <v>T</v>
      </c>
    </row>
    <row r="100">
      <c r="B100" t="str">
        <v>Shear Force</v>
      </c>
      <c r="E100">
        <f>C99*10</f>
        <v>203</v>
      </c>
      <c r="F100" t="str">
        <v>kN</v>
      </c>
    </row>
    <row r="101">
      <c r="B101" t="str">
        <v>V=V' + M/d tanB</v>
      </c>
      <c r="C101" t="str">
        <v>(B=0) Hence V =V'</v>
      </c>
    </row>
    <row r="102">
      <c r="B102" t="str">
        <v>Actual Shear Stress</v>
      </c>
      <c r="E102">
        <f>E100*1000/$E$39/1000</f>
        <v>0.17846153846153845</v>
      </c>
      <c r="F102" t="str">
        <v>N/mm2</v>
      </c>
    </row>
    <row r="103">
      <c r="B103" t="str">
        <v>Percentage Steel</v>
      </c>
      <c r="C103" t="str">
        <v>100As/bd</v>
      </c>
      <c r="E103">
        <f>100*$D$79/(1000*$E$39)</f>
        <v>0.2473846153846154</v>
      </c>
    </row>
    <row r="104">
      <c r="B104" t="str">
        <v>Tc</v>
      </c>
      <c r="E104">
        <v>0.23</v>
      </c>
      <c r="F104" t="str">
        <v>N/mm2</v>
      </c>
    </row>
    <row r="105">
      <c r="B105" t="str">
        <v>k=1</v>
      </c>
    </row>
    <row r="106">
      <c r="B106" t="str">
        <v>Permissble Shear Stress = k Tc</v>
      </c>
      <c r="E106">
        <f>E104</f>
        <v>0.23</v>
      </c>
      <c r="F106" t="str">
        <v>N/mm2</v>
      </c>
    </row>
    <row r="107">
      <c r="D107" t="str">
        <v>&gt; Actual Shear Stress hence No Shear Reinforcement is required.</v>
      </c>
    </row>
    <row r="108">
      <c r="A108" t="str">
        <v>HOWEVER</v>
      </c>
    </row>
    <row r="109">
      <c r="A109" t="str">
        <v xml:space="preserve">Provide 16 mm tor 2 legged vertical stirrups @ 100 mm centre to centre along the Abutment cap </v>
      </c>
    </row>
    <row r="110">
      <c r="A110" t="str">
        <v>Provide 16 mm tor 2 legged horizontal stirrups @ 100 mm centre to centre along the Abutment cap</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sheetData>
    <row r="1">
      <c r="A1" t="str">
        <v>DESIGN OF DIRT WALL AS COLUMN WITH BENDING</v>
      </c>
    </row>
    <row r="2">
      <c r="A2" t="str">
        <v>AXIAL LOAD ON THE DIRT WALL</v>
      </c>
      <c r="F2">
        <f>'TYPE1-DIRT DirectLoad_BM'!N25</f>
        <v>31.6</v>
      </c>
      <c r="G2" t="str">
        <v>KN</v>
      </c>
    </row>
    <row r="3">
      <c r="A3" t="str">
        <v>ASSUME WIDTH OF DIRT WALL</v>
      </c>
      <c r="F3">
        <v>1000</v>
      </c>
      <c r="G3" t="str">
        <v>MM</v>
      </c>
      <c r="H3" t="str">
        <v>EMIN/B</v>
      </c>
      <c r="I3">
        <f>(300/500+F3/300)/F3</f>
        <v>0.003933333333333334</v>
      </c>
    </row>
    <row r="4">
      <c r="A4" t="str">
        <v>ASSUME DEPTH OF DIRT WALL</v>
      </c>
      <c r="F4">
        <v>300</v>
      </c>
      <c r="G4" t="str">
        <v>MM</v>
      </c>
      <c r="H4" t="str">
        <v>EMIN/D</v>
      </c>
      <c r="I4">
        <f>(300/500+F4/300)/F4</f>
        <v>0.005333333333333334</v>
      </c>
    </row>
    <row r="5">
      <c r="A5" t="str">
        <v>MOMENT TRANSFERRED TO DIRT WALL</v>
      </c>
      <c r="F5">
        <f>'TYPE1-DIRT DirectLoad_BM'!D62*10</f>
        <v>12.8</v>
      </c>
      <c r="G5" t="str">
        <v>KN-M</v>
      </c>
    </row>
    <row r="6">
      <c r="A6" t="str">
        <v>FACTORED AXIAL LOAD</v>
      </c>
      <c r="F6">
        <f>F2*1.5</f>
        <v>47.400000000000006</v>
      </c>
      <c r="G6" t="str">
        <v>KN</v>
      </c>
    </row>
    <row r="7">
      <c r="A7" t="str">
        <v>FACTORED MOMENT</v>
      </c>
      <c r="F7">
        <f>F5*1.5</f>
        <v>19.200000000000003</v>
      </c>
      <c r="G7" t="str">
        <v>KN-M</v>
      </c>
    </row>
    <row r="8">
      <c r="A8" t="str">
        <v>DIA OF LONGITUDINAL REINFORCEMENT</v>
      </c>
      <c r="F8">
        <v>10</v>
      </c>
      <c r="G8" t="str">
        <v>MM</v>
      </c>
    </row>
    <row r="9">
      <c r="A9" t="str">
        <v>CLEAR COVER</v>
      </c>
      <c r="F9">
        <v>40</v>
      </c>
      <c r="G9" t="str">
        <v>MM</v>
      </c>
    </row>
    <row r="10">
      <c r="A10" t="str">
        <v>d'</v>
      </c>
      <c r="F10">
        <f>F9+(F8/2)</f>
        <v>45</v>
      </c>
      <c r="G10" t="str">
        <v>MM</v>
      </c>
    </row>
    <row r="11">
      <c r="A11" t="str">
        <v>d'/D</v>
      </c>
      <c r="F11">
        <f>F10/F4</f>
        <v>0.15</v>
      </c>
    </row>
    <row r="12">
      <c r="A12" t="str">
        <v>ADOPT d'/D</v>
      </c>
      <c r="F12">
        <v>0.15</v>
      </c>
    </row>
    <row r="13">
      <c r="A13" t="str">
        <v>PU/FCKBD</v>
      </c>
      <c r="F13">
        <f>F6*1000/(30*F3*F4)</f>
        <v>0.005266666666666668</v>
      </c>
    </row>
    <row r="14">
      <c r="A14" t="str">
        <v>MU/FCKBD2</v>
      </c>
      <c r="F14">
        <f>F7*1000000/(30*F3*F4^2)</f>
        <v>0.007111111111111112</v>
      </c>
    </row>
    <row r="15">
      <c r="A15" t="str">
        <v>REINFORCEMENT EQUALLY DISTRIDUTED ON  TWO SIDES</v>
      </c>
    </row>
    <row r="16">
      <c r="A16" t="str">
        <v>USING CHART NO- OF RCC DESIGN AIDS</v>
      </c>
      <c r="F16">
        <v>33</v>
      </c>
      <c r="H16" t="str">
        <v>CONC GRADE M-30</v>
      </c>
    </row>
    <row r="17">
      <c r="A17" t="str">
        <v>P/FCK</v>
      </c>
      <c r="F17">
        <v>0.01</v>
      </c>
    </row>
    <row r="18">
      <c r="A18" t="str">
        <v>P</v>
      </c>
      <c r="F18">
        <f>F17*30</f>
        <v>0.3</v>
      </c>
      <c r="H18" t="str">
        <v>&gt; Minimum Steel 0.2% Hence OK</v>
      </c>
    </row>
    <row r="19">
      <c r="A19" t="str">
        <v>AS</v>
      </c>
      <c r="F19">
        <f>F18*F3*F4/100</f>
        <v>900</v>
      </c>
      <c r="G19" t="str">
        <v>SQ MM</v>
      </c>
    </row>
    <row r="20">
      <c r="A20" t="str">
        <v>TOTAL NUMBER OF BARS REQUIRED</v>
      </c>
      <c r="F20">
        <f>ROUNDUP(F19/(0.785*(F8^2)),0)</f>
        <v>12</v>
      </c>
    </row>
    <row r="21">
      <c r="A21" t="str">
        <v>NUMBER OF BARS ON EACH SIDE</v>
      </c>
      <c r="F21">
        <f>ROUNDUP(F20/2,0)</f>
        <v>6</v>
      </c>
    </row>
    <row r="22">
      <c r="A22" t="str">
        <v xml:space="preserve">SPACING </v>
      </c>
      <c r="F22">
        <f>F3/(F21-1)</f>
        <v>200</v>
      </c>
      <c r="G22" t="str">
        <v>MM</v>
      </c>
    </row>
    <row r="24">
      <c r="A24" t="str">
        <v xml:space="preserve">Alternate design Considering dirt wall as cantilever </v>
      </c>
    </row>
    <row r="26">
      <c r="D26" t="str">
        <v>B.M.</v>
      </c>
      <c r="E26" t="str">
        <v>=</v>
      </c>
      <c r="F26">
        <f>F5</f>
        <v>12.8</v>
      </c>
      <c r="G26" t="str">
        <f>G5</f>
        <v>KN-M</v>
      </c>
    </row>
    <row r="27">
      <c r="C27" t="str">
        <v>deff reqd.   =</v>
      </c>
      <c r="F27">
        <f>F26</f>
        <v>12.8</v>
      </c>
      <c r="G27" t="str">
        <v>x</v>
      </c>
      <c r="H27" t="str">
        <v>10 6</v>
      </c>
      <c r="I27" t="str">
        <v>=</v>
      </c>
      <c r="J27">
        <v>118.7</v>
      </c>
      <c r="K27" t="str">
        <v>mm</v>
      </c>
    </row>
    <row r="28">
      <c r="F28">
        <v>1000</v>
      </c>
      <c r="G28" t="str">
        <v>x</v>
      </c>
      <c r="H28">
        <v>0.972</v>
      </c>
    </row>
    <row r="29">
      <c r="C29" t="str">
        <v>dpro</v>
      </c>
      <c r="D29">
        <f>F4</f>
        <v>300</v>
      </c>
      <c r="E29" t="str">
        <v>-</v>
      </c>
      <c r="F29">
        <v>50</v>
      </c>
      <c r="G29" t="str">
        <v>-</v>
      </c>
      <c r="H29">
        <v>16</v>
      </c>
      <c r="I29" t="str">
        <v>=</v>
      </c>
      <c r="J29">
        <f>D29-F29-F8/2</f>
        <v>245</v>
      </c>
      <c r="K29" t="str">
        <v>mm</v>
      </c>
      <c r="L29" t="str">
        <v>&gt;</v>
      </c>
      <c r="M29">
        <v>118.7</v>
      </c>
      <c r="O29" t="str">
        <v>mm</v>
      </c>
      <c r="P29" t="str">
        <v>(OK)</v>
      </c>
    </row>
    <row r="30">
      <c r="H30">
        <v>2</v>
      </c>
    </row>
    <row r="31">
      <c r="C31" t="str">
        <v>Ast</v>
      </c>
      <c r="D31" t="str">
        <v>=</v>
      </c>
      <c r="F31">
        <f>F27</f>
        <v>12.8</v>
      </c>
      <c r="G31" t="str">
        <v>X</v>
      </c>
      <c r="I31" t="str">
        <v>10 6</v>
      </c>
      <c r="K31" t="str">
        <v>=</v>
      </c>
      <c r="L31">
        <f>F31*1000000/(F32*H32*J32)</f>
        <v>284.86858211114327</v>
      </c>
      <c r="M31" t="str">
        <v>mm2</v>
      </c>
    </row>
    <row r="32">
      <c r="F32">
        <v>200</v>
      </c>
      <c r="G32" t="str">
        <v>X</v>
      </c>
      <c r="H32">
        <v>0.917</v>
      </c>
      <c r="I32" t="str">
        <v>x</v>
      </c>
      <c r="J32">
        <f>J29</f>
        <v>245</v>
      </c>
    </row>
    <row r="33">
      <c r="B33" t="str">
        <v>This steel is to be provided on back</v>
      </c>
      <c r="F33" t="str">
        <v xml:space="preserve">i.e. </v>
      </c>
      <c r="G33" t="str">
        <v>approach slab side</v>
      </c>
    </row>
    <row r="35">
      <c r="B35" t="str">
        <v>Provide Vertical steel as follows</v>
      </c>
    </row>
    <row r="36">
      <c r="B36" t="str">
        <v>On River side 10mm bars @ 150 mm c/c</v>
      </c>
      <c r="G36" t="str">
        <v>=</v>
      </c>
      <c r="H36">
        <f>ROUNDUP(78.5*1000/150,0)</f>
        <v>524</v>
      </c>
      <c r="I36" t="str">
        <v>mm2</v>
      </c>
    </row>
    <row r="37">
      <c r="B37" t="str">
        <v>On Approach Slab side 10mm bars @ 150 Mm c/c</v>
      </c>
      <c r="G37" t="str">
        <v>=</v>
      </c>
      <c r="H37">
        <f>H36</f>
        <v>524</v>
      </c>
      <c r="I37" t="str">
        <v>mm2</v>
      </c>
    </row>
    <row r="38">
      <c r="B38" t="str">
        <v>Minimum steel required in Horizontal direction</v>
      </c>
    </row>
    <row r="39">
      <c r="B39" t="str">
        <v>=</v>
      </c>
      <c r="C39">
        <v>0.002</v>
      </c>
      <c r="D39" t="str">
        <v>x</v>
      </c>
      <c r="E39">
        <v>1000</v>
      </c>
      <c r="F39" t="str">
        <v>x</v>
      </c>
      <c r="G39">
        <v>250</v>
      </c>
    </row>
    <row r="40">
      <c r="B40" t="str">
        <v>=</v>
      </c>
      <c r="D40">
        <v>500</v>
      </c>
      <c r="E40" t="str">
        <v>mm2</v>
      </c>
    </row>
    <row r="41">
      <c r="B41" t="str">
        <v>i.e. 250 mm2</v>
      </c>
      <c r="D41" t="str">
        <v>on each face</v>
      </c>
    </row>
    <row r="42">
      <c r="B42" t="str">
        <v>provide  10</v>
      </c>
      <c r="D42" t="str">
        <v>@ 250 mm</v>
      </c>
      <c r="F42" t="str">
        <v>c/c</v>
      </c>
      <c r="G42" t="str">
        <v>=</v>
      </c>
      <c r="H42">
        <f>1000/250*78.5</f>
        <v>314</v>
      </c>
      <c r="I42" t="str">
        <v>mm2</v>
      </c>
    </row>
    <row r="43">
      <c r="C43" t="str">
        <v>ABSTRACT</v>
      </c>
    </row>
    <row r="44">
      <c r="C44" t="str">
        <v xml:space="preserve">VERTICAL REINFORCEMENT IN SHAPE OF STIRRUPS on both faces </v>
      </c>
    </row>
    <row r="45">
      <c r="C45" t="str">
        <v>DIA</v>
      </c>
      <c r="D45">
        <v>10</v>
      </c>
      <c r="E45" t="str">
        <v>mm</v>
      </c>
    </row>
    <row r="46">
      <c r="C46" t="str">
        <v>SPACING</v>
      </c>
      <c r="D46">
        <v>150</v>
      </c>
      <c r="E46" t="str">
        <v>mm</v>
      </c>
    </row>
    <row r="48">
      <c r="C48" t="str">
        <v xml:space="preserve">HORIZONTAL REINFORCEMENT BAR DIA on both faces </v>
      </c>
    </row>
    <row r="49">
      <c r="C49" t="str">
        <v>DIA</v>
      </c>
      <c r="D49">
        <v>10</v>
      </c>
      <c r="E49" t="str">
        <v>mm</v>
      </c>
    </row>
    <row r="50">
      <c r="C50" t="str">
        <v>SPACING</v>
      </c>
      <c r="D50">
        <v>250</v>
      </c>
      <c r="E50" t="str">
        <v>mm</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sheetData>
    <row r="1">
      <c r="A1" t="str">
        <v>Design of Dirt Wall</v>
      </c>
    </row>
    <row r="2">
      <c r="B2" t="str">
        <v>Dirt wall is subjected to</v>
      </c>
    </row>
    <row r="3">
      <c r="B3" t="str">
        <v xml:space="preserve">(1) </v>
      </c>
      <c r="C3" t="str">
        <v>Live load</v>
      </c>
    </row>
    <row r="4">
      <c r="B4" t="str">
        <v xml:space="preserve">(2) </v>
      </c>
      <c r="C4" t="str">
        <v>Live load surcharge</v>
      </c>
    </row>
    <row r="5">
      <c r="B5" t="str">
        <v>(3)</v>
      </c>
      <c r="C5" t="str">
        <v>Braking force</v>
      </c>
    </row>
    <row r="6">
      <c r="B6" t="str">
        <v>(3)</v>
      </c>
      <c r="C6" t="str">
        <v>Earth Pressure</v>
      </c>
    </row>
    <row r="7">
      <c r="B7" t="str">
        <v>1)</v>
      </c>
      <c r="C7" t="str">
        <v>Consider 70 T tracked vehicle case is</v>
      </c>
    </row>
    <row r="8">
      <c r="C8" t="str">
        <v>governing &amp; 14 T Axle over dirt wall,</v>
      </c>
    </row>
    <row r="9">
      <c r="C9" t="str">
        <v>Dispersion width at top of DIRT WALL</v>
      </c>
    </row>
    <row r="11">
      <c r="B11" t="str">
        <v>=</v>
      </c>
      <c r="C11">
        <v>2.9</v>
      </c>
      <c r="D11" t="str">
        <v>+</v>
      </c>
      <c r="E11" t="str">
        <v>(</v>
      </c>
      <c r="F11">
        <v>1.2</v>
      </c>
      <c r="G11" t="str">
        <v>+</v>
      </c>
      <c r="H11">
        <v>0.305</v>
      </c>
      <c r="I11" t="str">
        <v>)</v>
      </c>
      <c r="J11" t="str">
        <v>+</v>
      </c>
      <c r="K11">
        <v>0.83</v>
      </c>
    </row>
    <row r="13">
      <c r="B13" t="str">
        <v>=</v>
      </c>
      <c r="C13">
        <v>2.9</v>
      </c>
      <c r="D13" t="str">
        <v>+</v>
      </c>
      <c r="E13">
        <v>1.53</v>
      </c>
      <c r="G13" t="str">
        <v>+</v>
      </c>
      <c r="H13">
        <v>0.825</v>
      </c>
    </row>
    <row r="15">
      <c r="B15" t="str">
        <v>=</v>
      </c>
      <c r="C15">
        <v>5.255</v>
      </c>
      <c r="D15" t="str">
        <v>M</v>
      </c>
    </row>
    <row r="16">
      <c r="B16" t="str">
        <v>Live Load</v>
      </c>
      <c r="D16" t="str">
        <v>=</v>
      </c>
      <c r="E16">
        <v>14</v>
      </c>
      <c r="G16" t="str">
        <v>=</v>
      </c>
      <c r="H16">
        <v>2.66</v>
      </c>
      <c r="I16" t="str">
        <v>T/M</v>
      </c>
    </row>
    <row r="17">
      <c r="B17" t="str">
        <v>M Length</v>
      </c>
      <c r="E17">
        <v>5.255</v>
      </c>
    </row>
    <row r="18">
      <c r="B18" t="str">
        <v>2)</v>
      </c>
      <c r="C18" t="str">
        <v>Self wt. of dirt wall</v>
      </c>
    </row>
    <row r="19">
      <c r="B19" t="str">
        <v>=</v>
      </c>
      <c r="C19">
        <v>0.6</v>
      </c>
      <c r="D19" t="str">
        <v>x</v>
      </c>
      <c r="E19">
        <v>0.3</v>
      </c>
      <c r="F19" t="str">
        <v>x</v>
      </c>
      <c r="G19">
        <v>2.4</v>
      </c>
    </row>
    <row r="21">
      <c r="B21" t="str">
        <v>=</v>
      </c>
      <c r="C21">
        <v>0.495</v>
      </c>
      <c r="D21" t="str">
        <v>T/M</v>
      </c>
    </row>
    <row r="23">
      <c r="B23" t="str">
        <v>Say</v>
      </c>
      <c r="C23">
        <v>0.5</v>
      </c>
      <c r="D23" t="str">
        <v>T/M</v>
      </c>
    </row>
    <row r="25">
      <c r="B25" t="str">
        <v>Total direct loads  =</v>
      </c>
      <c r="E25">
        <v>2.66</v>
      </c>
      <c r="G25" t="str">
        <v>+</v>
      </c>
      <c r="H25">
        <v>0.5</v>
      </c>
      <c r="I25" t="str">
        <v>=</v>
      </c>
      <c r="J25">
        <v>3.16</v>
      </c>
      <c r="L25" t="str">
        <v>T/M</v>
      </c>
      <c r="M25" t="str">
        <v>=</v>
      </c>
      <c r="N25">
        <f>J25*10</f>
        <v>31.6</v>
      </c>
      <c r="O25" t="str">
        <v>kN</v>
      </c>
    </row>
    <row r="27">
      <c r="B27" t="str">
        <v xml:space="preserve">Here considering that only 70% of Braking </v>
      </c>
    </row>
    <row r="28">
      <c r="B28" t="str">
        <v>force will be on dirt wall &amp; the</v>
      </c>
    </row>
    <row r="29">
      <c r="B29" t="str">
        <v>rest of braking force will be on  soil.</v>
      </c>
    </row>
    <row r="31">
      <c r="B31" t="str">
        <v>=  Braking force/mt.</v>
      </c>
      <c r="E31" t="str">
        <v>=</v>
      </c>
      <c r="G31">
        <v>0.2</v>
      </c>
      <c r="H31" t="str">
        <v>x</v>
      </c>
      <c r="I31">
        <v>14</v>
      </c>
      <c r="K31" t="str">
        <v>x</v>
      </c>
      <c r="L31">
        <v>1</v>
      </c>
      <c r="M31" t="str">
        <v>=</v>
      </c>
      <c r="N31">
        <v>0.53</v>
      </c>
      <c r="O31" t="str">
        <v>T</v>
      </c>
    </row>
    <row r="32">
      <c r="H32">
        <v>5.255</v>
      </c>
    </row>
    <row r="33">
      <c r="B33" t="str">
        <v>=  B.M. due to Braking force</v>
      </c>
    </row>
    <row r="35">
      <c r="B35" t="str">
        <v>=</v>
      </c>
      <c r="C35">
        <v>0.53</v>
      </c>
      <c r="D35" t="str">
        <v>x       (</v>
      </c>
      <c r="E35">
        <v>1.2</v>
      </c>
      <c r="F35" t="str">
        <v>+   [</v>
      </c>
      <c r="G35">
        <v>0.83</v>
      </c>
      <c r="M35" t="str">
        <v>]  )</v>
      </c>
    </row>
    <row r="36">
      <c r="B36" t="str">
        <v>=</v>
      </c>
      <c r="C36">
        <v>1.07</v>
      </c>
      <c r="D36" t="str">
        <v>T-M</v>
      </c>
    </row>
    <row r="37">
      <c r="B37" t="str">
        <v>Intensity of Earth Pressure at Deck Level</v>
      </c>
    </row>
    <row r="39">
      <c r="B39" t="str">
        <v>=</v>
      </c>
      <c r="C39">
        <v>0.224</v>
      </c>
      <c r="D39" t="str">
        <v>x</v>
      </c>
      <c r="E39">
        <v>1.8</v>
      </c>
      <c r="F39" t="str">
        <v>x</v>
      </c>
      <c r="G39">
        <v>1.2</v>
      </c>
    </row>
    <row r="41">
      <c r="B41" t="str">
        <v>=</v>
      </c>
      <c r="C41">
        <v>0.483</v>
      </c>
      <c r="D41" t="str">
        <v>T/M2</v>
      </c>
    </row>
    <row r="43">
      <c r="B43" t="str">
        <v>Intensity of Earth Pressure at top of Abutment Cap</v>
      </c>
      <c r="G43" t="str">
        <v>=</v>
      </c>
    </row>
    <row r="45">
      <c r="B45" t="str">
        <v>=</v>
      </c>
      <c r="C45">
        <v>0.224</v>
      </c>
      <c r="D45" t="str">
        <v>x</v>
      </c>
      <c r="E45">
        <v>1.8</v>
      </c>
      <c r="F45" t="str">
        <v>x    (</v>
      </c>
      <c r="G45">
        <v>1.2</v>
      </c>
      <c r="H45" t="str">
        <v>+</v>
      </c>
      <c r="I45">
        <v>0.825</v>
      </c>
      <c r="K45" t="str">
        <v>)</v>
      </c>
    </row>
    <row r="47">
      <c r="B47" t="str">
        <v>=</v>
      </c>
      <c r="C47">
        <v>0.816</v>
      </c>
      <c r="D47" t="str">
        <v>T/M2</v>
      </c>
    </row>
    <row r="48">
      <c r="B48" t="str">
        <v>B.M. due to Earth Pressure &amp; Live Load</v>
      </c>
    </row>
    <row r="49">
      <c r="B49" t="str">
        <v>Surcharge/M width</v>
      </c>
    </row>
    <row r="50">
      <c r="C50">
        <v>1</v>
      </c>
      <c r="D50" t="str">
        <v>=       (</v>
      </c>
      <c r="E50">
        <v>0.816</v>
      </c>
      <c r="G50" t="str">
        <v>-</v>
      </c>
      <c r="H50">
        <v>0.483</v>
      </c>
      <c r="J50" t="str">
        <v>)   X</v>
      </c>
      <c r="K50">
        <v>0.825</v>
      </c>
      <c r="L50" t="str">
        <v>X</v>
      </c>
      <c r="M50">
        <v>0.42</v>
      </c>
      <c r="O50" t="str">
        <v>X</v>
      </c>
      <c r="P50">
        <v>0.875</v>
      </c>
    </row>
    <row r="51">
      <c r="B51" t="str">
        <v>=</v>
      </c>
      <c r="C51">
        <v>2</v>
      </c>
    </row>
    <row r="53">
      <c r="D53" t="str">
        <v>+</v>
      </c>
      <c r="E53">
        <v>0.483</v>
      </c>
      <c r="G53" t="str">
        <v>X</v>
      </c>
      <c r="H53">
        <v>0.825</v>
      </c>
      <c r="J53" t="str">
        <v xml:space="preserve">  X</v>
      </c>
      <c r="K53">
        <v>0.528</v>
      </c>
    </row>
    <row r="54">
      <c r="K54">
        <v>2</v>
      </c>
    </row>
    <row r="55">
      <c r="B55" t="str">
        <v>=</v>
      </c>
      <c r="C55">
        <v>0.048</v>
      </c>
      <c r="D55" t="str">
        <v>+</v>
      </c>
      <c r="E55">
        <v>0.164</v>
      </c>
    </row>
    <row r="57">
      <c r="B57" t="str">
        <v>=</v>
      </c>
      <c r="C57">
        <v>0.21</v>
      </c>
      <c r="D57" t="str">
        <v>T-M</v>
      </c>
    </row>
    <row r="58">
      <c r="C58" t="str">
        <v>Total BM at top of DIRT WALL</v>
      </c>
    </row>
    <row r="60">
      <c r="B60" t="str">
        <v>=</v>
      </c>
      <c r="D60">
        <v>1.07</v>
      </c>
      <c r="E60" t="str">
        <v>+</v>
      </c>
      <c r="F60">
        <v>0.21</v>
      </c>
    </row>
    <row r="62">
      <c r="B62" t="str">
        <v>=</v>
      </c>
      <c r="D62">
        <v>1.28</v>
      </c>
      <c r="E62" t="str">
        <v>T-M</v>
      </c>
      <c r="F62" t="str">
        <v>=</v>
      </c>
      <c r="G62">
        <f>D62*10</f>
        <v>12.8</v>
      </c>
      <c r="H62" t="str">
        <v>kN-m</v>
      </c>
    </row>
    <row r="63">
      <c r="B63" t="str">
        <v xml:space="preserve">Direct Stress </v>
      </c>
      <c r="D63" t="str">
        <v>=</v>
      </c>
      <c r="E63">
        <v>3.16</v>
      </c>
      <c r="G63" t="str">
        <v>X</v>
      </c>
      <c r="H63" t="str">
        <v>10 3</v>
      </c>
    </row>
    <row r="64">
      <c r="F64">
        <v>30</v>
      </c>
      <c r="G64" t="str">
        <v>X</v>
      </c>
      <c r="H64">
        <v>100</v>
      </c>
    </row>
    <row r="65">
      <c r="D65" t="str">
        <v>=</v>
      </c>
      <c r="E65">
        <f>1.26*25/30</f>
        <v>1.05</v>
      </c>
      <c r="G65" t="str">
        <v>Kg./Cm2</v>
      </c>
    </row>
    <row r="68">
      <c r="B68" t="str">
        <v xml:space="preserve">Bending Stress </v>
      </c>
      <c r="D68" t="str">
        <v>=</v>
      </c>
      <c r="E68">
        <v>1.28</v>
      </c>
      <c r="G68" t="str">
        <v>X</v>
      </c>
      <c r="H68" t="str">
        <v>10 3</v>
      </c>
    </row>
    <row r="69">
      <c r="E69">
        <v>1</v>
      </c>
      <c r="F69" t="str">
        <v>X</v>
      </c>
      <c r="G69">
        <v>100</v>
      </c>
      <c r="H69" t="str">
        <v>X</v>
      </c>
      <c r="I69" t="str">
        <v>30 2</v>
      </c>
    </row>
    <row r="70">
      <c r="E70">
        <v>6</v>
      </c>
    </row>
    <row r="72">
      <c r="D72" t="str">
        <v>=</v>
      </c>
      <c r="E72">
        <f>1280/(100*900/6)</f>
        <v>0.08533333333333333</v>
      </c>
      <c r="G72" t="str">
        <v>Kg./Cm2</v>
      </c>
    </row>
    <row r="74">
      <c r="B74" t="str">
        <v>For M 30 Grade,</v>
      </c>
    </row>
    <row r="76">
      <c r="B76" t="str">
        <v>Permissible Bending Stress  =</v>
      </c>
      <c r="G76">
        <v>67</v>
      </c>
      <c r="H76" t="str">
        <v>Kg./Cm2</v>
      </c>
    </row>
    <row r="79">
      <c r="B79" t="str">
        <v>Permissible Direct Compressive</v>
      </c>
    </row>
    <row r="80">
      <c r="C80" t="str">
        <v>Stress</v>
      </c>
      <c r="D80" t="str">
        <v>=</v>
      </c>
      <c r="E80">
        <v>50</v>
      </c>
      <c r="F80" t="str">
        <v>Kg./Cm2</v>
      </c>
    </row>
    <row r="83">
      <c r="B83" t="str">
        <v>=</v>
      </c>
      <c r="D83">
        <v>1.05</v>
      </c>
      <c r="E83" t="str">
        <v>+</v>
      </c>
      <c r="F83">
        <v>0.09</v>
      </c>
      <c r="H83" t="str">
        <v>&lt;</v>
      </c>
      <c r="I83">
        <v>1</v>
      </c>
    </row>
    <row r="84">
      <c r="D84">
        <v>50</v>
      </c>
      <c r="F84">
        <v>67</v>
      </c>
    </row>
    <row r="86">
      <c r="B86" t="str">
        <v>=</v>
      </c>
      <c r="D86">
        <f>1.05/50</f>
        <v>0.021</v>
      </c>
      <c r="E86" t="str">
        <v>+</v>
      </c>
      <c r="F86">
        <f>0.09/67</f>
        <v>0.0013432835820895521</v>
      </c>
      <c r="H86" t="str">
        <v>&lt;</v>
      </c>
      <c r="I86">
        <v>1</v>
      </c>
    </row>
    <row r="88">
      <c r="B88" t="str">
        <v>=</v>
      </c>
      <c r="D88">
        <v>0.022</v>
      </c>
      <c r="H88" t="str">
        <v>&lt;</v>
      </c>
      <c r="I88">
        <v>1</v>
      </c>
      <c r="K88" t="str">
        <v>HENCE OK.</v>
      </c>
    </row>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sheetData>
    <row r="1">
      <c r="A1" t="str">
        <v>DEAD LOAD CALCULATION :-</v>
      </c>
    </row>
    <row r="2">
      <c r="A2" t="str">
        <v>DEPTH OF DECK SLAB =</v>
      </c>
      <c r="B2">
        <v>925</v>
      </c>
      <c r="C2" t="str">
        <v>mm</v>
      </c>
    </row>
    <row r="3">
      <c r="A3" t="str">
        <v>DEPTH OF WEARING COAT =</v>
      </c>
      <c r="B3">
        <v>75</v>
      </c>
      <c r="C3" t="str">
        <v>mm</v>
      </c>
    </row>
    <row r="4">
      <c r="A4" t="str">
        <v>DIA OF MAIN BAR =</v>
      </c>
      <c r="B4">
        <v>25</v>
      </c>
      <c r="C4" t="str">
        <v>mm</v>
      </c>
    </row>
    <row r="5">
      <c r="A5" t="str">
        <v>Clear cover =</v>
      </c>
      <c r="B5">
        <v>25</v>
      </c>
      <c r="C5" t="str">
        <v>mm</v>
      </c>
    </row>
    <row r="6">
      <c r="A6" t="str">
        <v xml:space="preserve">Effective depth of slab deffective  = </v>
      </c>
      <c r="B6">
        <f>B2</f>
        <v>925</v>
      </c>
      <c r="C6" t="str">
        <v>-</v>
      </c>
      <c r="D6">
        <f>B5</f>
        <v>25</v>
      </c>
      <c r="E6" t="str">
        <v>-</v>
      </c>
      <c r="F6">
        <f>B5</f>
        <v>25</v>
      </c>
      <c r="G6" t="str">
        <v>/2 =</v>
      </c>
      <c r="H6">
        <f>B2-B5-B4/2</f>
        <v>887.5</v>
      </c>
      <c r="I6" t="str">
        <v>mm</v>
      </c>
    </row>
    <row r="7">
      <c r="A7" t="str">
        <v xml:space="preserve">Effective SpanLeffective    =   </v>
      </c>
      <c r="B7">
        <v>10</v>
      </c>
      <c r="C7" t="str">
        <v>m</v>
      </c>
    </row>
    <row r="8">
      <c r="A8" t="str">
        <v>DESIGN DEAD LOAD :-</v>
      </c>
    </row>
    <row r="9">
      <c r="A9" t="str">
        <v>(1) Weight / Sqm  of Slab</v>
      </c>
      <c r="B9">
        <f>B2/1000</f>
        <v>0.925</v>
      </c>
      <c r="C9" t="str">
        <v>x</v>
      </c>
      <c r="D9">
        <v>2.4</v>
      </c>
      <c r="E9" t="str">
        <v>=</v>
      </c>
      <c r="F9">
        <f>B9*D9</f>
        <v>2.22</v>
      </c>
      <c r="G9" t="str">
        <v>T/ Sqm</v>
      </c>
    </row>
    <row r="10">
      <c r="A10" t="str">
        <v>(2) Weight / Sqm  of wearing coat</v>
      </c>
      <c r="B10">
        <v>0.075</v>
      </c>
      <c r="C10" t="str">
        <v>x</v>
      </c>
      <c r="D10">
        <v>2.4</v>
      </c>
      <c r="E10" t="str">
        <v>=</v>
      </c>
      <c r="F10">
        <f>B10*D10</f>
        <v>0.18</v>
      </c>
      <c r="G10" t="str">
        <v>T/ Sqm</v>
      </c>
    </row>
    <row r="11">
      <c r="A11" t="str">
        <v>Total DL</v>
      </c>
      <c r="F11">
        <f>SUM(F9:F10)</f>
        <v>2.4000000000000004</v>
      </c>
      <c r="G11" t="str">
        <v>T/ Sqm</v>
      </c>
    </row>
    <row r="12">
      <c r="A12" t="str">
        <v>DEAD LOAD BENDING MOMENT</v>
      </c>
      <c r="B12" t="str">
        <f>CONCATENATE(F11,"x",B7,"x",B7,"/8 =")</f>
        <v>2.4x10x10/8 =</v>
      </c>
      <c r="F12">
        <f>F11*B7^2/8</f>
        <v>30.000000000000004</v>
      </c>
      <c r="G12" t="str">
        <v>T-M</v>
      </c>
    </row>
    <row r="14">
      <c r="A14" t="str">
        <v>LIVE LOAD CALCULATION :-</v>
      </c>
    </row>
    <row r="15">
      <c r="A15" t="str">
        <v>[1] CLASS  AA TRACKED VEHICLE :-</v>
      </c>
    </row>
    <row r="16">
      <c r="A16" t="str">
        <v>(a) Dispersion width along the span</v>
      </c>
    </row>
    <row r="17">
      <c r="A17" t="str">
        <v xml:space="preserve"> = Length of Contact   +   2 (Wearing coat + depth of Slab)</v>
      </c>
    </row>
    <row r="18">
      <c r="A18" t="str">
        <f>CONCATENATE("= ",3.6,"+2(",B3/1000,"+",B2/1000,")=")</f>
        <v>= 3.6+2(0.075+0.925)=</v>
      </c>
      <c r="B18" t="str">
        <v>=</v>
      </c>
      <c r="C18">
        <f>3.6+(B2+B3)/500</f>
        <v>5.6</v>
      </c>
      <c r="D18" t="str">
        <v>m</v>
      </c>
    </row>
    <row r="20">
      <c r="A20" t="str">
        <v>(b) Dispersion width across the span</v>
      </c>
    </row>
    <row r="21">
      <c r="A21" t="str">
        <v xml:space="preserve"> be  =  K  x       ( 1  - x/Le )   + Bw</v>
      </c>
    </row>
    <row r="22">
      <c r="A22" t="str">
        <v>K  =  A Constant having the value depending upon the ratio (be/Le)  where ---</v>
      </c>
    </row>
    <row r="23">
      <c r="B23" t="str">
        <v>be = the effective width of the slab on which the load acts.</v>
      </c>
    </row>
    <row r="24">
      <c r="B24" t="str">
        <v>Le  = Effective  Span</v>
      </c>
    </row>
    <row r="25">
      <c r="B25" t="str">
        <v>x   = the distance of c.g. of concentrate load from the near support</v>
      </c>
    </row>
    <row r="26">
      <c r="B26" t="str">
        <v>bw    =   The breadth of concentration area of the load i.e. Dimension of</v>
      </c>
    </row>
    <row r="27">
      <c r="B27" t="str">
        <v xml:space="preserve">              the tyre or track contact area over the road surface </v>
      </c>
    </row>
    <row r="28">
      <c r="A28" t="str">
        <v>Here ,</v>
      </c>
    </row>
    <row r="29">
      <c r="A29" t="str">
        <v>be</v>
      </c>
      <c r="B29" t="str">
        <v>=</v>
      </c>
      <c r="C29">
        <v>7.5</v>
      </c>
      <c r="D29" t="str">
        <v>m</v>
      </c>
    </row>
    <row r="30">
      <c r="A30" t="str">
        <v>Le</v>
      </c>
      <c r="B30" t="str">
        <v>=</v>
      </c>
      <c r="C30">
        <v>10</v>
      </c>
      <c r="D30" t="str">
        <v>m</v>
      </c>
    </row>
    <row r="31">
      <c r="A31" t="str">
        <v>be/Le</v>
      </c>
      <c r="B31" t="str">
        <v>=</v>
      </c>
      <c r="C31">
        <f>ROUND(C29/C30,2)</f>
        <v>0.75</v>
      </c>
    </row>
    <row r="32">
      <c r="A32" t="str">
        <v xml:space="preserve">Value  of    K </v>
      </c>
      <c r="B32" t="str">
        <v xml:space="preserve"> =</v>
      </c>
      <c r="C32">
        <v>2.4</v>
      </c>
    </row>
    <row r="33">
      <c r="A33" t="str">
        <v>Bw   =</v>
      </c>
      <c r="B33" t="str">
        <v>0.85 + (2 x 0.075) =</v>
      </c>
      <c r="D33">
        <v>1</v>
      </c>
      <c r="E33" t="str">
        <v>m</v>
      </c>
    </row>
    <row r="34">
      <c r="A34" t="str">
        <v>x</v>
      </c>
      <c r="B34" t="str">
        <v>=</v>
      </c>
      <c r="C34" t="str">
        <v>Le/2</v>
      </c>
      <c r="D34" t="str">
        <v>=</v>
      </c>
      <c r="E34">
        <f>C30</f>
        <v>10</v>
      </c>
      <c r="F34" t="str">
        <v>/2 =</v>
      </c>
      <c r="G34">
        <f>E34/2</f>
        <v>5</v>
      </c>
      <c r="H34" t="str">
        <v>m</v>
      </c>
    </row>
    <row r="35">
      <c r="A35" t="str">
        <v xml:space="preserve">be </v>
      </c>
      <c r="B35" t="str">
        <v>=</v>
      </c>
      <c r="C35">
        <f>C32*(1-G34/C30)+D33</f>
        <v>2.2</v>
      </c>
      <c r="D35" t="str">
        <v>m</v>
      </c>
    </row>
    <row r="36">
      <c r="A36" t="str">
        <v>Impact factor is  13.75%   as pere IRC Section-II, Clause - 211-3 (a) (i)</v>
      </c>
    </row>
    <row r="37">
      <c r="A37" t="str">
        <v>DISPERSION ACROSS SPAN (CLASS AA TRACKED VEHICAL)</v>
      </c>
    </row>
    <row r="38">
      <c r="A38" t="str">
        <v>The tracked vehicle is placed at a distance of minimum clearence of 1.2 m from Kerb</v>
      </c>
    </row>
    <row r="39">
      <c r="A39" t="str">
        <v>Dispersion across span = C/C distance between wheels + width from centre of wheel on clearence side</v>
      </c>
    </row>
    <row r="40">
      <c r="B40" t="str">
        <v xml:space="preserve">    + Least on other side or half the dispersion of one wheel.</v>
      </c>
    </row>
    <row r="41">
      <c r="A41" t="str">
        <v xml:space="preserve"> = 2.05 + 1.93  + Least of 3.825 Or  5.6/2</v>
      </c>
      <c r="H41">
        <f>1.925+3.825</f>
        <v>5.75</v>
      </c>
    </row>
    <row r="43">
      <c r="A43" t="str">
        <v xml:space="preserve"> = 2.05 + 1.93  + 2.8</v>
      </c>
      <c r="B43" t="str">
        <v>=</v>
      </c>
      <c r="C43">
        <f>2.05+1.93+2.8</f>
        <v>6.779999999999999</v>
      </c>
      <c r="D43" t="str">
        <v>M</v>
      </c>
    </row>
    <row r="44">
      <c r="A44" t="str">
        <v xml:space="preserve">Impact factor = 1.1375 </v>
      </c>
    </row>
    <row r="45">
      <c r="A45" t="str">
        <v>Total load with impact</v>
      </c>
      <c r="B45" t="str">
        <v>=  70   x    1.1375</v>
      </c>
    </row>
    <row r="46">
      <c r="B46" t="str">
        <v>=</v>
      </c>
      <c r="C46">
        <f>ROUNDUP(70*1.1375,2)</f>
        <v>79.63000000000001</v>
      </c>
      <c r="D46" t="str">
        <v>T</v>
      </c>
    </row>
    <row r="47">
      <c r="A47" t="str">
        <v>Intensity of Load</v>
      </c>
      <c r="B47" t="str">
        <v>=</v>
      </c>
      <c r="C47">
        <f>C46</f>
        <v>79.63000000000001</v>
      </c>
      <c r="D47" t="str">
        <v>/(</v>
      </c>
      <c r="E47">
        <f>C35</f>
        <v>2.2</v>
      </c>
      <c r="F47" t="str">
        <v>x</v>
      </c>
      <c r="G47">
        <f>C43</f>
        <v>6.779999999999999</v>
      </c>
      <c r="H47" t="str">
        <v>) =</v>
      </c>
    </row>
    <row r="48">
      <c r="B48" t="str">
        <v>=</v>
      </c>
      <c r="C48">
        <f>ROUND(C46/(E47*G47),2)</f>
        <v>5.34</v>
      </c>
      <c r="D48" t="str">
        <v>T</v>
      </c>
    </row>
    <row r="49">
      <c r="A49" t="str">
        <v>DISPERSION ALONG SPAN (CLASS AA TRACKED VEHICLE)</v>
      </c>
    </row>
    <row r="51">
      <c r="A51" t="str">
        <v xml:space="preserve">Maximum Bending Moment due to Live load , at centre </v>
      </c>
    </row>
    <row r="53">
      <c r="A53" t="str">
        <v xml:space="preserve"> = 5.34  x</v>
      </c>
      <c r="B53">
        <v>5.6</v>
      </c>
      <c r="C53" t="str">
        <v>(10.00  -</v>
      </c>
      <c r="D53">
        <v>5.6</v>
      </c>
      <c r="E53" t="str">
        <v>)</v>
      </c>
    </row>
    <row r="54">
      <c r="B54">
        <v>2</v>
      </c>
      <c r="D54">
        <v>5</v>
      </c>
    </row>
    <row r="56">
      <c r="A56" t="str">
        <v xml:space="preserve">      =</v>
      </c>
      <c r="B56">
        <f>ROUND(C48*C18/2*(C30-C18/5),2)</f>
        <v>132.77</v>
      </c>
      <c r="C56" t="str">
        <v>T - M</v>
      </c>
    </row>
    <row r="57">
      <c r="A57" t="str">
        <v>Class AA wheeled  vehicle :-</v>
      </c>
    </row>
    <row r="59">
      <c r="A59" t="str">
        <v>For Maximum B.M. at Centre of the span, the Centre of gravity of the loads and</v>
      </c>
    </row>
    <row r="60">
      <c r="A60" t="str">
        <v xml:space="preserve">the centre of the span should coincide </v>
      </c>
    </row>
    <row r="62">
      <c r="A62" t="str">
        <v>(a) Dispersion width along the span :-</v>
      </c>
    </row>
    <row r="63">
      <c r="A63" t="str">
        <v xml:space="preserve">  tp  =</v>
      </c>
      <c r="B63" t="str">
        <v>tc   =  2  (tw + ts )</v>
      </c>
    </row>
    <row r="65">
      <c r="A65" t="str">
        <v xml:space="preserve">  tp =  </v>
      </c>
      <c r="B65" t="str">
        <v xml:space="preserve">width of dispersion parallel to span </v>
      </c>
    </row>
    <row r="67">
      <c r="A67" t="str">
        <v xml:space="preserve">  tc = </v>
      </c>
      <c r="B67" t="str">
        <v>width of tyre contact area parallel to span</v>
      </c>
    </row>
    <row r="69">
      <c r="A69" t="str">
        <v xml:space="preserve">  ts  =</v>
      </c>
      <c r="B69" t="str">
        <v>Overall depth of slab</v>
      </c>
    </row>
    <row r="71">
      <c r="A71" t="str">
        <v xml:space="preserve"> tw  =</v>
      </c>
      <c r="B71" t="str">
        <v>Thickness</v>
      </c>
      <c r="C71" t="str">
        <v>of Wearing coat</v>
      </c>
    </row>
    <row r="72">
      <c r="A72" t="str">
        <v>Dispersion along the span</v>
      </c>
    </row>
    <row r="73">
      <c r="A73" t="str">
        <v xml:space="preserve"> = 0.15  +  2 ( 0.075 + 0.75)</v>
      </c>
      <c r="B73" t="str">
        <v>=</v>
      </c>
      <c r="C73">
        <v>1.8</v>
      </c>
      <c r="D73" t="str">
        <v>m</v>
      </c>
    </row>
    <row r="75">
      <c r="A75" t="str">
        <v xml:space="preserve"> Dispersion between two wheel is overlapping hence restricted to 1.2 M</v>
      </c>
    </row>
    <row r="76">
      <c r="A76" t="str">
        <v xml:space="preserve"> = Dispersion combined for two wheels </v>
      </c>
    </row>
    <row r="78">
      <c r="A78" t="str">
        <v xml:space="preserve"> = C/c distance between  +   </v>
      </c>
      <c r="D78" t="str">
        <v>Longitudinal</v>
      </c>
    </row>
    <row r="79">
      <c r="A79" t="str">
        <v xml:space="preserve">    two wheels</v>
      </c>
      <c r="D79" t="str">
        <v>dispersion</v>
      </c>
    </row>
    <row r="81">
      <c r="A81" t="str">
        <v xml:space="preserve">  = 1.2</v>
      </c>
      <c r="C81" t="str">
        <v>+</v>
      </c>
      <c r="D81">
        <v>1.8</v>
      </c>
    </row>
    <row r="83">
      <c r="A83" t="str">
        <v xml:space="preserve"> =  3.0 m</v>
      </c>
      <c r="B83" t="str">
        <v>( along the span )</v>
      </c>
    </row>
    <row r="84">
      <c r="A84" t="str">
        <v>DISPERSION ALONG SPAN ( CLASS AA WHEELED VEHICLE )</v>
      </c>
    </row>
    <row r="86">
      <c r="A86" t="str">
        <v>(B) Dispersion width across the span :-</v>
      </c>
    </row>
    <row r="88">
      <c r="A88" t="str">
        <v xml:space="preserve"> be  =  k x ( 1 - X/L )  + w</v>
      </c>
    </row>
    <row r="90">
      <c r="A90" t="str">
        <v xml:space="preserve"> Le  =  10.0 M  &amp; L1  = 7.5 M</v>
      </c>
    </row>
    <row r="92">
      <c r="A92" t="str">
        <v xml:space="preserve">  =</v>
      </c>
      <c r="B92" t="str">
        <v xml:space="preserve">Value of  </v>
      </c>
      <c r="C92" t="str">
        <v>K  = 2.4</v>
      </c>
    </row>
    <row r="93">
      <c r="J93">
        <f>(2.4*4)*(1-4/8)</f>
        <v>4.8</v>
      </c>
    </row>
    <row r="94">
      <c r="A94" t="str">
        <v xml:space="preserve"> X  =</v>
      </c>
      <c r="B94" t="str">
        <v>L/2   =   10/2</v>
      </c>
      <c r="D94" t="str">
        <v xml:space="preserve"> = 5.00 M</v>
      </c>
    </row>
    <row r="96">
      <c r="A96" t="str">
        <v xml:space="preserve">Bw  = </v>
      </c>
      <c r="B96" t="str">
        <v xml:space="preserve">0.30  +  2 ( 0.075)   =       </v>
      </c>
      <c r="E96">
        <v>0.45</v>
      </c>
      <c r="F96" t="str">
        <v>M</v>
      </c>
    </row>
    <row r="98">
      <c r="A98" t="str">
        <v>be  =   2.4 x 5 x ( 1 - 5.00/10.00) + 0.45</v>
      </c>
      <c r="B98" t="str">
        <v xml:space="preserve"> = </v>
      </c>
      <c r="C98">
        <f>2.4*G34*(1-G34/C30)+E96</f>
        <v>6.45</v>
      </c>
      <c r="D98" t="str">
        <v>M</v>
      </c>
      <c r="F98" t="str">
        <v>(For one Wheel )</v>
      </c>
    </row>
    <row r="100">
      <c r="A100" t="str">
        <v>DISPERSION ACROSS THE SPAN (CLASS AA WHEELED HEVHICLE)</v>
      </c>
    </row>
    <row r="102">
      <c r="A102" t="str">
        <v>When the wheel is placed at a distnace of minimum clearance of 1-2 M from Kerb,</v>
      </c>
    </row>
    <row r="104">
      <c r="A104" t="str">
        <v xml:space="preserve">  Combined effective width</v>
      </c>
    </row>
    <row r="106">
      <c r="A106" t="str">
        <v xml:space="preserve"> =  c/c distance between wheels</v>
      </c>
    </row>
    <row r="107">
      <c r="A107" t="str">
        <v xml:space="preserve">      + 1/2 of the dispersion of one wheel</v>
      </c>
    </row>
    <row r="108">
      <c r="A108" t="str">
        <v xml:space="preserve">      + least of available width from centre of wheel on clearance side or half the dispersion</v>
      </c>
    </row>
    <row r="109">
      <c r="A109" t="str">
        <v xml:space="preserve">         of  one wheel </v>
      </c>
    </row>
    <row r="111">
      <c r="A111" t="str">
        <v xml:space="preserve"> =   2.2</v>
      </c>
      <c r="B111" t="str">
        <v xml:space="preserve"> + 6.45</v>
      </c>
      <c r="C111" t="str">
        <v xml:space="preserve"> + Lesser of  1.655 &amp; </v>
      </c>
      <c r="E111">
        <v>6.45</v>
      </c>
    </row>
    <row r="112">
      <c r="B112">
        <v>2</v>
      </c>
      <c r="E112">
        <v>2</v>
      </c>
    </row>
    <row r="114">
      <c r="A114" t="str">
        <v xml:space="preserve"> =   2.2</v>
      </c>
      <c r="B114" t="str">
        <v xml:space="preserve"> + 3.225  +   1.655</v>
      </c>
    </row>
    <row r="116">
      <c r="A116" t="str">
        <v>=</v>
      </c>
      <c r="B116">
        <f>2.2+3.225+1.655</f>
        <v>7.080000000000001</v>
      </c>
      <c r="C116" t="str">
        <v>m</v>
      </c>
    </row>
    <row r="117">
      <c r="A117" t="str">
        <v>According to clause 211.3  (a) (ii) section-III, IRC 6- 1966</v>
      </c>
    </row>
    <row r="118">
      <c r="A118" t="str">
        <v xml:space="preserve">     Impact factor  =   25%</v>
      </c>
      <c r="B118" t="str">
        <v xml:space="preserve">          =</v>
      </c>
      <c r="C118">
        <v>1.25</v>
      </c>
    </row>
    <row r="119">
      <c r="A119" t="str">
        <v xml:space="preserve">  = Total load of tracks with impact </v>
      </c>
    </row>
    <row r="120">
      <c r="A120" t="str">
        <v xml:space="preserve">   =      20   x  1.25</v>
      </c>
    </row>
    <row r="121">
      <c r="A121" t="str">
        <v xml:space="preserve">   =       25 T</v>
      </c>
    </row>
    <row r="123">
      <c r="A123" t="str">
        <v>Intensity      =</v>
      </c>
      <c r="C123" t="str">
        <v>Load</v>
      </c>
    </row>
    <row r="124">
      <c r="C124" t="str">
        <v>dispersion along x across the span</v>
      </c>
    </row>
    <row r="125">
      <c r="A125" t="str">
        <v xml:space="preserve">      =</v>
      </c>
      <c r="B125" t="str">
        <v>25 x 2</v>
      </c>
    </row>
    <row r="126">
      <c r="B126" t="str">
        <v>3.00 x 7.08</v>
      </c>
    </row>
    <row r="128">
      <c r="A128" t="str">
        <v xml:space="preserve">      =</v>
      </c>
      <c r="B128">
        <f>ROUND(50/(3*B116),2)</f>
        <v>2.35</v>
      </c>
      <c r="C128" t="str">
        <v>T/M</v>
      </c>
    </row>
    <row r="129">
      <c r="A129" t="str">
        <v>DISPERSION ACROSS THE SPAN (CLASS AA WHEELED HEVHICLE)</v>
      </c>
    </row>
    <row r="130">
      <c r="A130" t="str">
        <v xml:space="preserve">Maximum B.M. due to Live load at centre </v>
      </c>
    </row>
    <row r="131">
      <c r="A131" t="str">
        <v xml:space="preserve"> = 2.35  x</v>
      </c>
      <c r="B131">
        <v>7.08</v>
      </c>
      <c r="C131" t="str">
        <v>(10.00  -</v>
      </c>
      <c r="D131">
        <v>7.08</v>
      </c>
      <c r="E131" t="str">
        <v>)</v>
      </c>
    </row>
    <row r="132">
      <c r="B132">
        <v>2</v>
      </c>
      <c r="D132">
        <v>5</v>
      </c>
    </row>
    <row r="134">
      <c r="A134" t="str">
        <v xml:space="preserve">      =</v>
      </c>
      <c r="B134">
        <f>B128*B116/2*(C30-B116/G34)</f>
        <v>71.410296</v>
      </c>
      <c r="C134" t="str">
        <v>T - M</v>
      </c>
    </row>
    <row r="136">
      <c r="A136" t="str">
        <v xml:space="preserve"> =  2.35x3 </v>
      </c>
      <c r="B136" t="str">
        <v>( 5 - 3  )</v>
      </c>
    </row>
    <row r="137">
      <c r="A137">
        <v>2</v>
      </c>
      <c r="B137">
        <v>2</v>
      </c>
    </row>
    <row r="139">
      <c r="A139" t="str">
        <v>=</v>
      </c>
    </row>
    <row r="140">
      <c r="A140" t="str">
        <v>Here from bending moment view point class AA tracked vehical is governing</v>
      </c>
    </row>
    <row r="141">
      <c r="A141" t="str">
        <v>Hence Maximum Bending Moment due to Live load =  15.527 T - M</v>
      </c>
      <c r="C141">
        <f>B56</f>
        <v>132.77</v>
      </c>
      <c r="D141" t="str">
        <v>T - M</v>
      </c>
    </row>
    <row r="142">
      <c r="A142" t="str">
        <v>Total B.M =</v>
      </c>
      <c r="C142" t="str">
        <v>B.M due to Dead load  +   BM. Due to Live load</v>
      </c>
    </row>
    <row r="143">
      <c r="B143" t="str">
        <v xml:space="preserve">  =</v>
      </c>
      <c r="C143">
        <f>F12</f>
        <v>30.000000000000004</v>
      </c>
      <c r="D143" t="str">
        <v>+</v>
      </c>
      <c r="E143">
        <f>C141</f>
        <v>132.77</v>
      </c>
    </row>
    <row r="144">
      <c r="B144" t="str">
        <v xml:space="preserve">  =</v>
      </c>
      <c r="C144">
        <f>C143+E143</f>
        <v>162.77</v>
      </c>
      <c r="D144" t="str">
        <v>T-M</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sheetData>
    <row r="3">
      <c r="A3" t="str">
        <v>DESIGN OF SUBMERSIBLE SKEW BRIDGE ACROSS BEDACH RIVER</v>
      </c>
    </row>
    <row r="5">
      <c r="A5" t="str">
        <v xml:space="preserve">               PREAMBLE</v>
      </c>
    </row>
    <row r="7">
      <c r="A7" t="str">
        <v>Type of Bridge</v>
      </c>
      <c r="K7" t="str">
        <v>TYPE</v>
      </c>
      <c r="L7" t="str">
        <v>HFL</v>
      </c>
      <c r="M7" t="str">
        <v>DECK</v>
      </c>
    </row>
    <row r="8">
      <c r="A8" t="str">
        <v xml:space="preserve">The proposed bridge shall be a Submersible  bridge; The HFL is 442.5 m and the proposed Bridge Deck level is 442.63 m. </v>
      </c>
      <c r="K8" t="str">
        <v>Submersible</v>
      </c>
      <c r="L8">
        <v>442.5</v>
      </c>
      <c r="M8">
        <v>442.63</v>
      </c>
    </row>
    <row r="9">
      <c r="A9" t="str">
        <v>The Afflux flood level is below the Top of Deck slab hence the traffic will have no obstruction throughout the year.</v>
      </c>
    </row>
    <row r="10">
      <c r="A10" t="str">
        <v>Decking Arrangement</v>
      </c>
    </row>
    <row r="12">
      <c r="A12" t="str">
        <v>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v>
      </c>
      <c r="K12" t="str">
        <v>spans</v>
      </c>
      <c r="L12" t="str">
        <v>m</v>
      </c>
    </row>
    <row r="13">
      <c r="A13" t="str">
        <v>There shall be  12 Nos. of spans. The centre to centre distance for the spans shall be  10.8 M .</v>
      </c>
      <c r="K13">
        <v>12</v>
      </c>
      <c r="L13">
        <v>10.8</v>
      </c>
    </row>
    <row r="14">
      <c r="A14" t="str">
        <v>Standard RCC Solid Slab Superstructure with right effective span  10 M Without footpath shall be provided in accordance to the Ministry of Surface Transport (Roads Wing), New Delhi drawings..</v>
      </c>
      <c r="K14" t="str">
        <v>c/c</v>
      </c>
      <c r="L14">
        <v>10</v>
      </c>
      <c r="M14" t="str">
        <v>Without</v>
      </c>
      <c r="N14" t="str">
        <v>FOOTPATH</v>
      </c>
    </row>
    <row r="15">
      <c r="A15" t="str">
        <v xml:space="preserve"> It is proposed to construct 8400 mm wide slabs of these standard drawings. As per requirement of use in the proposed bridge the deviation with respect to these drawings shall be as follows: - </v>
      </c>
    </row>
    <row r="16">
      <c r="A16" t="str">
        <v>1. Pier Cap Width 1200 mm.</v>
      </c>
    </row>
    <row r="17">
      <c r="A17" t="str">
        <v>2. Footpath &amp; Railing: - There shall be RCC  Guard Posts on both sides.</v>
      </c>
      <c r="K17" t="str">
        <v>Railing</v>
      </c>
      <c r="L17" t="str">
        <v>Guard Posts</v>
      </c>
      <c r="N17" t="str">
        <v>Guard Posts</v>
      </c>
    </row>
    <row r="18">
      <c r="A18" t="str">
        <v>3. Reinforcement Detailing: - The reinforcement detailing is suitably modified as required for the modifications referred above in points 1 to 2.</v>
      </c>
    </row>
    <row r="19">
      <c r="A19" t="str">
        <v xml:space="preserve"> [In the reference drawing the pier cap width is 800 mm]. The width of piers shall be1200 mm. Due to this change the Centre-to-Centre distance shall be 10800 mm (centre to centre over piers). For all spans the clear span shall be 9600 mm.</v>
      </c>
      <c r="K19" t="str">
        <v>pier</v>
      </c>
      <c r="L19">
        <v>1200</v>
      </c>
      <c r="M19">
        <v>9600</v>
      </c>
      <c r="N19">
        <v>10800</v>
      </c>
    </row>
    <row r="20">
      <c r="A20" t="str">
        <v>The length of reinforcement shall be modified as per these geometrical requirements however spacing of the reinforcement shall not be altered.</v>
      </c>
    </row>
    <row r="22">
      <c r="A22" t="str">
        <v>The proposed decking arrangement is shown in Drawing " D-01 " titled as Decking arrangement.</v>
      </c>
    </row>
    <row r="23">
      <c r="A23" t="str">
        <v>Design Loads</v>
      </c>
    </row>
    <row r="24">
      <c r="A24" t="str">
        <v>The following loads have been considered in the design of deck slab and for the stability of the sub structure: -</v>
      </c>
    </row>
    <row r="25">
      <c r="B25" t="str">
        <v xml:space="preserve">[A] Maximum of the following cases </v>
      </c>
    </row>
    <row r="26">
      <c r="B26" t="str">
        <v xml:space="preserve"> I.      One lane of IRC class 70R on carriage way</v>
      </c>
    </row>
    <row r="27">
      <c r="B27" t="str">
        <v>II.      One lanes of IRC Class A on carriage way</v>
      </c>
    </row>
    <row r="28">
      <c r="B28" t="str">
        <v>III.      Two lanes of IRC Class A on carriage way</v>
      </c>
    </row>
    <row r="29">
      <c r="B29" t="str">
        <v>IV.      Three lanes of IRC Class A on carriage way</v>
      </c>
    </row>
    <row r="30">
      <c r="B30" t="str">
        <v>V.      One lane of IRC class 70R and one lane of IRC Class A on carriage way</v>
      </c>
    </row>
    <row r="31">
      <c r="B31" t="str">
        <v>VI.      One lane of IRC class AA TRACKED VEHICLE on carriage way</v>
      </c>
    </row>
    <row r="33">
      <c r="B33" t="str">
        <v>In order to account for two adjacent slabs, the resultant reactions and moments have been multiplied by 2 for stability check of the sub structure.</v>
      </c>
    </row>
    <row r="34">
      <c r="A34" t="str">
        <v xml:space="preserve">[B] Other Loads </v>
      </c>
    </row>
    <row r="35">
      <c r="B35" t="str">
        <v>a) Footpath load of 5KN/Sqm.</v>
      </c>
    </row>
    <row r="36">
      <c r="B36" t="str">
        <v>b) Wearing coat land of 2 KN/Sqm.</v>
      </c>
    </row>
    <row r="38">
      <c r="A38" t="str">
        <v>Safe Bearing Capacity</v>
      </c>
    </row>
    <row r="39">
      <c r="B39" t="str">
        <v>The detailed sub soil investigation report for a bridge constructed in the vicinity of the bridge is enclosed.</v>
      </c>
    </row>
    <row r="40">
      <c r="B40" t="str">
        <v>The foundation rock is safe against the eroding effects of the water flow and other climatic conditions.</v>
      </c>
    </row>
    <row r="41">
      <c r="B41" t="str">
        <v>As per detailed Subsoil Investigation the lowest safe bearing capacity for rectangular footing at depth 3 M and downwards is  200 kN/ Sq. M; Hence the Safe Bearing Capacity adopted for design is 200 kN/ Sq. M.</v>
      </c>
      <c r="L41">
        <v>3</v>
      </c>
      <c r="M41">
        <v>200</v>
      </c>
    </row>
    <row r="42">
      <c r="A42" t="str">
        <v>Scour Depth</v>
      </c>
    </row>
    <row r="43">
      <c r="B43" t="str">
        <v xml:space="preserve">The maximum scour depth computed is  6.31 M. As per Clause No. 703-2-3-1 of IRC 78-1983 considering Scour at the pier two times of calculated scour depth below the highest flood level. </v>
      </c>
      <c r="L43">
        <v>6.31</v>
      </c>
    </row>
    <row r="44">
      <c r="A44" t="str">
        <v>Depth of Foundation/Founding Level</v>
      </c>
    </row>
    <row r="45">
      <c r="B45" t="str">
        <v>For all the footings no hard rock is available; hence the foundation shall be laid at indicated levels for each footing. The founding level is above the maximum scour depth level; Hence necessary bed protection shall be constructed.</v>
      </c>
      <c r="K45" t="str">
        <v>Hard Rock</v>
      </c>
      <c r="L45" t="str">
        <v>no</v>
      </c>
    </row>
    <row r="46">
      <c r="A46" t="str">
        <v>Reinforcement Detail &amp; other Detail of Deck slab</v>
      </c>
    </row>
    <row r="47">
      <c r="B47" t="str">
        <v xml:space="preserve">Ministry of surface transport details drawings are enclosed </v>
      </c>
    </row>
    <row r="48">
      <c r="B48" t="str">
        <v xml:space="preserve">The right effective span of the proposed bridge is 9.60 m. The length along the centre line of road between pier centres is 10.80 m. </v>
      </c>
    </row>
    <row r="49">
      <c r="B49" t="str">
        <v>The deck slab pertaining to 10 m. right effective span shall be provided as given in MOST drawings Publication "RCC SOLID SLAB SUPERSTRUCTURE 30 DEGREES SKEW RIGHT EFFECTIVE SPAN 10 M WITHOUT FOOTPATH" No. SD/151, SD/152, SD/153, SD/156,  SD/157, SD/158, SD/159, SD/160 AND SD/176.</v>
      </c>
    </row>
    <row r="50">
      <c r="B50" t="str">
        <v>In the drawing the clear right span is 9600 mm. The proposed bridge shall have clear right span as 9600 mm conforming to the standard drawing adopted.</v>
      </c>
    </row>
    <row r="51">
      <c r="A51" t="str">
        <v>Bearing detail</v>
      </c>
    </row>
    <row r="52">
      <c r="B52" t="str">
        <v>Tar paper bearing shall be providing on top of pier cap &amp; abutment cap.</v>
      </c>
    </row>
    <row r="53">
      <c r="A53" t="str">
        <v>Approach slab</v>
      </c>
    </row>
    <row r="54">
      <c r="B54" t="str">
        <v>The approcach slab shall be 300 mm thick RCC Slab laid over PCC bed. The detail of approach slab is enclosed as drawing D-03.</v>
      </c>
    </row>
    <row r="55">
      <c r="A55" t="str">
        <v xml:space="preserve">Pier Cap Detail </v>
      </c>
    </row>
    <row r="56">
      <c r="B56" t="str">
        <v>Pier cap drawing is enclosed as annexure D-05.</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A3"/>
  <sheetViews>
    <sheetView workbookViewId="0" rightToLeft="0"/>
  </sheetViews>
  <sheetData>
    <row r="1">
      <c r="A1" t="str">
        <v>BRIDGE DESIGN</v>
      </c>
    </row>
    <row r="3">
      <c r="A3" t="str">
        <v>ABUTMENT DESIGN</v>
      </c>
    </row>
  </sheetData>
  <pageMargins left="0.7086614173228347" right="0.7086614173228347" top="0.7480314960629921" bottom="0.7480314960629921" header="0.31496062992125984" footer="0.31496062992125984"/>
  <ignoredErrors>
    <ignoredError numberStoredAsText="1" sqref="A1:A3"/>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sheetData>
    <row r="1">
      <c r="A1" t="str">
        <v>DESIGN OF SUBMERSIBLE SKEW BRIDGE ACROSS BEDACH RIVER</v>
      </c>
    </row>
    <row r="2">
      <c r="A2" t="str">
        <v>Deck Level</v>
      </c>
      <c r="G2">
        <v>442.63</v>
      </c>
      <c r="H2" t="str">
        <v>M</v>
      </c>
    </row>
    <row r="3">
      <c r="A3" t="str">
        <v>Foundation Level</v>
      </c>
      <c r="G3">
        <v>438.126</v>
      </c>
      <c r="H3" t="str">
        <v>M</v>
      </c>
      <c r="L3" t="str">
        <v>M Higher than Pier footing Level</v>
      </c>
    </row>
    <row r="4">
      <c r="A4" t="str">
        <v>Thickness of Deck Slab</v>
      </c>
      <c r="G4">
        <v>750</v>
      </c>
      <c r="H4" t="str">
        <v>mm</v>
      </c>
    </row>
    <row r="5">
      <c r="A5" t="str">
        <v>Thickness of Approach Slab</v>
      </c>
      <c r="G5">
        <v>300</v>
      </c>
      <c r="H5" t="str">
        <v>mm</v>
      </c>
    </row>
    <row r="6">
      <c r="A6" t="str">
        <v>Height below Approach Slab</v>
      </c>
      <c r="G6">
        <v>4204.000000000019</v>
      </c>
      <c r="H6" t="str">
        <v>mm</v>
      </c>
      <c r="U6" t="str">
        <v>VARIANTS</v>
      </c>
    </row>
    <row r="7">
      <c r="A7" t="str">
        <v>Length of Heel projection</v>
      </c>
      <c r="G7">
        <v>2700</v>
      </c>
      <c r="H7" t="str">
        <v>mm</v>
      </c>
      <c r="J7" t="str">
        <v>Offset</v>
      </c>
      <c r="K7">
        <v>1000</v>
      </c>
      <c r="L7" t="str">
        <v>mm</v>
      </c>
      <c r="S7">
        <v>163.56</v>
      </c>
      <c r="T7" t="str">
        <v>kN/m2</v>
      </c>
      <c r="V7">
        <v>0</v>
      </c>
    </row>
    <row r="8">
      <c r="A8" t="str">
        <v>Length of Toe projection</v>
      </c>
      <c r="G8">
        <v>1350</v>
      </c>
      <c r="H8" t="str">
        <v>mm</v>
      </c>
      <c r="J8" t="str">
        <v>Offset</v>
      </c>
      <c r="K8">
        <v>1000</v>
      </c>
      <c r="L8" t="str">
        <v>mm</v>
      </c>
      <c r="S8">
        <v>28.200000000000003</v>
      </c>
      <c r="T8" t="str">
        <v>kN/m2</v>
      </c>
      <c r="V8">
        <v>0</v>
      </c>
    </row>
    <row r="9">
      <c r="A9" t="str">
        <v>Width of Stem</v>
      </c>
      <c r="G9">
        <v>1050</v>
      </c>
      <c r="H9" t="str">
        <v>mm</v>
      </c>
    </row>
    <row r="10">
      <c r="A10" t="str">
        <v>Thickness of Abutment Cap</v>
      </c>
      <c r="G10">
        <v>1200</v>
      </c>
      <c r="H10" t="str">
        <v>mm</v>
      </c>
    </row>
    <row r="11">
      <c r="A11" t="str">
        <v>Thickness of Dirt Wall</v>
      </c>
      <c r="G11">
        <v>300</v>
      </c>
      <c r="H11" t="str">
        <v>mm</v>
      </c>
    </row>
    <row r="12">
      <c r="A12" t="str">
        <v>Depth of Footing</v>
      </c>
      <c r="G12">
        <v>1000</v>
      </c>
      <c r="H12" t="str">
        <v>mm</v>
      </c>
    </row>
    <row r="13">
      <c r="M13">
        <v>300</v>
      </c>
    </row>
    <row r="14">
      <c r="X14" t="str">
        <v xml:space="preserve">RL </v>
      </c>
      <c r="Y14">
        <v>442.63</v>
      </c>
      <c r="Z14" t="str">
        <v>M</v>
      </c>
    </row>
    <row r="15">
      <c r="A15">
        <v>300</v>
      </c>
      <c r="F15" t="str">
        <v>APPROACH SLAB</v>
      </c>
    </row>
    <row r="17">
      <c r="K17">
        <v>450</v>
      </c>
      <c r="M17" t="str">
        <v>DIRT WALL</v>
      </c>
      <c r="Q17" t="str">
        <v>DECK SLAB</v>
      </c>
      <c r="W17">
        <v>750</v>
      </c>
    </row>
    <row r="19">
      <c r="Y19">
        <v>441.88</v>
      </c>
    </row>
    <row r="20">
      <c r="J20">
        <v>1200</v>
      </c>
      <c r="N20" t="str">
        <v>PIER CAP</v>
      </c>
    </row>
    <row r="21">
      <c r="B21">
        <v>4204.000000000019</v>
      </c>
    </row>
    <row r="23">
      <c r="K23">
        <v>1554.000000000019</v>
      </c>
      <c r="U23">
        <v>4.4040000000000195</v>
      </c>
    </row>
    <row r="28">
      <c r="C28">
        <v>1000</v>
      </c>
      <c r="F28" t="str">
        <v>HEEL</v>
      </c>
      <c r="S28" t="str">
        <v>TOE</v>
      </c>
      <c r="U28">
        <v>1000</v>
      </c>
    </row>
    <row r="29">
      <c r="W29">
        <v>1000</v>
      </c>
    </row>
    <row r="31">
      <c r="X31" t="str">
        <v xml:space="preserve">RL </v>
      </c>
      <c r="Y31">
        <v>438.126</v>
      </c>
      <c r="Z31" t="str">
        <v>M</v>
      </c>
    </row>
    <row r="32">
      <c r="G32">
        <v>2700</v>
      </c>
      <c r="O32">
        <v>1050</v>
      </c>
      <c r="S32">
        <v>1350</v>
      </c>
    </row>
    <row r="33">
      <c r="M33">
        <v>5100</v>
      </c>
    </row>
    <row r="35">
      <c r="C35" t="str">
        <v>TYPICAL SECTION OF THE ABUTMENT  TYPABUT-01</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sheetData>
    <row r="1">
      <c r="A1" t="str">
        <v>Design of ABUTMENT</v>
      </c>
    </row>
    <row r="2">
      <c r="A2" t="str">
        <v>DESIGN OF SUBMERSIBLE SKEW BRIDGE ACROSS BEDACH RIVER</v>
      </c>
    </row>
    <row r="3">
      <c r="A3" t="str">
        <v>(a) Data</v>
      </c>
      <c r="B3" t="str">
        <v>Preliminary dimensions</v>
      </c>
      <c r="C3" t="str">
        <v>: Assumed as in Fig. TYPABUT-01</v>
      </c>
    </row>
    <row r="4">
      <c r="B4" t="str">
        <v>Superstructure</v>
      </c>
      <c r="C4" t="str">
        <v xml:space="preserve">: RCC Slab Bridge </v>
      </c>
      <c r="D4" t="str">
        <v xml:space="preserve">Total Width of Slab = </v>
      </c>
      <c r="F4">
        <v>12</v>
      </c>
      <c r="G4" t="str">
        <v>M</v>
      </c>
    </row>
    <row r="5">
      <c r="C5" t="str">
        <v xml:space="preserve"> overall length = 12.80 m</v>
      </c>
    </row>
    <row r="6">
      <c r="B6" t="str">
        <v xml:space="preserve">Type of abutment </v>
      </c>
      <c r="C6" t="str">
        <v>: Reinforced concrete</v>
      </c>
    </row>
    <row r="7">
      <c r="B7" t="str">
        <v>Loading</v>
      </c>
      <c r="C7" t="str">
        <v>: As for National Highway</v>
      </c>
    </row>
    <row r="8">
      <c r="B8" t="str">
        <v>Back fill</v>
      </c>
      <c r="C8" t="str">
        <v xml:space="preserve">: Gravel with angle of repose     Φ = </v>
      </c>
      <c r="F8">
        <v>35</v>
      </c>
      <c r="G8" t="str">
        <v>o</v>
      </c>
    </row>
    <row r="9">
      <c r="C9" t="str">
        <v xml:space="preserve">Unit weight of back fill, w = </v>
      </c>
      <c r="E9">
        <v>18</v>
      </c>
      <c r="F9" t="str">
        <v>kN/m3</v>
      </c>
    </row>
    <row r="10">
      <c r="C10" t="str">
        <v>Angle of internal friction of soil on wall, z =</v>
      </c>
      <c r="F10">
        <v>17.5</v>
      </c>
      <c r="G10" t="str">
        <v>o</v>
      </c>
    </row>
    <row r="11">
      <c r="B11" t="str">
        <v>Approach slab</v>
      </c>
      <c r="C11" t="str">
        <v>: R.C. slab 300 mm thick, adequately reinforced</v>
      </c>
    </row>
    <row r="12">
      <c r="B12" t="str">
        <v>Load from superstructure per running foot of abutment wall:</v>
      </c>
    </row>
    <row r="13">
      <c r="B13" t="str">
        <v>Dead load</v>
      </c>
      <c r="C13" t="str">
        <v>=</v>
      </c>
      <c r="D13">
        <v>90.17068320000016</v>
      </c>
      <c r="E13" t="str">
        <v>kN/m</v>
      </c>
    </row>
    <row r="14">
      <c r="B14" t="str">
        <v>Live load</v>
      </c>
      <c r="C14" t="str">
        <v>=</v>
      </c>
      <c r="D14">
        <v>65.6888622754491</v>
      </c>
      <c r="E14" t="str">
        <v>kN/m</v>
      </c>
    </row>
    <row r="15">
      <c r="B15" t="str">
        <v>(Refer Stability Analysis for sub structure. The above two values are obtained from the calculations for superstructure, and are taken to act over a width of 15 m).</v>
      </c>
    </row>
    <row r="16">
      <c r="B16" t="str">
        <v>Bearing : Tar Paper Bearings</v>
      </c>
    </row>
    <row r="17">
      <c r="A17" t="str">
        <v>(C) Self weight of abutment</v>
      </c>
    </row>
    <row r="18">
      <c r="B18" t="str">
        <v>Treating the section as composed of 6   elements as shown in Fig. 1the weight of each element and moment about the point O on the front toe are computed as in Table 1</v>
      </c>
    </row>
    <row r="19">
      <c r="A19" t="str">
        <v>(d) Longitudinal forces</v>
      </c>
    </row>
    <row r="20">
      <c r="A20" t="str">
        <v xml:space="preserve">    (i) </v>
      </c>
      <c r="B20" t="str">
        <v>Force due to braking</v>
      </c>
    </row>
    <row r="21">
      <c r="B21" t="str">
        <v xml:space="preserve">Force due to 70 R wheeled vehicle = </v>
      </c>
      <c r="C21">
        <v>0.2</v>
      </c>
      <c r="D21" t="str">
        <v xml:space="preserve">x </v>
      </c>
      <c r="E21">
        <v>1000</v>
      </c>
      <c r="F21" t="str">
        <v xml:space="preserve">= </v>
      </c>
      <c r="G21">
        <v>200</v>
      </c>
      <c r="H21" t="str">
        <v>kN</v>
      </c>
    </row>
    <row r="22">
      <c r="B22" t="str">
        <v>This force acts at 1.2 m above the road level(Clause 214.3).</v>
      </c>
    </row>
    <row r="23">
      <c r="B23" t="str">
        <v>Force on   one abutment wall =</v>
      </c>
      <c r="C23">
        <v>200</v>
      </c>
      <c r="D23" t="str">
        <v>/</v>
      </c>
      <c r="E23">
        <v>2</v>
      </c>
      <c r="F23" t="str">
        <v xml:space="preserve">= </v>
      </c>
      <c r="G23">
        <v>100</v>
      </c>
      <c r="H23" t="str">
        <v>kN</v>
      </c>
    </row>
    <row r="24">
      <c r="B24" t="str">
        <v>Horizontal force per m of wall =</v>
      </c>
      <c r="C24">
        <v>100</v>
      </c>
      <c r="D24" t="str">
        <v>/</v>
      </c>
      <c r="E24">
        <v>12</v>
      </c>
      <c r="F24" t="str">
        <v xml:space="preserve">= </v>
      </c>
      <c r="G24">
        <v>8.34</v>
      </c>
      <c r="H24" t="str">
        <v>kN/ m</v>
      </c>
    </row>
    <row r="25">
      <c r="A25" t="str">
        <v>(ii)</v>
      </c>
      <c r="B25" t="str">
        <v>Force due to temperature variation and shrinkage</v>
      </c>
    </row>
    <row r="26">
      <c r="B26" t="str">
        <v xml:space="preserve">Assuming moderate climate, variation in temperature is taken as + </v>
      </c>
      <c r="D26">
        <v>17</v>
      </c>
      <c r="E26" t="str">
        <v>oC as per</v>
      </c>
    </row>
    <row r="27">
      <c r="B27" t="str">
        <v>Clause 218.5 of Bridge Code.</v>
      </c>
    </row>
    <row r="28">
      <c r="B28" t="str">
        <v>Coefficient of Thermal expansion =</v>
      </c>
      <c r="C28">
        <v>0.000011699999999999998</v>
      </c>
      <c r="D28" t="str">
        <v>/oC</v>
      </c>
    </row>
    <row r="29">
      <c r="B29" t="str">
        <v xml:space="preserve">Strain due to temperature variation    = </v>
      </c>
      <c r="C29">
        <v>17</v>
      </c>
      <c r="D29" t="str">
        <v>x</v>
      </c>
      <c r="E29">
        <v>0.000011699999999999998</v>
      </c>
      <c r="F29" t="str">
        <v>=</v>
      </c>
      <c r="G29">
        <v>0.00019889999999999996</v>
      </c>
    </row>
    <row r="30">
      <c r="B30" t="str">
        <v xml:space="preserve">From Clause 220.3, strain due to concrete shrinkage = </v>
      </c>
      <c r="C30">
        <v>0.0002</v>
      </c>
    </row>
    <row r="31">
      <c r="B31" t="str">
        <v xml:space="preserve">Total strain due to temperature and shrinkage = </v>
      </c>
      <c r="C31">
        <v>0.00019889999999999996</v>
      </c>
      <c r="D31" t="str">
        <v>+</v>
      </c>
      <c r="E31">
        <v>0.0002</v>
      </c>
      <c r="F31" t="str">
        <v>=</v>
      </c>
      <c r="G31">
        <v>0.0003989</v>
      </c>
    </row>
    <row r="32">
      <c r="B32" t="str">
        <v xml:space="preserve">Horizontal deformation of deck due to temperature and shrinkage affecting one abutment = </v>
      </c>
      <c r="C32">
        <v>0.0003989</v>
      </c>
      <c r="D32" t="str">
        <v>x</v>
      </c>
      <c r="E32">
        <v>11200</v>
      </c>
      <c r="F32" t="str">
        <v>/2 =</v>
      </c>
      <c r="G32">
        <v>2.23384</v>
      </c>
      <c r="H32" t="str">
        <v>mm</v>
      </c>
    </row>
    <row r="33">
      <c r="B33" t="str">
        <v>Modulus of Elasticity Ec =</v>
      </c>
      <c r="C33" t="str">
        <v>5000x fck1/2</v>
      </c>
      <c r="D33" t="str">
        <v>=</v>
      </c>
      <c r="E33">
        <v>31220.19</v>
      </c>
      <c r="F33" t="str">
        <v>N/mm2</v>
      </c>
    </row>
    <row r="34">
      <c r="B34" t="str">
        <v>Horizontal Stress due to strain in longitudinal direction at bearing level =</v>
      </c>
      <c r="C34">
        <v>0.0003989</v>
      </c>
      <c r="D34" t="str">
        <v>x</v>
      </c>
      <c r="E34">
        <v>31220.19</v>
      </c>
      <c r="F34" t="str">
        <v>=</v>
      </c>
      <c r="G34">
        <v>12.453733791</v>
      </c>
      <c r="H34" t="str">
        <v>N/mm2</v>
      </c>
    </row>
    <row r="35">
      <c r="B35" t="str">
        <v>Horizontal Force due to strain in longitudinal direction at bearing level (For 1 m width of Slab) =</v>
      </c>
      <c r="C35">
        <v>12.453733791</v>
      </c>
      <c r="D35" t="str">
        <v>x</v>
      </c>
      <c r="E35">
        <v>850.0000000000001</v>
      </c>
      <c r="F35" t="str">
        <v>=</v>
      </c>
      <c r="G35">
        <v>10585.67372235</v>
      </c>
      <c r="H35" t="str">
        <v>N/m</v>
      </c>
    </row>
    <row r="36">
      <c r="F36" t="str">
        <v>=</v>
      </c>
      <c r="G36">
        <v>10.58567372235</v>
      </c>
      <c r="H36" t="str">
        <v>kN/m</v>
      </c>
    </row>
    <row r="37">
      <c r="A37" t="str">
        <v>(iii)</v>
      </c>
      <c r="B37" t="str">
        <v>Vertical reaction   due to braking</v>
      </c>
    </row>
    <row r="38">
      <c r="A38" t="str">
        <v xml:space="preserve"> </v>
      </c>
      <c r="B38" t="str">
        <v xml:space="preserve">                                                              200(1.2 + 0.975)      </v>
      </c>
    </row>
    <row r="39">
      <c r="B39" t="str">
        <v xml:space="preserve">Vertical reaction at one abutment = ---------------------- </v>
      </c>
      <c r="D39" t="str">
        <v>=</v>
      </c>
      <c r="E39">
        <v>2.612612612612612</v>
      </c>
      <c r="F39" t="str">
        <v>kN/m</v>
      </c>
    </row>
    <row r="40">
      <c r="B40" t="str">
        <v xml:space="preserve">                                                              11.10x15</v>
      </c>
    </row>
    <row r="41">
      <c r="A41" t="str">
        <v>(d)Earth pressure</v>
      </c>
    </row>
    <row r="42">
      <c r="B42" t="str">
        <v>Active earth  pressure P = 0.5 wh2 Ka</v>
      </c>
    </row>
    <row r="43">
      <c r="B43" t="str">
        <v>where    Ka is obtained from Equation (3.5)</v>
      </c>
    </row>
    <row r="44">
      <c r="B44" t="str">
        <v>Ka = secΘ sin(Θ-Φ)/[(sin(Θ+z)1/2 +{sin(Φ+z) sin(Φ-δ)/sin(Θ-δ)}1/2]</v>
      </c>
    </row>
    <row r="45">
      <c r="B45" t="str">
        <v>Where P= Total active pressure, acting at a height of 0.42 h inclined at z to the normal to the wall on the earth side</v>
      </c>
    </row>
    <row r="46">
      <c r="B46" t="str">
        <v>w = unit weight of earth fill</v>
      </c>
    </row>
    <row r="47">
      <c r="B47" t="str">
        <v>h = height of wall</v>
      </c>
    </row>
    <row r="48">
      <c r="B48" t="str">
        <v>Θ = Angle subtended by the earthside wall with thw horizontal on the earth side</v>
      </c>
    </row>
    <row r="49">
      <c r="B49" t="str">
        <v>Φ = Angle of internal friction of the earthfill</v>
      </c>
    </row>
    <row r="50">
      <c r="B50" t="str">
        <v>z = angle of friction of the earthside wall with the earth</v>
      </c>
    </row>
    <row r="51">
      <c r="B51" t="str">
        <v>δ = Inclination of earthfill surface with the horizontal</v>
      </c>
    </row>
    <row r="52">
      <c r="B52" t="str">
        <v>Θ =</v>
      </c>
      <c r="C52">
        <v>90</v>
      </c>
      <c r="D52">
        <v>0</v>
      </c>
      <c r="F52" t="str">
        <v>Φ =</v>
      </c>
      <c r="G52">
        <v>35</v>
      </c>
      <c r="H52">
        <v>0</v>
      </c>
    </row>
    <row r="53">
      <c r="B53" t="str">
        <v>z =</v>
      </c>
      <c r="C53">
        <v>17.5</v>
      </c>
      <c r="D53">
        <v>0</v>
      </c>
      <c r="F53" t="str">
        <v>δ =</v>
      </c>
      <c r="G53">
        <v>0</v>
      </c>
      <c r="H53">
        <v>0</v>
      </c>
    </row>
    <row r="54">
      <c r="B54" t="str">
        <v xml:space="preserve">Substituting values in Equation (3.5), we get Ka = </v>
      </c>
      <c r="C54">
        <v>0.496</v>
      </c>
      <c r="D54" t="str">
        <v>Coefficient</v>
      </c>
    </row>
    <row r="55">
      <c r="B55" t="str">
        <v xml:space="preserve">Height of backfill below  approach   slab = </v>
      </c>
      <c r="C55">
        <v>4.204000000000019</v>
      </c>
      <c r="D55" t="str">
        <v>m</v>
      </c>
    </row>
    <row r="56">
      <c r="B56" t="str">
        <v xml:space="preserve">Active  earth pressure = </v>
      </c>
    </row>
    <row r="57">
      <c r="B57">
        <v>0.5</v>
      </c>
      <c r="C57" t="str">
        <v>x</v>
      </c>
      <c r="D57">
        <v>18</v>
      </c>
      <c r="E57" t="str">
        <v>x</v>
      </c>
      <c r="F57">
        <v>4.204000000000019</v>
      </c>
      <c r="G57" t="str">
        <v>2 x</v>
      </c>
      <c r="H57">
        <v>0.496</v>
      </c>
    </row>
    <row r="58">
      <c r="B58" t="str">
        <v>=</v>
      </c>
      <c r="C58">
        <v>78.9</v>
      </c>
      <c r="D58" t="str">
        <v>kN/m</v>
      </c>
    </row>
    <row r="59">
      <c r="B59" t="str">
        <v>Height above base of centre of pressure =</v>
      </c>
      <c r="C59">
        <v>0.42</v>
      </c>
      <c r="D59" t="str">
        <v>x</v>
      </c>
      <c r="E59">
        <v>4.204000000000019</v>
      </c>
      <c r="F59" t="str">
        <v>=</v>
      </c>
      <c r="G59">
        <v>1.77</v>
      </c>
      <c r="H59" t="str">
        <v>m</v>
      </c>
    </row>
    <row r="60">
      <c r="B60" t="str">
        <v>Passive pressure in front of toe slab is neglected.</v>
      </c>
    </row>
    <row r="61">
      <c r="A61" t="str">
        <v>(e) Live load surcharge and approach slab</v>
      </c>
    </row>
    <row r="62">
      <c r="B62" t="str">
        <v>Equivalent height of earth for live load surcharge as per clause 714.4  is 1.20 m</v>
      </c>
    </row>
    <row r="63">
      <c r="B63" t="str">
        <v>Horizontal force   due to L.L. surcharge =1.2 x 18 x 0.496 x 9.20 =</v>
      </c>
      <c r="E63">
        <v>45.04</v>
      </c>
      <c r="F63" t="str">
        <v>kN/m</v>
      </c>
    </row>
    <row r="64">
      <c r="B64" t="str">
        <v>Horizontal force   due to approach slab = 0.3 x 24 x 0.496 x 9.20 =</v>
      </c>
      <c r="E64">
        <v>15.02</v>
      </c>
      <c r="F64" t="str">
        <v>kN/m</v>
      </c>
    </row>
    <row r="65">
      <c r="D65" t="str">
        <v>Total</v>
      </c>
      <c r="E65">
        <v>60.06</v>
      </c>
      <c r="F65" t="str">
        <v>kN/m</v>
      </c>
    </row>
    <row r="66">
      <c r="B66" t="str">
        <v xml:space="preserve">The above two forces act at </v>
      </c>
      <c r="C66">
        <v>2.1020000000000096</v>
      </c>
      <c r="D66" t="str">
        <v>m  above the base.</v>
      </c>
    </row>
    <row r="67">
      <c r="B67" t="str">
        <v>Vertical load due to L.L. surcharge and approach slab</v>
      </c>
    </row>
    <row r="68">
      <c r="B68" t="str">
        <v xml:space="preserve">= (1.2 x 18 + 0.3 x 24 ) x 2.7 = </v>
      </c>
      <c r="C68">
        <v>77.75999999999999</v>
      </c>
      <c r="D68" t="str">
        <v>kN/m</v>
      </c>
    </row>
    <row r="69">
      <c r="A69" t="str">
        <v>(f) Weight of earth on heel  slab</v>
      </c>
    </row>
    <row r="70">
      <c r="B70" t="str">
        <v xml:space="preserve">Vertical load = </v>
      </c>
      <c r="C70" t="str">
        <v>18 x2.7x (4.20400000000002 - 1)</v>
      </c>
      <c r="D70" t="str">
        <v xml:space="preserve"> = </v>
      </c>
      <c r="E70">
        <v>57.68</v>
      </c>
      <c r="F70" t="str">
        <v>kN/m</v>
      </c>
    </row>
    <row r="71">
      <c r="A71" t="str">
        <v>(g) Check for stability - overturning</v>
      </c>
    </row>
    <row r="72">
      <c r="B72" t="str">
        <v>The   forces and their position are as shown in Fig. 1</v>
      </c>
    </row>
    <row r="73">
      <c r="B73" t="str">
        <v>The forces and moments about the point O at toe on the base are tabulated as in</v>
      </c>
    </row>
    <row r="74">
      <c r="B74" t="str">
        <v>Table 1 Two cases of lading condition are  examined (i) Span loaded condition  and  (ii) Span unloaded  condition.</v>
      </c>
    </row>
    <row r="75">
      <c r="B75" t="str">
        <v>Case (i) Span loaded condition</v>
      </c>
    </row>
    <row r="76">
      <c r="B76" t="str">
        <v>See Row 15 of Table 12.3</v>
      </c>
    </row>
    <row r="77">
      <c r="B77" t="str">
        <v>Overturning moment about toe =</v>
      </c>
      <c r="C77">
        <v>337.061</v>
      </c>
      <c r="D77" t="str">
        <v>kN-m</v>
      </c>
    </row>
    <row r="78">
      <c r="B78" t="str">
        <v xml:space="preserve">Restoring moment about toe = </v>
      </c>
      <c r="C78">
        <v>1288.387</v>
      </c>
      <c r="D78" t="str">
        <v>kN-m</v>
      </c>
    </row>
    <row r="79">
      <c r="B79" t="str">
        <v xml:space="preserve">Factor of safety against overturning = </v>
      </c>
      <c r="C79">
        <v>1288.387</v>
      </c>
      <c r="D79" t="str">
        <v>/</v>
      </c>
      <c r="E79">
        <v>337.061</v>
      </c>
      <c r="F79" t="str">
        <v>=</v>
      </c>
      <c r="G79">
        <v>3.82</v>
      </c>
    </row>
    <row r="80">
      <c r="B80" t="str">
        <v xml:space="preserve">Location of Resultant from O </v>
      </c>
      <c r="G80" t="str">
        <v>&gt; 1.5 Hence Safe</v>
      </c>
    </row>
    <row r="81">
      <c r="B81" t="str">
        <v>X0 = ( MV - MH) / V= ( 1740.9 - 623.1) / 691.4 = 1.62 m</v>
      </c>
    </row>
    <row r="82">
      <c r="C82" t="str">
        <v>=(1288.387 - 337.061 ) / 488.963 ) =</v>
      </c>
      <c r="E82">
        <v>1.95</v>
      </c>
      <c r="F82" t="str">
        <v>m</v>
      </c>
    </row>
    <row r="83">
      <c r="A83" t="str">
        <v>Eccentricity of resultant</v>
      </c>
    </row>
    <row r="84">
      <c r="B84" t="str">
        <v xml:space="preserve">emax = B/6 = </v>
      </c>
      <c r="C84">
        <v>5.1</v>
      </c>
      <c r="D84" t="str">
        <v>/6 =</v>
      </c>
      <c r="E84">
        <v>0.85</v>
      </c>
      <c r="F84" t="str">
        <v>m</v>
      </c>
    </row>
    <row r="85">
      <c r="B85" t="str">
        <v>e  = (B/2 -X0) = 0.78 m &lt; 0.80 m</v>
      </c>
      <c r="C85">
        <v>2.55</v>
      </c>
      <c r="D85" t="str">
        <v>-</v>
      </c>
      <c r="E85">
        <v>1.95</v>
      </c>
      <c r="F85" t="str">
        <v>=</v>
      </c>
      <c r="G85">
        <v>0.6</v>
      </c>
      <c r="H85" t="str">
        <v>m</v>
      </c>
    </row>
    <row r="86">
      <c r="F86" t="str">
        <v>&lt;</v>
      </c>
      <c r="G86">
        <v>0.85</v>
      </c>
      <c r="H86" t="str">
        <v>m</v>
      </c>
    </row>
    <row r="87">
      <c r="B87" t="str">
        <v>Case (ii) Span   unloaded condition</v>
      </c>
    </row>
    <row r="88">
      <c r="B88" t="str">
        <v>See Row 11 of Table 12.3</v>
      </c>
    </row>
    <row r="89">
      <c r="B89" t="str">
        <v>Overturning moment about toe =</v>
      </c>
      <c r="C89">
        <v>305.702</v>
      </c>
      <c r="D89" t="str">
        <v>kN-m</v>
      </c>
    </row>
    <row r="90">
      <c r="B90" t="str">
        <v xml:space="preserve">Restoring moment about toe = </v>
      </c>
      <c r="C90">
        <v>1170.5529999999999</v>
      </c>
      <c r="D90" t="str">
        <v>kN-m</v>
      </c>
    </row>
    <row r="91">
      <c r="B91" t="str">
        <v xml:space="preserve">Factor of safety against overturning = </v>
      </c>
      <c r="C91">
        <v>1170.5529999999999</v>
      </c>
      <c r="D91" t="str">
        <v>/</v>
      </c>
      <c r="E91">
        <v>305.702</v>
      </c>
      <c r="F91" t="str">
        <v>=</v>
      </c>
      <c r="G91">
        <v>3.83</v>
      </c>
    </row>
    <row r="92">
      <c r="B92" t="str">
        <v xml:space="preserve">Location of Resultant from O </v>
      </c>
      <c r="G92" t="str">
        <v>&gt; 1.5 Hence Safe</v>
      </c>
    </row>
    <row r="93">
      <c r="B93" t="str">
        <v xml:space="preserve">X0 = ( MV - MH) / V= </v>
      </c>
    </row>
    <row r="94">
      <c r="C94" t="str">
        <v>=(1170.553 - 305.702 ) / 420.661 ) =</v>
      </c>
      <c r="E94">
        <v>2.06</v>
      </c>
      <c r="F94" t="str">
        <v>m</v>
      </c>
    </row>
    <row r="95">
      <c r="A95" t="str">
        <v>(h)Check for stresses at base</v>
      </c>
    </row>
    <row r="96">
      <c r="B96" t="str">
        <v>For Span loaded condition</v>
      </c>
    </row>
    <row r="97">
      <c r="B97" t="str">
        <v xml:space="preserve">Total downward forces = </v>
      </c>
      <c r="C97">
        <v>488.96299999999997</v>
      </c>
      <c r="D97" t="str">
        <v>kN</v>
      </c>
    </row>
    <row r="98">
      <c r="D98">
        <v>488.96299999999997</v>
      </c>
      <c r="E98" t="str">
        <v xml:space="preserve">              6 x 0.78</v>
      </c>
    </row>
    <row r="99">
      <c r="A99" t="str">
        <v xml:space="preserve">Extreme stresses at base =     </v>
      </c>
    </row>
    <row r="100">
      <c r="B100" t="str">
        <v>Maximum Stress =</v>
      </c>
      <c r="C100" t="str">
        <v>488.963/(5.1x1)(1 +(6x0.6/5.1))</v>
      </c>
      <c r="E100" t="str">
        <v>=</v>
      </c>
      <c r="F100">
        <v>163.56</v>
      </c>
      <c r="G100" t="str">
        <v>kN/m2</v>
      </c>
    </row>
    <row r="101">
      <c r="B101" t="str">
        <v>Minimum Stress =</v>
      </c>
      <c r="C101" t="str">
        <v>488.963/(5.1x1)(1 -(6x0.6/5.1))</v>
      </c>
      <c r="E101" t="str">
        <v>=</v>
      </c>
      <c r="F101">
        <v>28.200000000000003</v>
      </c>
      <c r="G101" t="str">
        <v>kN/m2</v>
      </c>
    </row>
    <row r="102">
      <c r="A102" t="str">
        <v>Table 1  Forces and Moments  About Base for Abutment.</v>
      </c>
    </row>
    <row r="103">
      <c r="A103" t="str">
        <v>SI.</v>
      </c>
      <c r="B103" t="str">
        <v>Details</v>
      </c>
      <c r="C103" t="str">
        <v>Force, kN</v>
      </c>
      <c r="E103" t="str">
        <v>Moment about O, kn-m</v>
      </c>
    </row>
    <row r="104">
      <c r="A104" t="str">
        <v>No.</v>
      </c>
      <c r="C104" t="str">
        <v>V</v>
      </c>
      <c r="D104" t="str">
        <v>H</v>
      </c>
      <c r="E104" t="str">
        <v>Arm</v>
      </c>
    </row>
    <row r="105">
      <c r="E105" t="str">
        <v>m</v>
      </c>
      <c r="F105" t="str">
        <v>Mv</v>
      </c>
      <c r="G105" t="str">
        <v>MH</v>
      </c>
    </row>
    <row r="106">
      <c r="A106" t="str">
        <v>1.</v>
      </c>
      <c r="B106" t="str">
        <v>D.L. from superstructure</v>
      </c>
      <c r="C106">
        <v>90.17068320000016</v>
      </c>
      <c r="D106" t="str">
        <v>-</v>
      </c>
      <c r="E106">
        <v>1.73</v>
      </c>
      <c r="F106">
        <v>156</v>
      </c>
      <c r="G106" t="str">
        <v>-</v>
      </c>
    </row>
    <row r="107">
      <c r="A107" t="str">
        <v>2.</v>
      </c>
      <c r="B107" t="str">
        <v>Horizontal force due to temperatre and shrinkage</v>
      </c>
      <c r="C107">
        <v>0</v>
      </c>
      <c r="D107">
        <v>10.58567372235</v>
      </c>
      <c r="E107">
        <v>3.76</v>
      </c>
      <c r="F107" t="str">
        <v>-</v>
      </c>
      <c r="G107">
        <v>39.802133196035996</v>
      </c>
    </row>
    <row r="108">
      <c r="A108" t="str">
        <v>3.</v>
      </c>
      <c r="B108" t="str">
        <v>Active earth pressure</v>
      </c>
      <c r="C108">
        <v>0</v>
      </c>
      <c r="D108">
        <v>78.9</v>
      </c>
      <c r="E108">
        <v>1.77</v>
      </c>
      <c r="F108" t="str">
        <v>-</v>
      </c>
      <c r="G108">
        <v>139.65300000000002</v>
      </c>
    </row>
    <row r="109">
      <c r="A109" t="str">
        <v>4.</v>
      </c>
      <c r="B109" t="str">
        <v>Horizontal force due to L.L surcharge and approach slab</v>
      </c>
      <c r="C109">
        <v>0</v>
      </c>
      <c r="D109">
        <v>60.06</v>
      </c>
      <c r="E109">
        <v>2.1020000000000096</v>
      </c>
      <c r="F109" t="str">
        <v>-</v>
      </c>
      <c r="G109">
        <v>126.24612000000059</v>
      </c>
    </row>
    <row r="110">
      <c r="A110" t="str">
        <v>5.</v>
      </c>
      <c r="B110" t="str">
        <v>Vertical load due to L.L.</v>
      </c>
      <c r="C110">
        <v>77.75999999999999</v>
      </c>
      <c r="D110" t="str">
        <v>-</v>
      </c>
      <c r="E110">
        <v>3.75</v>
      </c>
      <c r="F110">
        <v>291.59999999999997</v>
      </c>
      <c r="G110" t="str">
        <v>-</v>
      </c>
    </row>
    <row r="111">
      <c r="B111" t="str">
        <v>surcharge and approach slab</v>
      </c>
    </row>
    <row r="112">
      <c r="A112" t="str">
        <v>6.</v>
      </c>
      <c r="B112" t="str">
        <v>Self weight - part 1</v>
      </c>
      <c r="C112">
        <v>122.4</v>
      </c>
      <c r="D112" t="str">
        <v>-</v>
      </c>
      <c r="E112">
        <v>2.55</v>
      </c>
      <c r="F112">
        <v>312.12</v>
      </c>
      <c r="G112" t="str">
        <v>-</v>
      </c>
    </row>
    <row r="113">
      <c r="B113" t="str">
        <v>5.1x1x 24 =</v>
      </c>
    </row>
    <row r="114">
      <c r="A114" t="str">
        <v>7.</v>
      </c>
      <c r="B114" t="str">
        <v>Self weight - part 2</v>
      </c>
      <c r="C114">
        <v>39.169999999999995</v>
      </c>
      <c r="D114" t="str">
        <v>-</v>
      </c>
      <c r="E114">
        <v>1.8800000000000001</v>
      </c>
      <c r="F114">
        <v>73.63959999999999</v>
      </c>
      <c r="G114" t="str">
        <v>-</v>
      </c>
    </row>
    <row r="115">
      <c r="B115" t="str">
        <v>1.55400000000002x1.05x 24 =</v>
      </c>
    </row>
    <row r="116">
      <c r="A116" t="str">
        <v>8.</v>
      </c>
      <c r="B116" t="str">
        <v>Self weight - part 3</v>
      </c>
      <c r="C116">
        <v>30.24</v>
      </c>
      <c r="D116" t="str">
        <v>-</v>
      </c>
      <c r="E116" t="str">
        <v>1.68</v>
      </c>
      <c r="F116">
        <v>50.8032</v>
      </c>
      <c r="G116" t="str">
        <v>-</v>
      </c>
    </row>
    <row r="117">
      <c r="B117" t="str">
        <v>1.2x1.05x 24 =</v>
      </c>
    </row>
    <row r="118">
      <c r="A118" t="str">
        <v>9.</v>
      </c>
      <c r="B118" t="str">
        <v>Self weight - part 4</v>
      </c>
      <c r="C118">
        <v>3.24</v>
      </c>
      <c r="D118" t="str">
        <v>-</v>
      </c>
      <c r="E118" t="str">
        <v>2.05</v>
      </c>
      <c r="F118">
        <v>6.6419999999999995</v>
      </c>
      <c r="G118" t="str">
        <v>-</v>
      </c>
    </row>
    <row r="119">
      <c r="B119" t="str">
        <v>0.3x0.45x 24 =</v>
      </c>
    </row>
    <row r="120">
      <c r="A120" t="str">
        <v>10.</v>
      </c>
      <c r="B120" t="str">
        <v>Weight of earth on heel slab part 1 Rectangular Portion</v>
      </c>
      <c r="C120">
        <v>57.68</v>
      </c>
      <c r="D120" t="str">
        <v>-</v>
      </c>
      <c r="E120">
        <v>4.85</v>
      </c>
      <c r="F120">
        <v>279.748</v>
      </c>
      <c r="G120" t="str">
        <v>-</v>
      </c>
    </row>
    <row r="121">
      <c r="B121" t="str">
        <v>1 x 3.20400000000002 x 18=</v>
      </c>
    </row>
    <row r="122">
      <c r="A122" t="str">
        <v>11.</v>
      </c>
      <c r="B122" t="str">
        <v xml:space="preserve">   Items 1 to 10</v>
      </c>
      <c r="C122">
        <v>420.661</v>
      </c>
      <c r="F122">
        <v>1170.5529999999999</v>
      </c>
      <c r="G122">
        <v>305.702</v>
      </c>
    </row>
    <row r="123">
      <c r="B123" t="str">
        <v xml:space="preserve">   (Span unloaded condition)</v>
      </c>
    </row>
    <row r="124">
      <c r="A124" t="str">
        <v>12.</v>
      </c>
      <c r="B124" t="str">
        <v>L.L. from Superstructure</v>
      </c>
      <c r="C124">
        <v>65.6888622754491</v>
      </c>
      <c r="D124" t="str">
        <v>-</v>
      </c>
      <c r="E124">
        <v>1.725</v>
      </c>
      <c r="F124">
        <v>113.3132874251497</v>
      </c>
      <c r="G124" t="str">
        <v>-</v>
      </c>
    </row>
    <row r="125">
      <c r="B125" t="str">
        <v xml:space="preserve">   Class 70 R wheeled vehicle</v>
      </c>
    </row>
    <row r="126">
      <c r="A126" t="str">
        <v>13.</v>
      </c>
      <c r="B126" t="str">
        <v>Vertical force due to braking</v>
      </c>
      <c r="C126">
        <v>2.612612612612612</v>
      </c>
      <c r="D126" t="str">
        <v>-</v>
      </c>
      <c r="E126">
        <v>1.73</v>
      </c>
      <c r="F126">
        <v>4.519819819819819</v>
      </c>
      <c r="G126" t="str">
        <v>-</v>
      </c>
    </row>
    <row r="127">
      <c r="A127" t="str">
        <v>14.</v>
      </c>
      <c r="B127" t="str">
        <v>Horizontal force due to braking</v>
      </c>
      <c r="C127">
        <v>0</v>
      </c>
      <c r="D127">
        <v>8.34</v>
      </c>
      <c r="E127">
        <v>3.76</v>
      </c>
      <c r="G127">
        <v>31.358399999999996</v>
      </c>
    </row>
    <row r="128">
      <c r="A128" t="str">
        <v>15.</v>
      </c>
      <c r="B128" t="str">
        <v xml:space="preserve">  Items 11 to 14</v>
      </c>
      <c r="C128">
        <v>488.96299999999997</v>
      </c>
      <c r="D128">
        <v>157.88567372235</v>
      </c>
      <c r="E128" t="str">
        <v>-</v>
      </c>
      <c r="F128">
        <v>1288.387</v>
      </c>
      <c r="G128">
        <v>337.061</v>
      </c>
    </row>
    <row r="129">
      <c r="B129" t="str">
        <v xml:space="preserve">     (Span loaded condition)</v>
      </c>
    </row>
    <row r="130">
      <c r="B130" t="str">
        <v>NET LONGITUDINAL MOMENT</v>
      </c>
      <c r="C130">
        <v>1288.387</v>
      </c>
      <c r="D130" t="str">
        <v>-</v>
      </c>
      <c r="E130">
        <v>337.061</v>
      </c>
      <c r="F130" t="str">
        <v>=</v>
      </c>
      <c r="G130">
        <v>951.326</v>
      </c>
    </row>
    <row r="132">
      <c r="B132" t="str">
        <v xml:space="preserve">Maximum pressure =  </v>
      </c>
      <c r="C132">
        <v>163.56</v>
      </c>
      <c r="D132" t="str">
        <v>kN/m2 &lt;</v>
      </c>
      <c r="E132">
        <v>200</v>
      </c>
      <c r="F132" t="str">
        <v>kN/m2 permissible HENCE OK.</v>
      </c>
    </row>
    <row r="133">
      <c r="B133" t="str">
        <v xml:space="preserve">Minimum pressure  =  </v>
      </c>
      <c r="C133">
        <v>28.200000000000003</v>
      </c>
      <c r="D133" t="str">
        <v>kN/m2 &gt;0 (No tension) HENCE OK.</v>
      </c>
    </row>
    <row r="134">
      <c r="A134" t="str">
        <v>(i)  Check for sliding</v>
      </c>
    </row>
    <row r="135">
      <c r="B135" t="str">
        <v>See Row 15 of Table 1</v>
      </c>
    </row>
    <row r="136">
      <c r="B136" t="str">
        <v xml:space="preserve">Sliding force = </v>
      </c>
      <c r="C136">
        <v>157.88567372235</v>
      </c>
      <c r="D136" t="str">
        <v xml:space="preserve"> kN</v>
      </c>
    </row>
    <row r="137">
      <c r="B137" t="str">
        <v>Force resisting sliding =</v>
      </c>
      <c r="C137">
        <v>0.6</v>
      </c>
      <c r="D137" t="str">
        <v xml:space="preserve">x </v>
      </c>
      <c r="E137">
        <v>488.96299999999997</v>
      </c>
      <c r="F137" t="str">
        <v xml:space="preserve">= </v>
      </c>
      <c r="G137">
        <v>293.38</v>
      </c>
      <c r="H137" t="str">
        <v>kN</v>
      </c>
    </row>
    <row r="138">
      <c r="B138" t="str">
        <v xml:space="preserve">Factor of Safety against    sliding = </v>
      </c>
      <c r="C138">
        <v>293.38</v>
      </c>
      <c r="D138" t="str">
        <v xml:space="preserve">/ </v>
      </c>
      <c r="E138">
        <v>157.88567372235</v>
      </c>
      <c r="F138" t="str">
        <v xml:space="preserve">= </v>
      </c>
      <c r="G138">
        <v>1.86</v>
      </c>
    </row>
    <row r="139">
      <c r="A139" t="str">
        <v>(j) Summary</v>
      </c>
      <c r="G139" t="str">
        <v>&gt; 1.5 Hence Safe</v>
      </c>
    </row>
    <row r="140">
      <c r="B140" t="str">
        <v>The assumed section of the abutment is adequate.</v>
      </c>
    </row>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sheetData>
    <row r="1">
      <c r="A1" t="str">
        <v xml:space="preserve">DESIGN OF ABUTMENT FOOTING </v>
      </c>
    </row>
    <row r="2">
      <c r="A2" t="str">
        <v>DESIGN OF SUBMERSIBLE SKEW BRIDGE ACROSS BEDACH RIVER</v>
      </c>
    </row>
    <row r="3">
      <c r="A3" t="str">
        <v>REDISTRIBUTION OF PRESSURE</v>
      </c>
    </row>
    <row r="4">
      <c r="A4" t="str">
        <v>FOR WIND AT SERVICE CONDITION</v>
      </c>
    </row>
    <row r="5">
      <c r="B5" t="str">
        <v xml:space="preserve">Length of footing </v>
      </c>
      <c r="C5" t="str">
        <v>lf</v>
      </c>
      <c r="D5">
        <v>14</v>
      </c>
      <c r="E5" t="str">
        <v>m</v>
      </c>
    </row>
    <row r="6">
      <c r="B6" t="str">
        <v>Width of Footing</v>
      </c>
      <c r="C6" t="str">
        <v>lb</v>
      </c>
      <c r="D6">
        <v>5.1</v>
      </c>
      <c r="E6" t="str">
        <v>m</v>
      </c>
    </row>
    <row r="7">
      <c r="B7" t="str">
        <v>Width of Abutment just above footing</v>
      </c>
      <c r="D7">
        <v>3.0999999999999996</v>
      </c>
      <c r="E7" t="str">
        <v>m</v>
      </c>
    </row>
    <row r="8">
      <c r="B8" t="str">
        <v>Vertical Load</v>
      </c>
      <c r="C8" t="str">
        <v>P</v>
      </c>
      <c r="D8">
        <v>488.96299999999997</v>
      </c>
      <c r="E8" t="str">
        <v>kN</v>
      </c>
    </row>
    <row r="9">
      <c r="B9" t="str">
        <v>Longitudinal Moment</v>
      </c>
      <c r="C9" t="str">
        <v>Me</v>
      </c>
      <c r="D9">
        <v>951.326</v>
      </c>
      <c r="E9" t="str">
        <v>kN-m</v>
      </c>
    </row>
    <row r="10">
      <c r="B10" t="str">
        <v>Transverse Moment</v>
      </c>
      <c r="C10" t="str">
        <v>Mb</v>
      </c>
      <c r="D10">
        <v>0</v>
      </c>
      <c r="E10" t="str">
        <v>kN-m</v>
      </c>
    </row>
    <row r="11">
      <c r="B11" t="str">
        <v>el</v>
      </c>
      <c r="C11" t="str">
        <v>= Me/P</v>
      </c>
      <c r="D11">
        <v>1.9455991557643422</v>
      </c>
      <c r="E11" t="str">
        <v>m</v>
      </c>
    </row>
    <row r="12">
      <c r="B12" t="str">
        <v>eb</v>
      </c>
      <c r="C12" t="str">
        <v>= Mb/P</v>
      </c>
      <c r="D12">
        <v>0</v>
      </c>
      <c r="E12" t="str">
        <v>m</v>
      </c>
    </row>
    <row r="13">
      <c r="B13" t="str">
        <v>el/lf</v>
      </c>
      <c r="D13">
        <v>0.1389713682688816</v>
      </c>
      <c r="E13" t="str">
        <v>Refer VK Raina "Concrete Bridge Practice : Analysis, Design and Economics " Chapter 14 "Evaluation of Base Presssure and Contact Area" Fig 14.2 &amp; 14.3</v>
      </c>
    </row>
    <row r="14">
      <c r="B14" t="str">
        <v>eb/lb</v>
      </c>
      <c r="D14">
        <v>0</v>
      </c>
    </row>
    <row r="15">
      <c r="B15" t="str">
        <v>K</v>
      </c>
      <c r="D15">
        <v>1</v>
      </c>
    </row>
    <row r="16">
      <c r="B16" t="str">
        <v>y</v>
      </c>
      <c r="D16">
        <v>0</v>
      </c>
    </row>
    <row r="17">
      <c r="B17" t="str">
        <v>Area in Tension = y x lb</v>
      </c>
      <c r="E17">
        <v>0</v>
      </c>
      <c r="F17" t="str">
        <v>m2</v>
      </c>
      <c r="G17">
        <v>0</v>
      </c>
      <c r="H17" t="str">
        <v>%</v>
      </c>
    </row>
    <row r="18">
      <c r="B18" t="str">
        <v>Maximum Pressure before Redistribution</v>
      </c>
      <c r="E18">
        <v>163.56</v>
      </c>
      <c r="F18" t="str">
        <v>kN/m2</v>
      </c>
    </row>
    <row r="19">
      <c r="B19" t="str">
        <v>Maximum Pressure After Redistribution = pxK</v>
      </c>
      <c r="E19">
        <v>163.56</v>
      </c>
      <c r="F19" t="str">
        <v>kN/m2</v>
      </c>
    </row>
    <row r="20">
      <c r="B20" t="str">
        <v>Maximum Stress at Edge of Pier</v>
      </c>
      <c r="E20">
        <v>163.56</v>
      </c>
      <c r="F20" t="str">
        <v>kN/m2</v>
      </c>
    </row>
    <row r="21">
      <c r="B21" t="str">
        <v>Distance From Face of Pier to the Edge</v>
      </c>
      <c r="E21">
        <v>1</v>
      </c>
      <c r="F21" t="str">
        <v>m</v>
      </c>
    </row>
    <row r="22">
      <c r="B22" t="str">
        <v>Stress at the Edge of Pier</v>
      </c>
      <c r="E22">
        <v>131.4894117647059</v>
      </c>
      <c r="F22" t="str">
        <v>kN/m2</v>
      </c>
    </row>
    <row r="23">
      <c r="B23" t="str">
        <v>Average Stress on Cantilevered Area</v>
      </c>
      <c r="E23">
        <v>147.52470588235295</v>
      </c>
      <c r="F23" t="str">
        <v>kN/m2</v>
      </c>
    </row>
    <row r="24">
      <c r="B24" t="str">
        <v>Area of the Cantilever Portion</v>
      </c>
      <c r="E24">
        <v>1</v>
      </c>
      <c r="F24" t="str">
        <v>m2</v>
      </c>
    </row>
    <row r="25">
      <c r="B25" t="str">
        <v>Distance of Centroid of the Stress in Cantilever Portion</v>
      </c>
      <c r="E25">
        <v>0.5181159420289855</v>
      </c>
      <c r="F25" t="str">
        <v>m</v>
      </c>
    </row>
    <row r="26">
      <c r="B26" t="str">
        <v>Moment about the Face of Pier</v>
      </c>
      <c r="E26">
        <v>76.43490196078432</v>
      </c>
      <c r="F26" t="str">
        <v>kN-m</v>
      </c>
    </row>
    <row r="27">
      <c r="B27" t="str">
        <v>CONCRETE GRADE</v>
      </c>
      <c r="E27" t="str">
        <v>M-25</v>
      </c>
    </row>
    <row r="28">
      <c r="B28" t="str">
        <v>FOR THIS GRADE scbc</v>
      </c>
      <c r="E28">
        <v>10</v>
      </c>
      <c r="F28" t="str">
        <v>N/mm2</v>
      </c>
    </row>
    <row r="29">
      <c r="B29" t="str">
        <v>m</v>
      </c>
      <c r="E29">
        <v>9.333333333333334</v>
      </c>
    </row>
    <row r="30">
      <c r="B30" t="str">
        <v>sst</v>
      </c>
      <c r="E30">
        <v>200</v>
      </c>
    </row>
    <row r="31">
      <c r="B31" t="str">
        <v>factor k</v>
      </c>
      <c r="E31">
        <v>0.3181818181818182</v>
      </c>
    </row>
    <row r="32">
      <c r="B32" t="str">
        <v>j</v>
      </c>
      <c r="E32">
        <v>0.8939393939393939</v>
      </c>
    </row>
    <row r="33">
      <c r="B33" t="str">
        <v>R</v>
      </c>
      <c r="E33">
        <v>1.4221763085399448</v>
      </c>
    </row>
    <row r="34">
      <c r="B34" t="str">
        <v>Effective Depth Required</v>
      </c>
      <c r="E34">
        <v>231.82973384564747</v>
      </c>
      <c r="F34" t="str">
        <v>mm</v>
      </c>
    </row>
    <row r="35">
      <c r="B35" t="str">
        <v xml:space="preserve">Adopt Total Depth </v>
      </c>
      <c r="E35">
        <v>1000</v>
      </c>
      <c r="F35" t="str">
        <v>mm</v>
      </c>
    </row>
    <row r="36">
      <c r="B36" t="str">
        <v>Cover</v>
      </c>
      <c r="E36">
        <v>50</v>
      </c>
      <c r="F36" t="str">
        <v>mm</v>
      </c>
    </row>
    <row r="37">
      <c r="B37" t="str">
        <v>Assume Bar Dia</v>
      </c>
      <c r="E37">
        <v>16</v>
      </c>
      <c r="F37" t="str">
        <v>mm</v>
      </c>
    </row>
    <row r="38">
      <c r="B38" t="str">
        <v>Keeping A Cover Of 50 mm Effective Depth</v>
      </c>
      <c r="E38">
        <v>942</v>
      </c>
      <c r="F38" t="str">
        <v>mm</v>
      </c>
    </row>
    <row r="39">
      <c r="B39" t="str">
        <v>Adopt Effective Depth</v>
      </c>
      <c r="E39">
        <v>942</v>
      </c>
      <c r="F39" t="str">
        <v>mm</v>
      </c>
    </row>
    <row r="40">
      <c r="B40" t="str">
        <v>Steel Required  Ast</v>
      </c>
      <c r="E40">
        <v>453.8399663006733</v>
      </c>
      <c r="F40" t="str">
        <v>mm2</v>
      </c>
    </row>
    <row r="41">
      <c r="B41" t="str">
        <v>Area Of One Bar</v>
      </c>
      <c r="E41">
        <v>200.96</v>
      </c>
      <c r="F41" t="str">
        <v>mm2</v>
      </c>
    </row>
    <row r="42">
      <c r="B42" t="str">
        <v>Spacing S</v>
      </c>
      <c r="E42">
        <v>442.799257275773</v>
      </c>
      <c r="F42" t="str">
        <v>mm</v>
      </c>
    </row>
    <row r="43">
      <c r="B43" t="str">
        <v>Provide  Bars Of Dia And Spacing</v>
      </c>
      <c r="C43">
        <v>16</v>
      </c>
      <c r="D43" t="str">
        <v>mm</v>
      </c>
      <c r="E43">
        <v>150</v>
      </c>
      <c r="F43" t="str">
        <v>mm</v>
      </c>
      <c r="G43" t="str">
        <v>Adopt spacing as 150 mm</v>
      </c>
    </row>
    <row r="44">
      <c r="B44" t="str">
        <v>Area Of Distribution Steel</v>
      </c>
      <c r="E44">
        <v>1884</v>
      </c>
      <c r="F44" t="str">
        <v>mm2</v>
      </c>
    </row>
    <row r="45">
      <c r="B45" t="str">
        <v xml:space="preserve">Dia Of Bar For Distribution Steel </v>
      </c>
      <c r="E45">
        <v>20</v>
      </c>
      <c r="F45" t="str">
        <v>mm</v>
      </c>
    </row>
    <row r="46">
      <c r="B46" t="str">
        <v>Area Of One Bar In Distribution Reinforcement</v>
      </c>
      <c r="E46">
        <v>314</v>
      </c>
      <c r="F46" t="str">
        <v>mm2</v>
      </c>
    </row>
    <row r="47">
      <c r="B47" t="str">
        <v>Using The Bars Spacing Required</v>
      </c>
      <c r="E47">
        <v>166.66666666666666</v>
      </c>
      <c r="F47" t="str">
        <v>mm</v>
      </c>
    </row>
    <row r="48">
      <c r="B48" t="str">
        <v>Provide  Bars Of Dia And Spacing</v>
      </c>
      <c r="C48">
        <v>16</v>
      </c>
      <c r="D48" t="str">
        <v>mm</v>
      </c>
      <c r="E48">
        <v>160</v>
      </c>
      <c r="F48" t="str">
        <v>mm</v>
      </c>
      <c r="G48" t="str">
        <v>Adopt spacing as 150 mm</v>
      </c>
    </row>
    <row r="50">
      <c r="B50" t="str">
        <v>Provide  Bars Of Dia And Spacing for Top Main Steel</v>
      </c>
      <c r="C50">
        <v>12</v>
      </c>
      <c r="D50" t="str">
        <v>mm</v>
      </c>
      <c r="E50">
        <v>150</v>
      </c>
      <c r="F50" t="str">
        <v>mm</v>
      </c>
    </row>
    <row r="51">
      <c r="B51" t="str">
        <v>Provide  Bars Of Dia And Spacing for Top Distribution Steel</v>
      </c>
      <c r="C51">
        <v>12</v>
      </c>
      <c r="D51" t="str">
        <v>mm</v>
      </c>
      <c r="E51">
        <v>150</v>
      </c>
      <c r="F51" t="str">
        <v>mm</v>
      </c>
    </row>
    <row r="52">
      <c r="A52" t="str">
        <v>CHECK FOR SHEAR</v>
      </c>
      <c r="C52" t="str">
        <v>(As per IRC 21-1987 Cl. 304.7)</v>
      </c>
    </row>
    <row r="53">
      <c r="B53" t="str">
        <v>Critical Section is at a distance equal to effective depth from pier face</v>
      </c>
      <c r="E53">
        <v>942</v>
      </c>
      <c r="F53" t="str">
        <v>mm</v>
      </c>
    </row>
    <row r="54">
      <c r="B54" t="str">
        <v>Section of Shear from end of pier</v>
      </c>
      <c r="E54">
        <v>0.05800000000000005</v>
      </c>
      <c r="F54" t="str">
        <v>m</v>
      </c>
    </row>
    <row r="55">
      <c r="B55" t="str">
        <v>Maximum Stress at Edge of Pier</v>
      </c>
      <c r="E55">
        <v>163.56</v>
      </c>
      <c r="F55" t="str">
        <v>kN/m2</v>
      </c>
    </row>
    <row r="56">
      <c r="B56" t="str">
        <v>Stress at the Section for Shear Check</v>
      </c>
      <c r="E56">
        <v>131.4894117647059</v>
      </c>
      <c r="F56" t="str">
        <v>kN/m2</v>
      </c>
    </row>
    <row r="57">
      <c r="B57" t="str">
        <v>Average Stress on Cantilevered Area</v>
      </c>
      <c r="E57">
        <v>147.52470588235295</v>
      </c>
      <c r="F57" t="str">
        <v>kN/m2</v>
      </c>
    </row>
    <row r="58">
      <c r="B58" t="str">
        <v>Shear Force</v>
      </c>
      <c r="E58">
        <v>8.556432941176478</v>
      </c>
      <c r="F58" t="str">
        <v>kN</v>
      </c>
    </row>
    <row r="59">
      <c r="B59" t="str">
        <v>V=V' + M/d tanB</v>
      </c>
      <c r="C59" t="str">
        <v>(B=0) Hence V =V'</v>
      </c>
    </row>
    <row r="60">
      <c r="B60" t="str">
        <v>Actual Shear Stress</v>
      </c>
      <c r="E60">
        <v>0.009083262145622587</v>
      </c>
      <c r="F60" t="str">
        <v>N/mm2</v>
      </c>
    </row>
    <row r="61">
      <c r="B61" t="str">
        <v>Percentage Steel</v>
      </c>
      <c r="C61" t="str">
        <v>100As/bd</v>
      </c>
      <c r="E61">
        <v>0.14222222222222222</v>
      </c>
    </row>
    <row r="62">
      <c r="B62" t="str">
        <v>Tc</v>
      </c>
      <c r="E62">
        <v>0.23</v>
      </c>
      <c r="F62" t="str">
        <v>N/mm2</v>
      </c>
    </row>
    <row r="63">
      <c r="B63" t="str">
        <v>k=1</v>
      </c>
    </row>
    <row r="64">
      <c r="B64" t="str">
        <v>Permissble Shear Stress = k Tc</v>
      </c>
      <c r="E64">
        <v>0.23</v>
      </c>
      <c r="F64" t="str">
        <v>N/mm2</v>
      </c>
    </row>
    <row r="65">
      <c r="D65" t="str">
        <v>&lt; Actual Shear Stress hence Shear Reinforcement should be provided</v>
      </c>
    </row>
    <row r="66">
      <c r="B66" t="str">
        <v>Dia Of two Legged Stirrups</v>
      </c>
      <c r="E66">
        <v>16</v>
      </c>
      <c r="F66" t="str">
        <v>mm</v>
      </c>
    </row>
    <row r="67">
      <c r="B67" t="str">
        <v>Area Of One Bar In Distribution Reinforcement</v>
      </c>
      <c r="E67">
        <v>200.96</v>
      </c>
      <c r="F67" t="str">
        <v>mm2</v>
      </c>
    </row>
    <row r="68">
      <c r="B68" t="str">
        <v>Using The Bars Spacing Required s= Asw ts d/V</v>
      </c>
      <c r="E68">
        <v>8849.68403545842</v>
      </c>
      <c r="F68" t="str">
        <v>mm</v>
      </c>
    </row>
    <row r="69">
      <c r="B69" t="str">
        <v>Provide  Bars Of Dia And Spacing</v>
      </c>
      <c r="C69">
        <v>16</v>
      </c>
      <c r="D69" t="str">
        <v>mm</v>
      </c>
      <c r="E69">
        <v>150</v>
      </c>
      <c r="F69" t="str">
        <v>mm</v>
      </c>
      <c r="G69" t="str">
        <v>Adopt spacing as 150 mm</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sheetData>
    <row r="1">
      <c r="E1">
        <f>D18-1</f>
        <v>4.1</v>
      </c>
      <c r="F1" t="str">
        <v>m</v>
      </c>
    </row>
    <row r="8">
      <c r="B8">
        <v>1</v>
      </c>
      <c r="C8" t="str">
        <v>m</v>
      </c>
      <c r="F8">
        <v>1</v>
      </c>
      <c r="G8" t="str">
        <v>m</v>
      </c>
    </row>
    <row r="18">
      <c r="D18">
        <v>5.1</v>
      </c>
      <c r="E18" t="str">
        <v>m</v>
      </c>
    </row>
    <row r="21">
      <c r="B21">
        <v>258.56357441323684</v>
      </c>
      <c r="C21" t="str">
        <v>m</v>
      </c>
    </row>
    <row r="25">
      <c r="E25">
        <v>131.4894117647059</v>
      </c>
    </row>
    <row r="26">
      <c r="E26" t="str">
        <v>kN/m2</v>
      </c>
      <c r="G26">
        <v>163.56</v>
      </c>
      <c r="H26" t="str">
        <v>kN/m2</v>
      </c>
    </row>
    <row r="29">
      <c r="D29" t="str">
        <v>STRESS DIAGRAM</v>
      </c>
    </row>
    <row r="31">
      <c r="A31" t="str">
        <v xml:space="preserve">DESIGN OF ABUTMENT FOOTING </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sheetData>
    <row r="1">
      <c r="A1" t="str">
        <v xml:space="preserve">DESIGN OF RETURN WALL FOOTING </v>
      </c>
    </row>
    <row r="2">
      <c r="A2" t="str">
        <v>HIGH LEVEL BRIDGE - ACROSS SIRVAL RIVER</v>
      </c>
    </row>
    <row r="3">
      <c r="A3" t="str">
        <v>REDISTRIBUTION OF PRESSURE</v>
      </c>
    </row>
    <row r="4">
      <c r="A4" t="str">
        <v>FOR WIND AT SERVICE CONDITION</v>
      </c>
    </row>
    <row r="5">
      <c r="B5" t="str">
        <v>BOTTOM WIDTH OF RETURN WALL</v>
      </c>
      <c r="D5">
        <v>0.9</v>
      </c>
      <c r="E5" t="str">
        <v>m</v>
      </c>
    </row>
    <row r="6">
      <c r="B6" t="str">
        <v xml:space="preserve">Length of footing </v>
      </c>
      <c r="C6" t="str">
        <v>lf</v>
      </c>
      <c r="D6">
        <v>1</v>
      </c>
      <c r="E6" t="str">
        <v>m</v>
      </c>
    </row>
    <row r="7">
      <c r="B7" t="str">
        <v>Width of Footing</v>
      </c>
      <c r="C7" t="str">
        <v>lb</v>
      </c>
      <c r="D7">
        <v>3.2</v>
      </c>
      <c r="E7" t="str">
        <v>m</v>
      </c>
    </row>
    <row r="8">
      <c r="B8" t="str">
        <v>Width of Abutment just above footing</v>
      </c>
      <c r="D8">
        <v>1.05</v>
      </c>
      <c r="E8" t="str">
        <v>m</v>
      </c>
    </row>
    <row r="9">
      <c r="B9" t="str">
        <v>Vertical Load</v>
      </c>
      <c r="C9" t="str">
        <v>P</v>
      </c>
      <c r="D9">
        <v>606.677</v>
      </c>
      <c r="E9" t="str">
        <v>kN</v>
      </c>
    </row>
    <row r="10">
      <c r="B10" t="str">
        <v>Longitudinal Moment</v>
      </c>
      <c r="C10" t="str">
        <v>Me</v>
      </c>
      <c r="D10">
        <v>1311.6490000000001</v>
      </c>
      <c r="E10" t="str">
        <v>kN-m</v>
      </c>
    </row>
    <row r="11">
      <c r="B11" t="str">
        <v>Transverse Moment</v>
      </c>
      <c r="C11" t="str">
        <v>Mb</v>
      </c>
      <c r="D11">
        <v>0</v>
      </c>
      <c r="E11" t="str">
        <v>kN-m</v>
      </c>
    </row>
    <row r="12">
      <c r="B12" t="str">
        <v>el</v>
      </c>
      <c r="C12" t="str">
        <v>= Me/P</v>
      </c>
      <c r="D12">
        <v>2.1620219655599273</v>
      </c>
      <c r="E12" t="str">
        <v>m</v>
      </c>
    </row>
    <row r="13">
      <c r="B13" t="str">
        <v>eb</v>
      </c>
      <c r="C13" t="str">
        <v>= Mb/P</v>
      </c>
      <c r="D13">
        <v>0</v>
      </c>
      <c r="E13" t="str">
        <v>m</v>
      </c>
    </row>
    <row r="14">
      <c r="B14" t="str">
        <v>el/lf</v>
      </c>
      <c r="D14">
        <v>2.1620219655599273</v>
      </c>
      <c r="E14" t="str">
        <v>Refer VK Raina "Concrete Bridge Practice : Analysis, Design and Economics " Chapter 14 "Evaluation of Base Presssure and Contact Area" Fig 14.2 &amp; 14.3</v>
      </c>
    </row>
    <row r="15">
      <c r="B15" t="str">
        <v>eb/lb</v>
      </c>
      <c r="D15">
        <v>0</v>
      </c>
    </row>
    <row r="16">
      <c r="B16" t="str">
        <v>K</v>
      </c>
      <c r="D16">
        <v>1</v>
      </c>
    </row>
    <row r="17">
      <c r="B17" t="str">
        <v>y</v>
      </c>
      <c r="D17">
        <v>0</v>
      </c>
    </row>
    <row r="18">
      <c r="B18" t="str">
        <v>Area in Tension = y x lb</v>
      </c>
      <c r="E18">
        <v>0</v>
      </c>
      <c r="F18" t="str">
        <v>m2</v>
      </c>
      <c r="G18">
        <v>0</v>
      </c>
      <c r="H18" t="str">
        <v>%</v>
      </c>
    </row>
    <row r="19">
      <c r="B19" t="str">
        <v>Maximum Pressure before Redistribution</v>
      </c>
      <c r="E19">
        <v>189.58656249999999</v>
      </c>
      <c r="F19" t="str">
        <v>kN/m2</v>
      </c>
    </row>
    <row r="20">
      <c r="C20">
        <v>200</v>
      </c>
      <c r="D20" t="str">
        <v>kN/m2 permissible HENCE OK.</v>
      </c>
    </row>
    <row r="21">
      <c r="B21" t="str">
        <v>Maximum Pressure After Redistribution = pxK</v>
      </c>
      <c r="E21">
        <v>189.58656249999999</v>
      </c>
      <c r="F21" t="str">
        <v>kN/m2</v>
      </c>
    </row>
    <row r="22">
      <c r="B22" t="str">
        <v>Maximum Stress at Edge of Pier</v>
      </c>
      <c r="E22">
        <v>189.58656249999999</v>
      </c>
      <c r="F22" t="str">
        <v>kN/m2</v>
      </c>
    </row>
    <row r="23">
      <c r="B23" t="str">
        <v>Distance From Face of Pier to the Edge</v>
      </c>
      <c r="E23">
        <v>0</v>
      </c>
      <c r="F23" t="str">
        <v>m</v>
      </c>
    </row>
    <row r="24">
      <c r="B24" t="str">
        <v>Stress at the Edge of Pier</v>
      </c>
      <c r="E24">
        <v>189.58656249999999</v>
      </c>
      <c r="F24" t="str">
        <v>kN/m2</v>
      </c>
    </row>
    <row r="25">
      <c r="B25" t="str">
        <v>Average Stress on Cantilevered Area</v>
      </c>
      <c r="E25">
        <v>189.58656249999999</v>
      </c>
      <c r="F25" t="str">
        <v>kN/m2</v>
      </c>
    </row>
    <row r="26">
      <c r="B26" t="str">
        <v>Area of the Cantilever Portion</v>
      </c>
      <c r="E26">
        <v>0</v>
      </c>
      <c r="F26" t="str">
        <v>m2</v>
      </c>
    </row>
    <row r="27">
      <c r="B27" t="str">
        <v>Distance of Centroid of the Stress in Cantilever Portion</v>
      </c>
      <c r="E27">
        <v>0</v>
      </c>
      <c r="F27" t="str">
        <v>m</v>
      </c>
    </row>
    <row r="28">
      <c r="B28" t="str">
        <v>Moment about the Face of Return</v>
      </c>
      <c r="E28">
        <v>0</v>
      </c>
      <c r="F28" t="str">
        <v>kN-m</v>
      </c>
    </row>
    <row r="29">
      <c r="B29" t="str">
        <v>CONCRETE GRADE</v>
      </c>
      <c r="E29" t="str">
        <v>M-25</v>
      </c>
    </row>
    <row r="30">
      <c r="B30" t="str">
        <v>FOR THIS GRADE scbc</v>
      </c>
      <c r="E30">
        <v>10</v>
      </c>
      <c r="F30" t="str">
        <v>N/mm2</v>
      </c>
    </row>
    <row r="31">
      <c r="B31" t="str">
        <v>m</v>
      </c>
      <c r="E31">
        <v>9.333333333333334</v>
      </c>
    </row>
    <row r="32">
      <c r="B32" t="str">
        <v>sst</v>
      </c>
      <c r="E32">
        <v>200</v>
      </c>
    </row>
    <row r="33">
      <c r="B33" t="str">
        <v>factor k</v>
      </c>
      <c r="E33">
        <v>0.3181818181818182</v>
      </c>
    </row>
    <row r="34">
      <c r="B34" t="str">
        <v>j</v>
      </c>
      <c r="E34">
        <v>0.8939393939393939</v>
      </c>
    </row>
    <row r="35">
      <c r="B35" t="str">
        <v>R</v>
      </c>
      <c r="E35">
        <v>1.4221763085399448</v>
      </c>
    </row>
    <row r="36">
      <c r="B36" t="str">
        <v>Effective Depth Required</v>
      </c>
      <c r="E36">
        <v>0</v>
      </c>
      <c r="F36" t="str">
        <v>mm</v>
      </c>
    </row>
    <row r="37">
      <c r="B37" t="str">
        <v xml:space="preserve">Adopt Total Depth </v>
      </c>
      <c r="E37">
        <v>500</v>
      </c>
      <c r="F37" t="str">
        <v>mm</v>
      </c>
    </row>
    <row r="38">
      <c r="B38" t="str">
        <v>Cover</v>
      </c>
      <c r="E38">
        <v>50</v>
      </c>
      <c r="F38" t="str">
        <v>mm</v>
      </c>
    </row>
    <row r="39">
      <c r="B39" t="str">
        <v>Assume Bar Dia</v>
      </c>
      <c r="E39">
        <v>16</v>
      </c>
      <c r="F39" t="str">
        <v>mm</v>
      </c>
    </row>
    <row r="40">
      <c r="B40" t="str">
        <v>Keeping A Cover Of 50 mm Effective Depth</v>
      </c>
      <c r="E40">
        <v>442</v>
      </c>
      <c r="F40" t="str">
        <v>mm</v>
      </c>
    </row>
    <row r="41">
      <c r="B41" t="str">
        <v>Adopt Effective Depth</v>
      </c>
      <c r="E41">
        <v>442</v>
      </c>
      <c r="F41" t="str">
        <v>mm</v>
      </c>
    </row>
    <row r="42">
      <c r="B42" t="str">
        <v>Steel Required  Ast</v>
      </c>
      <c r="E42">
        <v>0</v>
      </c>
      <c r="F42" t="str">
        <v>mm2</v>
      </c>
    </row>
    <row r="43">
      <c r="B43" t="str">
        <v>Area Of One Bar</v>
      </c>
      <c r="E43">
        <v>200.96</v>
      </c>
      <c r="F43" t="str">
        <v>mm2</v>
      </c>
    </row>
    <row r="44">
      <c r="B44" t="str">
        <v>Spacing S</v>
      </c>
      <c r="E44" t="e">
        <v>#DIV/0!</v>
      </c>
      <c r="F44" t="str">
        <v>mm</v>
      </c>
    </row>
    <row r="45">
      <c r="B45" t="str">
        <v>Provide  Bars Of Dia And Spacing</v>
      </c>
      <c r="C45">
        <v>16</v>
      </c>
      <c r="D45" t="str">
        <v>mm</v>
      </c>
      <c r="E45">
        <v>150</v>
      </c>
      <c r="F45" t="str">
        <v>mm</v>
      </c>
      <c r="G45" t="str">
        <v>Adopt spacing as 150 mm</v>
      </c>
    </row>
    <row r="46">
      <c r="B46" t="str">
        <v>Area Of Distribution Steel</v>
      </c>
      <c r="E46">
        <v>884</v>
      </c>
      <c r="F46" t="str">
        <v>mm2</v>
      </c>
    </row>
    <row r="47">
      <c r="B47" t="str">
        <v xml:space="preserve">Dia Of Bar For Distribution Steel </v>
      </c>
      <c r="E47">
        <v>16</v>
      </c>
      <c r="F47" t="str">
        <v>mm</v>
      </c>
    </row>
    <row r="48">
      <c r="B48" t="str">
        <v>Area Of One Bar In Distribution Reinforcement</v>
      </c>
      <c r="E48">
        <v>200.96</v>
      </c>
      <c r="F48" t="str">
        <v>mm2</v>
      </c>
    </row>
    <row r="49">
      <c r="B49" t="str">
        <v>Using The Bars Spacing Required</v>
      </c>
      <c r="E49">
        <v>227.33031674208144</v>
      </c>
      <c r="F49" t="str">
        <v>mm</v>
      </c>
    </row>
    <row r="50">
      <c r="B50" t="str">
        <v>Provide  Bars Of Dia And Spacing</v>
      </c>
      <c r="C50">
        <v>16</v>
      </c>
      <c r="D50" t="str">
        <v>mm</v>
      </c>
      <c r="E50">
        <v>220</v>
      </c>
      <c r="F50" t="str">
        <v>mm</v>
      </c>
      <c r="G50" t="str">
        <v>Adopt spacing as 2000 mm</v>
      </c>
    </row>
    <row r="52">
      <c r="B52" t="str">
        <v>Provide  Bars Of Dia And Spacing for Top Main Steel</v>
      </c>
      <c r="C52">
        <v>12</v>
      </c>
      <c r="D52" t="str">
        <v>mm</v>
      </c>
      <c r="E52">
        <v>150</v>
      </c>
      <c r="F52" t="str">
        <v>mm</v>
      </c>
    </row>
    <row r="53">
      <c r="B53" t="str">
        <v>Provide  Bars Of Dia And Spacing for Top Distribution Steel</v>
      </c>
      <c r="C53">
        <v>12</v>
      </c>
      <c r="D53" t="str">
        <v>mm</v>
      </c>
      <c r="E53">
        <v>150</v>
      </c>
      <c r="F53" t="str">
        <v>mm</v>
      </c>
    </row>
    <row r="54">
      <c r="A54" t="str">
        <v>CHECK FOR SHEAR</v>
      </c>
      <c r="C54" t="str">
        <v>(As per IRC 21-1987 Cl. 304.7)</v>
      </c>
    </row>
    <row r="55">
      <c r="B55" t="str">
        <v>Critical Section is at a distance equal to effective depth from pier face</v>
      </c>
      <c r="E55">
        <v>442</v>
      </c>
      <c r="F55" t="str">
        <v>mm</v>
      </c>
    </row>
    <row r="56">
      <c r="B56" t="str">
        <v>Section of Shear from end of pier</v>
      </c>
      <c r="E56">
        <v>-0.442</v>
      </c>
      <c r="F56" t="str">
        <v>m</v>
      </c>
    </row>
    <row r="57">
      <c r="B57" t="str">
        <v>Maximum Stress at Edge of Pier</v>
      </c>
      <c r="E57">
        <v>189.58656249999999</v>
      </c>
      <c r="F57" t="str">
        <v>kN/m2</v>
      </c>
    </row>
    <row r="58">
      <c r="B58" t="str">
        <v>Stress at the Section for Shear Check</v>
      </c>
      <c r="E58">
        <v>189.58656249999999</v>
      </c>
      <c r="F58" t="str">
        <v>kN/m2</v>
      </c>
    </row>
    <row r="59">
      <c r="B59" t="str">
        <v>Average Stress on Cantilevered Area</v>
      </c>
      <c r="E59">
        <v>189.58656249999999</v>
      </c>
      <c r="F59" t="str">
        <v>kN/m2</v>
      </c>
    </row>
    <row r="60">
      <c r="B60" t="str">
        <v>Shear Force</v>
      </c>
      <c r="E60">
        <v>-83.79726062499999</v>
      </c>
      <c r="F60" t="str">
        <v>kN</v>
      </c>
    </row>
    <row r="61">
      <c r="B61" t="str">
        <v>V=V' + M/d tanB</v>
      </c>
      <c r="C61" t="str">
        <v>(B=0) Hence V =V'</v>
      </c>
    </row>
    <row r="62">
      <c r="B62" t="str">
        <v>Actual Shear Stress</v>
      </c>
      <c r="E62">
        <v>-0.18958656249999997</v>
      </c>
      <c r="F62" t="str">
        <v>N/mm2</v>
      </c>
    </row>
    <row r="63">
      <c r="B63" t="str">
        <v>Percentage Steel</v>
      </c>
      <c r="C63" t="str">
        <v>100As/bd</v>
      </c>
      <c r="E63">
        <v>0.30310708898944194</v>
      </c>
    </row>
    <row r="64">
      <c r="B64" t="str">
        <v>Tc</v>
      </c>
      <c r="E64">
        <v>0.23</v>
      </c>
      <c r="F64" t="str">
        <v>N/mm2</v>
      </c>
    </row>
    <row r="65">
      <c r="B65" t="str">
        <v>k=1</v>
      </c>
    </row>
    <row r="66">
      <c r="B66" t="str">
        <v>Permissble Shear Stress = k Tc</v>
      </c>
      <c r="E66">
        <v>0.23</v>
      </c>
      <c r="F66" t="str">
        <v>N/mm2</v>
      </c>
    </row>
    <row r="67">
      <c r="D67" t="str">
        <v>&lt; Actual Shear Stress hence Shear Reinforcement should be provided</v>
      </c>
    </row>
    <row r="68">
      <c r="B68" t="str">
        <v>Dia Of two Legged Stirrups</v>
      </c>
      <c r="E68">
        <v>12</v>
      </c>
      <c r="F68" t="str">
        <v>mm</v>
      </c>
    </row>
    <row r="69">
      <c r="B69" t="str">
        <v>Area Of One Bar In Distribution Reinforcement</v>
      </c>
      <c r="E69">
        <v>113.03999999999999</v>
      </c>
      <c r="F69" t="str">
        <v>mm2</v>
      </c>
    </row>
    <row r="70">
      <c r="B70" t="str">
        <v>Using The Bars Spacing Required s= Asw ts d/V</v>
      </c>
      <c r="E70">
        <v>-238.49791569484256</v>
      </c>
      <c r="F70" t="str">
        <v>mm</v>
      </c>
    </row>
    <row r="71">
      <c r="B71" t="str">
        <v>Provide  Bars Of Dia And Spacing</v>
      </c>
      <c r="C71">
        <v>12</v>
      </c>
      <c r="D71" t="str">
        <v>mm</v>
      </c>
      <c r="E71">
        <v>250</v>
      </c>
      <c r="F71" t="str">
        <v>mm</v>
      </c>
      <c r="G71" t="str">
        <v>Adopt spacing as 250 mm</v>
      </c>
    </row>
    <row r="73">
      <c r="C73" t="str">
        <v>WIDTH OF RETURN WALL</v>
      </c>
      <c r="E73">
        <v>900</v>
      </c>
      <c r="F73" t="str">
        <v>MM</v>
      </c>
    </row>
    <row r="74">
      <c r="C74" t="str">
        <v xml:space="preserve">Footing size </v>
      </c>
      <c r="D74">
        <v>3.2</v>
      </c>
      <c r="E74" t="str">
        <v>x</v>
      </c>
      <c r="F74">
        <v>0.5</v>
      </c>
      <c r="G74" t="str">
        <v>M</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sheetData>
    <row r="1">
      <c r="A1" t="str">
        <v xml:space="preserve">REINFORCEMENT CALCULATION IN CANTILEVER ABUTMENT </v>
      </c>
    </row>
    <row r="2">
      <c r="A2" t="str">
        <v>FOR SERVICE CONDITION</v>
      </c>
    </row>
    <row r="3">
      <c r="B3" t="str">
        <v>VERTICAL LOADS</v>
      </c>
    </row>
    <row r="4">
      <c r="B4" t="str">
        <v xml:space="preserve">     (Span loaded condition)</v>
      </c>
      <c r="C4" t="str">
        <v>=</v>
      </c>
      <c r="D4">
        <v>606.677</v>
      </c>
      <c r="E4" t="str">
        <v>kN</v>
      </c>
    </row>
    <row r="5">
      <c r="B5" t="str">
        <v>LONGITUDINAL MOMENT</v>
      </c>
    </row>
    <row r="6">
      <c r="B6" t="str">
        <v>Moment @ R. L.</v>
      </c>
      <c r="C6" t="e">
        <v>#REF!</v>
      </c>
      <c r="D6" t="str">
        <v>M =</v>
      </c>
      <c r="E6">
        <v>1311.6490000000001</v>
      </c>
      <c r="F6" t="str">
        <v>kN-m</v>
      </c>
    </row>
    <row r="7">
      <c r="B7" t="str">
        <v>LONGITUDINAL MOMENT Due To Braking Force</v>
      </c>
      <c r="C7" t="str">
        <v>=</v>
      </c>
      <c r="D7">
        <v>423.33568130580323</v>
      </c>
      <c r="E7" t="str">
        <v>+</v>
      </c>
      <c r="F7">
        <v>244.25331736526948</v>
      </c>
      <c r="G7" t="str">
        <v>=</v>
      </c>
      <c r="H7">
        <v>667.5889986710727</v>
      </c>
      <c r="I7" t="str">
        <v>kN-m</v>
      </c>
    </row>
    <row r="8">
      <c r="B8" t="str">
        <v>TRANSVERSE MOMENT due to Braking Force and water current</v>
      </c>
      <c r="C8" t="str">
        <v>=</v>
      </c>
      <c r="D8">
        <v>423.33568130580323</v>
      </c>
      <c r="E8" t="str">
        <v>+</v>
      </c>
      <c r="F8">
        <v>1123.9405976047906</v>
      </c>
      <c r="G8" t="str">
        <v>=</v>
      </c>
      <c r="H8">
        <v>1547.2762789105939</v>
      </c>
      <c r="I8" t="str">
        <v>kN-m</v>
      </c>
    </row>
    <row r="9">
      <c r="F9" t="str">
        <v>One Slab only</v>
      </c>
    </row>
    <row r="11">
      <c r="B11" t="str">
        <v>TOTAL TRANSVERSE MOMENT</v>
      </c>
      <c r="C11" t="str">
        <v>=</v>
      </c>
      <c r="D11">
        <v>1547.2762789105939</v>
      </c>
      <c r="G11" t="str">
        <v>=</v>
      </c>
      <c r="H11">
        <v>1547.2762789105939</v>
      </c>
      <c r="I11" t="str">
        <v>kN-m</v>
      </c>
    </row>
    <row r="12">
      <c r="B12" t="str">
        <v>TOTAL LONGITUDINAL MOMENT</v>
      </c>
      <c r="C12" t="str">
        <v>=</v>
      </c>
      <c r="D12">
        <v>1311.6490000000001</v>
      </c>
      <c r="E12" t="str">
        <v>+</v>
      </c>
      <c r="F12">
        <v>667.5889986710727</v>
      </c>
      <c r="G12" t="str">
        <v>=</v>
      </c>
      <c r="H12">
        <v>1979.2379986710728</v>
      </c>
      <c r="I12" t="str">
        <v>kN-m</v>
      </c>
    </row>
    <row r="13">
      <c r="B13" t="str">
        <v>CONCRETE MIX</v>
      </c>
      <c r="D13" t="str">
        <v>M-25</v>
      </c>
    </row>
    <row r="14">
      <c r="B14" t="str">
        <v>CHARACTERISTIC STRENGTH OF REINFORCEMENT</v>
      </c>
      <c r="F14">
        <v>415</v>
      </c>
      <c r="G14" t="str">
        <v>N/mm2</v>
      </c>
    </row>
    <row r="15">
      <c r="B15" t="str">
        <v>PERMISSIBLE STRESSES</v>
      </c>
    </row>
    <row r="16">
      <c r="B16" t="str">
        <v>IN STEEL</v>
      </c>
      <c r="D16">
        <v>190</v>
      </c>
    </row>
    <row r="17">
      <c r="B17" t="str">
        <v>IN CONCRETE</v>
      </c>
    </row>
    <row r="18">
      <c r="B18" t="str">
        <v>CHARACTERISTIC STRENGTH OF Concrete</v>
      </c>
      <c r="D18" t="str">
        <v>fck</v>
      </c>
      <c r="E18" t="str">
        <v>=</v>
      </c>
      <c r="F18">
        <v>30</v>
      </c>
      <c r="G18" t="str">
        <v>N/mm2</v>
      </c>
    </row>
    <row r="19">
      <c r="B19" t="str">
        <v>Permissible Compressive Stress in Bending</v>
      </c>
      <c r="D19" t="str">
        <v>σcbc</v>
      </c>
      <c r="E19" t="str">
        <v>=</v>
      </c>
      <c r="F19">
        <v>8</v>
      </c>
      <c r="G19" t="str">
        <v>N/mm2</v>
      </c>
    </row>
    <row r="20">
      <c r="B20" t="str">
        <v>Permissible Compressive Stress in Direct Compression</v>
      </c>
      <c r="D20" t="str">
        <v>σcc</v>
      </c>
      <c r="E20" t="str">
        <v>=</v>
      </c>
      <c r="F20">
        <v>8</v>
      </c>
      <c r="G20" t="str">
        <v>N/mm2</v>
      </c>
    </row>
    <row r="21">
      <c r="D21" t="str">
        <v>σct</v>
      </c>
      <c r="E21" t="str">
        <v>=</v>
      </c>
      <c r="F21">
        <v>3.6</v>
      </c>
      <c r="G21" t="str">
        <v>N/mm2</v>
      </c>
    </row>
    <row r="22">
      <c r="B22" t="str">
        <v xml:space="preserve">Ultimate Axial Load PU </v>
      </c>
      <c r="C22" t="str">
        <v>=</v>
      </c>
      <c r="D22">
        <v>1.5</v>
      </c>
      <c r="E22" t="str">
        <v>X</v>
      </c>
      <c r="F22">
        <v>606.677</v>
      </c>
      <c r="G22" t="str">
        <v>=</v>
      </c>
      <c r="H22">
        <v>910.0155</v>
      </c>
      <c r="I22" t="str">
        <v>kN</v>
      </c>
    </row>
    <row r="23">
      <c r="B23" t="str">
        <v xml:space="preserve">Ultimate Longitudinal Moment MU </v>
      </c>
      <c r="C23" t="str">
        <v>=</v>
      </c>
      <c r="D23">
        <v>1.5</v>
      </c>
      <c r="E23" t="str">
        <v>X</v>
      </c>
      <c r="F23">
        <v>1979.2379986710728</v>
      </c>
      <c r="G23" t="str">
        <v>=</v>
      </c>
      <c r="H23">
        <v>2968.856998006609</v>
      </c>
      <c r="I23" t="str">
        <v>kN-m</v>
      </c>
    </row>
    <row r="24">
      <c r="B24" t="str">
        <v xml:space="preserve">Ultimate Transverse Moment MU </v>
      </c>
      <c r="C24" t="str">
        <v>=</v>
      </c>
      <c r="D24">
        <v>1.5</v>
      </c>
      <c r="E24" t="str">
        <v>X</v>
      </c>
      <c r="F24">
        <v>1547.2762789105939</v>
      </c>
      <c r="G24" t="str">
        <v>=</v>
      </c>
      <c r="H24">
        <v>2320.914418365891</v>
      </c>
      <c r="I24" t="str">
        <v>kN-m</v>
      </c>
    </row>
    <row r="25">
      <c r="B25" t="str">
        <v>INCREASE WHEN WIND CONDITION IS CONSIDERED</v>
      </c>
      <c r="F25">
        <v>33.33</v>
      </c>
      <c r="G25" t="str">
        <v>%</v>
      </c>
    </row>
    <row r="26">
      <c r="B26" t="str">
        <v>Neglecting area of Cut and Ease water parts Rectangular Section considered is</v>
      </c>
    </row>
    <row r="27">
      <c r="C27">
        <v>1000</v>
      </c>
      <c r="D27" t="str">
        <v xml:space="preserve"> mm x</v>
      </c>
      <c r="E27">
        <v>1050</v>
      </c>
      <c r="F27" t="str">
        <v>mm</v>
      </c>
    </row>
    <row r="28">
      <c r="C28" t="str">
        <v>Assume cover as</v>
      </c>
      <c r="D28">
        <v>75</v>
      </c>
    </row>
    <row r="29">
      <c r="B29" t="str">
        <v>d1/d</v>
      </c>
      <c r="C29" t="str">
        <v>=</v>
      </c>
      <c r="D29">
        <v>83</v>
      </c>
      <c r="E29" t="str">
        <v>/</v>
      </c>
      <c r="F29">
        <v>1050</v>
      </c>
      <c r="G29" t="str">
        <v>=</v>
      </c>
      <c r="H29">
        <v>0.07904761904761905</v>
      </c>
    </row>
    <row r="30">
      <c r="B30" t="str">
        <v>PU/(fck b d)</v>
      </c>
      <c r="C30" t="str">
        <v>=</v>
      </c>
      <c r="D30">
        <v>910.0155</v>
      </c>
      <c r="E30" t="str">
        <v>x</v>
      </c>
      <c r="F30">
        <v>1000</v>
      </c>
      <c r="G30" t="str">
        <v>/ (</v>
      </c>
      <c r="H30">
        <v>30</v>
      </c>
      <c r="I30" t="str">
        <v>x</v>
      </c>
      <c r="J30">
        <v>1000</v>
      </c>
      <c r="K30" t="str">
        <v xml:space="preserve">x </v>
      </c>
      <c r="L30">
        <v>1050</v>
      </c>
      <c r="M30" t="str">
        <v>)</v>
      </c>
    </row>
    <row r="31">
      <c r="C31" t="str">
        <v>=</v>
      </c>
      <c r="D31">
        <v>0.02888938095238095</v>
      </c>
    </row>
    <row r="32">
      <c r="B32" t="str">
        <v>FOR LONGITUDINAL MOMENT</v>
      </c>
    </row>
    <row r="33">
      <c r="B33" t="str">
        <v>Mu/(fck b d2)</v>
      </c>
      <c r="C33" t="str">
        <v>=</v>
      </c>
      <c r="D33">
        <v>2968.856998006609</v>
      </c>
      <c r="E33" t="str">
        <v>x</v>
      </c>
      <c r="F33">
        <v>1000000</v>
      </c>
      <c r="G33" t="str">
        <v>/ (</v>
      </c>
      <c r="H33">
        <v>30</v>
      </c>
      <c r="I33" t="str">
        <v>x</v>
      </c>
      <c r="J33">
        <v>1000</v>
      </c>
      <c r="K33" t="str">
        <v xml:space="preserve">x </v>
      </c>
      <c r="L33">
        <v>1050</v>
      </c>
      <c r="M33" t="str">
        <v>2 )</v>
      </c>
    </row>
    <row r="34">
      <c r="C34" t="str">
        <v>=</v>
      </c>
      <c r="D34">
        <v>0.08976136048394888</v>
      </c>
    </row>
    <row r="35">
      <c r="B35" t="str">
        <v>Refer Chart 31 &amp; 32  of Design Aids for Reinforced concrete SP-16 the point lies below the range of applicability. Hence provide minimum percentage of steel.</v>
      </c>
    </row>
    <row r="36">
      <c r="B36" t="str">
        <v>The point lies below the range of applicability. Hence provide minimum percentage of steel</v>
      </c>
    </row>
    <row r="37">
      <c r="B37" t="str">
        <v>CRITERIA 1 FOR MINIMUM STEEL Pt = 0.8 % OF CROSS SECTION AREA OF COLUMN REQUIRED FOR COMPRESSION</v>
      </c>
    </row>
    <row r="39">
      <c r="B39" t="str">
        <v>Area Required due to Compression =</v>
      </c>
      <c r="D39">
        <v>910.0155</v>
      </c>
      <c r="E39" t="str">
        <v>x</v>
      </c>
      <c r="F39">
        <v>1000</v>
      </c>
      <c r="G39" t="str">
        <v>/</v>
      </c>
      <c r="H39">
        <v>8</v>
      </c>
    </row>
    <row r="40">
      <c r="C40" t="str">
        <v>=</v>
      </c>
      <c r="D40">
        <v>113751.9375</v>
      </c>
      <c r="E40" t="str">
        <v>mm2</v>
      </c>
    </row>
    <row r="41">
      <c r="B41" t="str">
        <v>Area of steel @ 0.8% =</v>
      </c>
      <c r="C41">
        <v>0.8</v>
      </c>
      <c r="D41" t="str">
        <v>x</v>
      </c>
      <c r="E41">
        <v>113751.9375</v>
      </c>
      <c r="F41" t="str">
        <v>/</v>
      </c>
      <c r="G41">
        <v>100</v>
      </c>
    </row>
    <row r="42">
      <c r="C42" t="str">
        <v>=</v>
      </c>
      <c r="D42">
        <v>910.0155</v>
      </c>
      <c r="E42" t="str">
        <v>mm2</v>
      </c>
    </row>
    <row r="44">
      <c r="B44" t="str">
        <v xml:space="preserve">CRITERIA 2 FOR MINIMUM STEEL Pt = 0.3 % OF GROSS SECTION AREA OF COLUMN </v>
      </c>
    </row>
    <row r="45">
      <c r="B45" t="str">
        <v>Area of steel @ 0.3% =</v>
      </c>
      <c r="C45">
        <v>0.3</v>
      </c>
      <c r="D45" t="str">
        <v>x</v>
      </c>
      <c r="E45">
        <v>1000</v>
      </c>
      <c r="F45" t="str">
        <v xml:space="preserve">x </v>
      </c>
      <c r="G45">
        <v>1050</v>
      </c>
      <c r="H45" t="str">
        <v>/</v>
      </c>
      <c r="I45">
        <v>100</v>
      </c>
    </row>
    <row r="46">
      <c r="C46" t="str">
        <v>=</v>
      </c>
      <c r="D46">
        <v>3150</v>
      </c>
      <c r="E46" t="str">
        <v>mm2</v>
      </c>
    </row>
    <row r="47">
      <c r="B47" t="str">
        <v>PROVIDE STEEL AREA</v>
      </c>
      <c r="C47" t="str">
        <v>=</v>
      </c>
      <c r="D47">
        <v>3150</v>
      </c>
      <c r="E47" t="str">
        <v>mm2</v>
      </c>
    </row>
    <row r="48">
      <c r="B48" t="str">
        <v xml:space="preserve">NO. OF </v>
      </c>
      <c r="C48">
        <v>16</v>
      </c>
      <c r="D48" t="str">
        <v>MM BARS</v>
      </c>
      <c r="E48" t="str">
        <v>=</v>
      </c>
      <c r="F48">
        <v>15.674761146496815</v>
      </c>
      <c r="G48" t="str">
        <v>Nos.</v>
      </c>
    </row>
    <row r="49">
      <c r="B49" t="str">
        <v>SPACING</v>
      </c>
      <c r="C49" t="str">
        <v>=</v>
      </c>
      <c r="D49">
        <v>260</v>
      </c>
      <c r="E49" t="str">
        <v>MM</v>
      </c>
    </row>
    <row r="50">
      <c r="B50" t="str">
        <v>FOR TRANSVERSE MOMENT</v>
      </c>
    </row>
    <row r="52">
      <c r="B52" t="str">
        <v>Mu/(fck b d2)</v>
      </c>
      <c r="C52" t="str">
        <v>=</v>
      </c>
      <c r="D52">
        <v>2320.914418365891</v>
      </c>
      <c r="E52" t="str">
        <v>x</v>
      </c>
      <c r="F52">
        <v>1000000</v>
      </c>
      <c r="G52" t="str">
        <v>/ (</v>
      </c>
      <c r="H52">
        <v>30</v>
      </c>
      <c r="I52" t="str">
        <v>x</v>
      </c>
    </row>
    <row r="53">
      <c r="E53">
        <v>1000</v>
      </c>
      <c r="F53" t="str">
        <v xml:space="preserve">x </v>
      </c>
      <c r="G53">
        <v>1050</v>
      </c>
      <c r="H53" t="str">
        <v>2 )</v>
      </c>
    </row>
    <row r="54">
      <c r="C54" t="str">
        <v>=</v>
      </c>
      <c r="D54">
        <v>0.07017125981453941</v>
      </c>
    </row>
    <row r="55">
      <c r="B55" t="str">
        <v>Refer Chart 31 &amp; 32  of Design Aids for Reinforced concrete SP-16 the point lies below the range of applicability. Hence provide minimum percentage of steel.</v>
      </c>
    </row>
    <row r="56">
      <c r="B56" t="str">
        <v>TRANSVERSE REINFORCEMENT</v>
      </c>
    </row>
    <row r="57">
      <c r="B57" t="str">
        <v>Shear Force to be resisted by the pier In Accordance to IS 1893</v>
      </c>
    </row>
    <row r="58">
      <c r="C58">
        <v>2320.914418365891</v>
      </c>
      <c r="D58" t="str">
        <v>/</v>
      </c>
      <c r="E58">
        <v>4.498000000000005</v>
      </c>
      <c r="F58" t="str">
        <v>=</v>
      </c>
      <c r="G58">
        <v>515.9880876758311</v>
      </c>
      <c r="H58" t="str">
        <v>kN</v>
      </c>
    </row>
    <row r="59">
      <c r="A59" t="str">
        <v xml:space="preserve">Check for Shear </v>
      </c>
    </row>
    <row r="60">
      <c r="B60" t="str">
        <v>Nominal Shear Stress =</v>
      </c>
      <c r="C60">
        <v>515.9880876758311</v>
      </c>
      <c r="D60" t="str">
        <v>x</v>
      </c>
      <c r="E60">
        <v>1000</v>
      </c>
      <c r="F60" t="str">
        <v>/ (</v>
      </c>
      <c r="G60">
        <v>1000</v>
      </c>
      <c r="H60" t="str">
        <v>x</v>
      </c>
      <c r="I60">
        <v>1050</v>
      </c>
      <c r="J60" t="str">
        <v>)</v>
      </c>
    </row>
    <row r="61">
      <c r="C61" t="str">
        <v>=</v>
      </c>
      <c r="D61">
        <v>0.49141722635793444</v>
      </c>
      <c r="E61" t="str">
        <v>N/mm2</v>
      </c>
    </row>
    <row r="62">
      <c r="B62" t="str">
        <v>Pt</v>
      </c>
      <c r="C62">
        <v>0.3</v>
      </c>
    </row>
    <row r="63">
      <c r="B63" t="str">
        <v>Permissible Shear Stress =</v>
      </c>
      <c r="C63">
        <v>0.4</v>
      </c>
      <c r="D63" t="str">
        <v>N/mm2</v>
      </c>
      <c r="E63" t="str">
        <v>Refer table 61</v>
      </c>
    </row>
    <row r="64">
      <c r="B64" t="str">
        <v>Nominal Shear Reinforcement will suffice</v>
      </c>
    </row>
    <row r="65">
      <c r="B65" t="str">
        <v>According to IRC 21-1987 Clause 306.3</v>
      </c>
    </row>
    <row r="66">
      <c r="B66" t="str">
        <v>Dia of Transverse Reinforcement</v>
      </c>
      <c r="C66" t="str">
        <v>=</v>
      </c>
      <c r="D66">
        <v>16</v>
      </c>
      <c r="E66" t="str">
        <v>/</v>
      </c>
      <c r="F66">
        <v>4</v>
      </c>
      <c r="G66" t="str">
        <v>=</v>
      </c>
      <c r="H66">
        <v>4</v>
      </c>
      <c r="I66" t="str">
        <v>mm</v>
      </c>
    </row>
    <row r="67">
      <c r="B67" t="str">
        <v>Provide</v>
      </c>
      <c r="C67">
        <v>12</v>
      </c>
      <c r="D67" t="str">
        <v>mm dia rings</v>
      </c>
    </row>
    <row r="68">
      <c r="B68" t="str">
        <v>Pitch of the Transverse should be least of</v>
      </c>
    </row>
    <row r="69">
      <c r="B69" t="str">
        <v>a) Least lateral Dimension =</v>
      </c>
      <c r="C69">
        <v>1050</v>
      </c>
      <c r="D69" t="str">
        <v>mm</v>
      </c>
    </row>
    <row r="70">
      <c r="B70" t="str">
        <v>b) 12 d =</v>
      </c>
      <c r="C70">
        <v>12</v>
      </c>
      <c r="D70" t="str">
        <v>x</v>
      </c>
      <c r="E70">
        <v>12</v>
      </c>
      <c r="F70" t="str">
        <v>=</v>
      </c>
      <c r="G70">
        <v>144</v>
      </c>
      <c r="H70" t="str">
        <v>mm</v>
      </c>
    </row>
    <row r="71">
      <c r="B71" t="str">
        <v>c) 300 mm =</v>
      </c>
      <c r="C71">
        <v>300</v>
      </c>
      <c r="D71" t="str">
        <v>mm</v>
      </c>
    </row>
    <row r="72">
      <c r="B72" t="str">
        <v>d) As per IS IS 13920:1993 Cl. 7.4.6</v>
      </c>
      <c r="C72" t="str">
        <v>&lt; or =</v>
      </c>
      <c r="D72">
        <v>100</v>
      </c>
      <c r="E72" t="str">
        <v>mm</v>
      </c>
    </row>
    <row r="73">
      <c r="B73" t="str">
        <v>Provide</v>
      </c>
      <c r="C73">
        <v>12</v>
      </c>
      <c r="D73" t="str">
        <v>mm dia rings @</v>
      </c>
      <c r="F73">
        <v>100</v>
      </c>
      <c r="G73" t="str">
        <v>mm c/c.</v>
      </c>
    </row>
    <row r="74">
      <c r="B74" t="str">
        <v>This spacing is in accordance to IS 13920:1993 Cl. 7.4.6</v>
      </c>
    </row>
    <row r="75">
      <c r="B75" t="str">
        <v>CODE OF PRACTICE FOR DUCTILE DETAILING OF REINFORCED CONCRETE STRUCTURES SUBJECTED TO SEISMIC FORCES</v>
      </c>
    </row>
    <row r="76">
      <c r="B76" t="str">
        <v>Check for Size of Hoop Reinforcement</v>
      </c>
      <c r="D76" t="str">
        <v>Refer IS 13920:1993 Cl. 7.4.8</v>
      </c>
    </row>
    <row r="77">
      <c r="C77" t="str">
        <v>Ash= 0.18 Sh (Fck/Fy)x(Ag/Ak-1)</v>
      </c>
    </row>
    <row r="78">
      <c r="B78" t="str">
        <v>S</v>
      </c>
      <c r="C78" t="str">
        <v>=</v>
      </c>
      <c r="D78">
        <v>100</v>
      </c>
      <c r="E78" t="str">
        <v>mm</v>
      </c>
    </row>
    <row r="79">
      <c r="B79" t="str">
        <v>h</v>
      </c>
      <c r="C79" t="str">
        <v>=</v>
      </c>
      <c r="D79">
        <v>300</v>
      </c>
      <c r="E79" t="str">
        <v>N/mm2</v>
      </c>
      <c r="F79" t="str">
        <v>(Spacing of long. bars+ effective cover) or 300 mm whichever is less</v>
      </c>
    </row>
    <row r="80">
      <c r="B80" t="str">
        <v>Fck</v>
      </c>
      <c r="C80" t="str">
        <v>=</v>
      </c>
      <c r="D80">
        <v>30</v>
      </c>
      <c r="E80" t="str">
        <v>N/mm2</v>
      </c>
      <c r="H80" t="str">
        <v>Cover 75 mm to main reinforcement</v>
      </c>
    </row>
    <row r="81">
      <c r="B81" t="str">
        <v>Fy</v>
      </c>
      <c r="C81" t="str">
        <v>=</v>
      </c>
      <c r="D81">
        <v>415</v>
      </c>
      <c r="E81" t="str">
        <v>N/mm2</v>
      </c>
    </row>
    <row r="82">
      <c r="B82" t="str">
        <v>Ag</v>
      </c>
      <c r="C82" t="str">
        <v>=</v>
      </c>
      <c r="D82">
        <v>1050</v>
      </c>
      <c r="E82" t="str">
        <v>mm2</v>
      </c>
      <c r="F82" t="str">
        <v>Considering 1 mm Wide Pier</v>
      </c>
    </row>
    <row r="83">
      <c r="B83" t="str">
        <v>Ak</v>
      </c>
      <c r="C83" t="str">
        <v>=</v>
      </c>
      <c r="D83">
        <v>940</v>
      </c>
      <c r="E83" t="str">
        <v>mm2</v>
      </c>
      <c r="F83" t="str">
        <v xml:space="preserve">Considering 1 mm Wide Pier Effective </v>
      </c>
    </row>
    <row r="84">
      <c r="B84" t="str">
        <v>Hence Ash</v>
      </c>
      <c r="C84" t="str">
        <v>=</v>
      </c>
      <c r="D84">
        <v>45.6805947193027</v>
      </c>
      <c r="E84" t="str">
        <v>mm2</v>
      </c>
    </row>
    <row r="85">
      <c r="B85" t="str">
        <v>Ash ProvideD</v>
      </c>
      <c r="C85" t="str">
        <v>=</v>
      </c>
      <c r="D85">
        <v>113.04</v>
      </c>
      <c r="E85" t="str">
        <v>mm2</v>
      </c>
      <c r="F85" t="str">
        <v>Which is OK</v>
      </c>
    </row>
    <row r="86">
      <c r="B86" t="str">
        <v>d) As per IS IS 13920:1993 Cl. 7.4.6</v>
      </c>
      <c r="C86" t="str">
        <v>&lt; or =</v>
      </c>
      <c r="D86">
        <v>100</v>
      </c>
      <c r="E86" t="str">
        <v>mm</v>
      </c>
    </row>
    <row r="87">
      <c r="B87" t="str">
        <v>Provide</v>
      </c>
      <c r="C87">
        <v>12</v>
      </c>
      <c r="D87" t="str">
        <v>mm dia rings @</v>
      </c>
      <c r="F87">
        <v>100</v>
      </c>
      <c r="G87" t="str">
        <v>mm c/c.</v>
      </c>
    </row>
    <row r="88">
      <c r="B88" t="str">
        <v>This spacing is in accordance to IS 13920:1993 Cl. 7.4.6</v>
      </c>
    </row>
    <row r="89">
      <c r="B89" t="str">
        <v>CODE OF PRACTICE FORDUCTILE DETAILING OF REINFORCED CONCRETE STRUCTURES SUBJECTED TO SEISMIC FORCES</v>
      </c>
    </row>
    <row r="90">
      <c r="B90" t="str">
        <v>ABSTRACT</v>
      </c>
    </row>
    <row r="91">
      <c r="B91" t="str">
        <v>LONGITUDINAL REINFORCEMENT</v>
      </c>
      <c r="C91">
        <v>16</v>
      </c>
      <c r="D91" t="str">
        <v>MM BARS</v>
      </c>
      <c r="E91">
        <v>260</v>
      </c>
      <c r="F91" t="str">
        <v>MM</v>
      </c>
      <c r="H91" t="str">
        <v>However Adopt spacing as 250 mm</v>
      </c>
    </row>
    <row r="92">
      <c r="B92" t="str">
        <v>TRANSVERSE REINFORCEMENT</v>
      </c>
      <c r="C92" t="str">
        <v xml:space="preserve">   12mm dia rings @100mm c/c.</v>
      </c>
    </row>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sheetData>
    <row r="1">
      <c r="A1" t="str">
        <v>REINFORCEMENT CALCULATION IN CANTILEVER RETURNS</v>
      </c>
    </row>
    <row r="2">
      <c r="B2" t="str">
        <v>PROPOSED BOTOM WIDTH</v>
      </c>
      <c r="C2">
        <v>1000</v>
      </c>
      <c r="D2" t="str">
        <v>MM</v>
      </c>
    </row>
    <row r="3">
      <c r="A3" t="str">
        <v>FOR SERVICE CONDITION</v>
      </c>
    </row>
    <row r="4">
      <c r="B4" t="str">
        <v>VERTICAL LOADS</v>
      </c>
    </row>
    <row r="5">
      <c r="B5" t="str">
        <v xml:space="preserve">     (Span loaded condition)</v>
      </c>
      <c r="C5" t="str">
        <v>=</v>
      </c>
      <c r="D5">
        <v>606.677</v>
      </c>
      <c r="E5" t="str">
        <v>kN</v>
      </c>
    </row>
    <row r="6">
      <c r="B6" t="str">
        <v>LONGITUDINAL MOMENT</v>
      </c>
    </row>
    <row r="7">
      <c r="B7" t="str">
        <v xml:space="preserve">Moment </v>
      </c>
      <c r="E7">
        <v>1311.6490000000001</v>
      </c>
      <c r="F7" t="str">
        <v>kN-m</v>
      </c>
    </row>
    <row r="8">
      <c r="F8" t="str">
        <v>One Slab only</v>
      </c>
    </row>
    <row r="10">
      <c r="B10" t="str">
        <v>TOTAL LONGITUDINAL MOMENT</v>
      </c>
      <c r="C10" t="str">
        <v>=</v>
      </c>
      <c r="D10">
        <v>1311.6490000000001</v>
      </c>
      <c r="E10" t="str">
        <v>+</v>
      </c>
      <c r="F10">
        <v>0</v>
      </c>
      <c r="G10" t="str">
        <v>=</v>
      </c>
      <c r="H10">
        <v>1311.6490000000001</v>
      </c>
      <c r="I10" t="str">
        <v>kN-m</v>
      </c>
    </row>
    <row r="11">
      <c r="B11" t="str">
        <v>CONCRETE MIX</v>
      </c>
      <c r="D11" t="str">
        <v>M-25</v>
      </c>
    </row>
    <row r="12">
      <c r="B12" t="str">
        <v>CHARACTERISTIC STRENGTH OF REINFORCEMENT</v>
      </c>
      <c r="F12">
        <v>415</v>
      </c>
      <c r="G12" t="str">
        <v>N/mm2</v>
      </c>
    </row>
    <row r="13">
      <c r="B13" t="str">
        <v>PERMISSIBLE STRESSES</v>
      </c>
    </row>
    <row r="14">
      <c r="B14" t="str">
        <v>IN STEEL</v>
      </c>
      <c r="D14">
        <v>190</v>
      </c>
    </row>
    <row r="15">
      <c r="B15" t="str">
        <v>IN CONCRETE</v>
      </c>
    </row>
    <row r="16">
      <c r="B16" t="str">
        <v>CHARACTERISTIC STRENGTH OF Concrete</v>
      </c>
      <c r="D16" t="str">
        <v>fck</v>
      </c>
      <c r="E16" t="str">
        <v>=</v>
      </c>
      <c r="F16">
        <v>30</v>
      </c>
      <c r="G16" t="str">
        <v>N/mm2</v>
      </c>
    </row>
    <row r="17">
      <c r="B17" t="str">
        <v>Permissible Compressive Stress in Bending</v>
      </c>
      <c r="D17" t="str">
        <v>σcbc</v>
      </c>
      <c r="E17" t="str">
        <v>=</v>
      </c>
      <c r="F17">
        <v>8</v>
      </c>
      <c r="G17" t="str">
        <v>N/mm2</v>
      </c>
    </row>
    <row r="18">
      <c r="B18" t="str">
        <v>Permissible Compressive Stress in Direct Compression</v>
      </c>
      <c r="D18" t="str">
        <v>σcc</v>
      </c>
      <c r="E18" t="str">
        <v>=</v>
      </c>
      <c r="F18">
        <v>8</v>
      </c>
      <c r="G18" t="str">
        <v>N/mm2</v>
      </c>
    </row>
    <row r="19">
      <c r="D19" t="str">
        <v>σct</v>
      </c>
      <c r="E19" t="str">
        <v>=</v>
      </c>
      <c r="F19">
        <v>3.6</v>
      </c>
      <c r="G19" t="str">
        <v>N/mm2</v>
      </c>
    </row>
    <row r="20">
      <c r="B20" t="str">
        <v xml:space="preserve">Ultimate Axial Load PU </v>
      </c>
      <c r="C20" t="str">
        <v>=</v>
      </c>
      <c r="D20">
        <v>1.5</v>
      </c>
      <c r="E20" t="str">
        <v>X</v>
      </c>
      <c r="F20">
        <v>606.677</v>
      </c>
      <c r="G20" t="str">
        <v>=</v>
      </c>
      <c r="H20">
        <v>910.0155</v>
      </c>
      <c r="I20" t="str">
        <v>kN</v>
      </c>
    </row>
    <row r="21">
      <c r="B21" t="str">
        <v xml:space="preserve">Ultimate Longitudinal Moment MU </v>
      </c>
      <c r="C21" t="str">
        <v>=</v>
      </c>
      <c r="D21">
        <v>1.5</v>
      </c>
      <c r="E21" t="str">
        <v>X</v>
      </c>
      <c r="F21">
        <v>1311.6490000000001</v>
      </c>
      <c r="G21" t="str">
        <v>=</v>
      </c>
      <c r="H21">
        <v>1967.4735</v>
      </c>
      <c r="I21" t="str">
        <v>kN-m</v>
      </c>
    </row>
    <row r="22">
      <c r="B22" t="str">
        <v>INCREASE WHEN WIND CONDITION IS CONSIDERED</v>
      </c>
      <c r="F22">
        <v>33.33</v>
      </c>
      <c r="G22" t="str">
        <v>%</v>
      </c>
    </row>
    <row r="23">
      <c r="B23" t="str">
        <v>Neglecting area of Cut and Ease water parts Rectangular Section considered is</v>
      </c>
    </row>
    <row r="24">
      <c r="C24">
        <v>1000</v>
      </c>
      <c r="D24" t="str">
        <v xml:space="preserve"> mm x</v>
      </c>
      <c r="E24">
        <v>1000</v>
      </c>
      <c r="F24" t="str">
        <v>mm</v>
      </c>
    </row>
    <row r="25">
      <c r="C25" t="str">
        <v>Assume cover as</v>
      </c>
      <c r="D25">
        <v>75</v>
      </c>
    </row>
    <row r="26">
      <c r="B26" t="str">
        <v>d1/d</v>
      </c>
      <c r="C26" t="str">
        <v>=</v>
      </c>
      <c r="D26">
        <v>81</v>
      </c>
      <c r="E26" t="str">
        <v>/</v>
      </c>
      <c r="F26">
        <v>1000</v>
      </c>
      <c r="G26" t="str">
        <v>=</v>
      </c>
      <c r="H26">
        <v>0.081</v>
      </c>
    </row>
    <row r="27">
      <c r="B27" t="str">
        <v>PU/(fck b d)</v>
      </c>
      <c r="C27" t="str">
        <v>=</v>
      </c>
      <c r="D27">
        <v>910.0155</v>
      </c>
      <c r="E27" t="str">
        <v>x</v>
      </c>
      <c r="F27">
        <v>1000</v>
      </c>
      <c r="G27" t="str">
        <v>/ (</v>
      </c>
      <c r="H27">
        <v>30</v>
      </c>
      <c r="I27" t="str">
        <v>x</v>
      </c>
      <c r="J27">
        <v>1000</v>
      </c>
      <c r="K27" t="str">
        <v xml:space="preserve">x </v>
      </c>
      <c r="L27">
        <v>1000</v>
      </c>
      <c r="M27" t="str">
        <v>)</v>
      </c>
    </row>
    <row r="28">
      <c r="C28" t="str">
        <v>=</v>
      </c>
      <c r="D28">
        <v>0.03033385</v>
      </c>
    </row>
    <row r="29">
      <c r="B29" t="str">
        <v>FOR LONGITUDINAL MOMENT</v>
      </c>
    </row>
    <row r="30">
      <c r="B30" t="str">
        <v>Mu/(fck b d2)</v>
      </c>
      <c r="C30" t="str">
        <v>=</v>
      </c>
      <c r="D30">
        <v>1967.4735</v>
      </c>
      <c r="E30" t="str">
        <v>x</v>
      </c>
      <c r="F30">
        <v>1000000</v>
      </c>
      <c r="G30" t="str">
        <v>/ (</v>
      </c>
      <c r="H30">
        <v>30</v>
      </c>
      <c r="I30" t="str">
        <v>x</v>
      </c>
      <c r="J30">
        <v>1000</v>
      </c>
      <c r="K30" t="str">
        <v xml:space="preserve">x </v>
      </c>
      <c r="L30">
        <v>1000</v>
      </c>
      <c r="M30" t="str">
        <v>2 )</v>
      </c>
    </row>
    <row r="31">
      <c r="C31" t="str">
        <v>=</v>
      </c>
      <c r="D31">
        <v>0.06558245</v>
      </c>
    </row>
    <row r="32">
      <c r="B32" t="str">
        <v>Refer Chart 31 &amp; 32  of Design Aids for Reinforced concrete SP-16 the point lies below the range of applicability. Hence provide minimum percentage of steel.</v>
      </c>
    </row>
    <row r="33">
      <c r="B33" t="str">
        <v>The point lies below the range of applicability. Hence provide minimum percentage of steel</v>
      </c>
    </row>
    <row r="34">
      <c r="B34" t="str">
        <v>CRITERIA 1 FOR MINIMUM STEEL Pt = 0.8 % OF CROSS SECTION AREA OF COLUMN REQUIRED FOR COMPRESSION</v>
      </c>
    </row>
    <row r="36">
      <c r="B36" t="str">
        <v>Area Required due to Compression =</v>
      </c>
      <c r="D36">
        <v>910.0155</v>
      </c>
      <c r="E36" t="str">
        <v>x</v>
      </c>
      <c r="F36">
        <v>1000</v>
      </c>
      <c r="G36" t="str">
        <v>/</v>
      </c>
      <c r="H36">
        <v>8</v>
      </c>
    </row>
    <row r="37">
      <c r="C37" t="str">
        <v>=</v>
      </c>
      <c r="D37">
        <v>113751.9375</v>
      </c>
      <c r="E37" t="str">
        <v>mm2</v>
      </c>
    </row>
    <row r="38">
      <c r="B38" t="str">
        <v>Area of steel @ 0.8% =</v>
      </c>
      <c r="C38">
        <v>0.8</v>
      </c>
      <c r="D38" t="str">
        <v>x</v>
      </c>
      <c r="E38">
        <v>113751.9375</v>
      </c>
      <c r="F38" t="str">
        <v>/</v>
      </c>
      <c r="G38">
        <v>100</v>
      </c>
    </row>
    <row r="39">
      <c r="C39" t="str">
        <v>=</v>
      </c>
      <c r="D39">
        <v>910.0155</v>
      </c>
      <c r="E39" t="str">
        <v>mm2</v>
      </c>
    </row>
    <row r="41">
      <c r="B41" t="str">
        <v xml:space="preserve">CRITERIA 2 FOR MINIMUM STEEL Pt = 0.3 % OF GROSS SECTION AREA OF COLUMN </v>
      </c>
    </row>
    <row r="42">
      <c r="B42" t="str">
        <v>Area of steel @ 0.3% =</v>
      </c>
      <c r="C42">
        <v>0.3</v>
      </c>
      <c r="D42" t="str">
        <v>x</v>
      </c>
      <c r="E42">
        <v>1000</v>
      </c>
      <c r="F42" t="str">
        <v xml:space="preserve">x </v>
      </c>
      <c r="G42">
        <v>1000</v>
      </c>
      <c r="H42" t="str">
        <v>/</v>
      </c>
      <c r="I42">
        <v>100</v>
      </c>
    </row>
    <row r="43">
      <c r="C43" t="str">
        <v>=</v>
      </c>
      <c r="D43">
        <v>3000</v>
      </c>
      <c r="E43" t="str">
        <v>mm2</v>
      </c>
    </row>
    <row r="44">
      <c r="B44" t="str">
        <v>PROVIDE STEEL AREA</v>
      </c>
      <c r="C44" t="str">
        <v>=</v>
      </c>
      <c r="D44">
        <v>3000</v>
      </c>
      <c r="E44" t="str">
        <v>mm2</v>
      </c>
    </row>
    <row r="45">
      <c r="B45" t="str">
        <v xml:space="preserve">NO. OF </v>
      </c>
      <c r="C45">
        <v>12</v>
      </c>
      <c r="D45" t="str">
        <v>MM BARS</v>
      </c>
      <c r="E45" t="str">
        <v>=</v>
      </c>
      <c r="F45">
        <v>26.539278131634816</v>
      </c>
      <c r="G45" t="str">
        <v>Nos.</v>
      </c>
    </row>
    <row r="46">
      <c r="B46" t="str">
        <v>SPACING</v>
      </c>
      <c r="C46" t="str">
        <v>=</v>
      </c>
      <c r="D46">
        <v>150</v>
      </c>
      <c r="E46" t="str">
        <v>MM</v>
      </c>
    </row>
    <row r="47">
      <c r="B47" t="str">
        <v>FOR TRANSVERSE MOMENT</v>
      </c>
    </row>
    <row r="49">
      <c r="B49" t="str">
        <v>Mu/(fck b d2)</v>
      </c>
      <c r="C49" t="str">
        <v>=</v>
      </c>
      <c r="D49">
        <v>1967.4735</v>
      </c>
      <c r="E49" t="str">
        <v>x</v>
      </c>
      <c r="F49">
        <v>1000000</v>
      </c>
      <c r="G49" t="str">
        <v>/ (</v>
      </c>
      <c r="H49">
        <v>30</v>
      </c>
      <c r="I49" t="str">
        <v>x</v>
      </c>
    </row>
    <row r="50">
      <c r="E50">
        <v>1000</v>
      </c>
      <c r="F50" t="str">
        <v xml:space="preserve">x </v>
      </c>
      <c r="G50">
        <v>1000</v>
      </c>
      <c r="H50" t="str">
        <v>2 )</v>
      </c>
    </row>
    <row r="51">
      <c r="C51" t="str">
        <v>=</v>
      </c>
      <c r="D51">
        <v>0.06558245</v>
      </c>
    </row>
    <row r="52">
      <c r="B52" t="str">
        <v>Refer Chart 31 &amp; 32  of Design Aids for Reinforced concrete SP-16 the point lies below the range of applicability. Hence provide minimum percentage of steel.</v>
      </c>
    </row>
    <row r="53">
      <c r="B53" t="str">
        <v>TRANSVERSE REINFORCEMENT</v>
      </c>
    </row>
    <row r="54">
      <c r="B54" t="str">
        <v>Shear Force to be resisted by the pier In Accordance to IS 1893</v>
      </c>
    </row>
    <row r="55">
      <c r="C55">
        <v>1311.6490000000001</v>
      </c>
      <c r="D55" t="str">
        <v>/</v>
      </c>
      <c r="E55">
        <v>4.498000000000005</v>
      </c>
      <c r="F55" t="str">
        <v>=</v>
      </c>
      <c r="G55">
        <v>291.60715873721625</v>
      </c>
      <c r="H55" t="str">
        <v>kN</v>
      </c>
    </row>
    <row r="56">
      <c r="A56" t="str">
        <v xml:space="preserve">Check for Shear </v>
      </c>
    </row>
    <row r="57">
      <c r="B57" t="str">
        <v>Nominal Shear Stress =</v>
      </c>
      <c r="C57">
        <v>291.60715873721625</v>
      </c>
      <c r="D57" t="str">
        <v>x</v>
      </c>
      <c r="E57">
        <v>1000</v>
      </c>
      <c r="F57" t="str">
        <v>/ (</v>
      </c>
      <c r="G57">
        <v>1000</v>
      </c>
      <c r="H57" t="str">
        <v>x</v>
      </c>
      <c r="I57">
        <v>1000</v>
      </c>
      <c r="J57" t="str">
        <v>)</v>
      </c>
    </row>
    <row r="58">
      <c r="C58" t="str">
        <v>=</v>
      </c>
      <c r="D58">
        <v>0.29160715873721627</v>
      </c>
      <c r="E58" t="str">
        <v>N/mm2</v>
      </c>
    </row>
    <row r="59">
      <c r="B59" t="str">
        <v>Pt</v>
      </c>
      <c r="C59">
        <v>0.3</v>
      </c>
    </row>
    <row r="60">
      <c r="B60" t="str">
        <v>Permissible Shear Stress =</v>
      </c>
      <c r="C60">
        <v>0.4</v>
      </c>
      <c r="D60" t="str">
        <v>N/mm2</v>
      </c>
      <c r="E60" t="str">
        <v>Refer table 61</v>
      </c>
    </row>
    <row r="61">
      <c r="B61" t="str">
        <v>Nominal Shear Reinforcement will suffice</v>
      </c>
    </row>
    <row r="62">
      <c r="B62" t="str">
        <v>According to IRC 21-1987 Clause 306.3</v>
      </c>
    </row>
    <row r="63">
      <c r="B63" t="str">
        <v>Dia of Transverse Reinforcement</v>
      </c>
      <c r="C63" t="str">
        <v>=</v>
      </c>
      <c r="D63">
        <v>12</v>
      </c>
      <c r="E63" t="str">
        <v>/</v>
      </c>
      <c r="F63">
        <v>4</v>
      </c>
      <c r="G63" t="str">
        <v>=</v>
      </c>
      <c r="H63">
        <v>3</v>
      </c>
      <c r="I63" t="str">
        <v>mm</v>
      </c>
    </row>
    <row r="64">
      <c r="B64" t="str">
        <v>Provide</v>
      </c>
      <c r="C64">
        <v>12</v>
      </c>
      <c r="D64" t="str">
        <v>mm dia rings</v>
      </c>
    </row>
    <row r="65">
      <c r="B65" t="str">
        <v>Pitch of the Transverse should be least of</v>
      </c>
    </row>
    <row r="66">
      <c r="B66" t="str">
        <v>a) Least lateral Dimension =</v>
      </c>
      <c r="C66">
        <v>1000</v>
      </c>
      <c r="D66" t="str">
        <v>mm</v>
      </c>
    </row>
    <row r="67">
      <c r="B67" t="str">
        <v>b) 12 d =</v>
      </c>
      <c r="C67">
        <v>12</v>
      </c>
      <c r="D67" t="str">
        <v>x</v>
      </c>
      <c r="E67">
        <v>12</v>
      </c>
      <c r="F67" t="str">
        <v>=</v>
      </c>
      <c r="G67">
        <v>144</v>
      </c>
      <c r="H67" t="str">
        <v>mm</v>
      </c>
    </row>
    <row r="68">
      <c r="B68" t="str">
        <v>c) 300 mm =</v>
      </c>
      <c r="C68">
        <v>300</v>
      </c>
      <c r="D68" t="str">
        <v>mm</v>
      </c>
    </row>
    <row r="69">
      <c r="B69" t="str">
        <v>d) As per IS IS 13920:1993 Cl. 7.4.6</v>
      </c>
      <c r="C69" t="str">
        <v>&lt; or =</v>
      </c>
      <c r="D69">
        <v>100</v>
      </c>
      <c r="E69" t="str">
        <v>mm</v>
      </c>
    </row>
    <row r="70">
      <c r="B70" t="str">
        <v>Provide</v>
      </c>
      <c r="C70">
        <v>12</v>
      </c>
      <c r="D70" t="str">
        <v>mm dia rings @</v>
      </c>
      <c r="F70">
        <v>100</v>
      </c>
      <c r="G70" t="str">
        <v>mm c/c.</v>
      </c>
    </row>
    <row r="71">
      <c r="B71" t="str">
        <v>This spacing is in accordance to IS 13920:1993 Cl. 7.4.6</v>
      </c>
    </row>
    <row r="72">
      <c r="B72" t="str">
        <v>CODE OF PRACTICE FOR DUCTILE DETAILING OF REINFORCED CONCRETE STRUCTURES SUBJECTED TO SEISMIC FORCES</v>
      </c>
    </row>
    <row r="73">
      <c r="B73" t="str">
        <v>Check for Size of Hoop Reinforcement</v>
      </c>
      <c r="D73" t="str">
        <v>Refer IS 13920:1993 Cl. 7.4.8</v>
      </c>
    </row>
    <row r="74">
      <c r="C74" t="str">
        <v>Ash= 0.18 Sh (Fck/Fy)x(Ag/Ak-1)</v>
      </c>
    </row>
    <row r="75">
      <c r="B75" t="str">
        <v>S</v>
      </c>
      <c r="C75" t="str">
        <v>=</v>
      </c>
      <c r="D75">
        <v>100</v>
      </c>
      <c r="E75" t="str">
        <v>mm</v>
      </c>
    </row>
    <row r="76">
      <c r="B76" t="str">
        <v>h</v>
      </c>
      <c r="C76" t="str">
        <v>=</v>
      </c>
      <c r="D76">
        <v>300</v>
      </c>
      <c r="E76" t="str">
        <v>N/mm2</v>
      </c>
      <c r="F76" t="str">
        <v>(Spacing of long. bars+ effective cover) or 300 mm whichever is less</v>
      </c>
    </row>
    <row r="77">
      <c r="B77" t="str">
        <v>Fck</v>
      </c>
      <c r="C77" t="str">
        <v>=</v>
      </c>
      <c r="D77">
        <v>30</v>
      </c>
      <c r="E77" t="str">
        <v>N/mm2</v>
      </c>
      <c r="H77" t="str">
        <v>Cover 75 mm to main reinforcement</v>
      </c>
    </row>
    <row r="78">
      <c r="B78" t="str">
        <v>Fy</v>
      </c>
      <c r="C78" t="str">
        <v>=</v>
      </c>
      <c r="D78">
        <v>415</v>
      </c>
      <c r="E78" t="str">
        <v>N/mm2</v>
      </c>
    </row>
    <row r="79">
      <c r="B79" t="str">
        <v>Ag</v>
      </c>
      <c r="C79" t="str">
        <v>=</v>
      </c>
      <c r="D79">
        <v>1000</v>
      </c>
      <c r="E79" t="str">
        <v>mm2</v>
      </c>
      <c r="F79" t="str">
        <v>Considering 1 mm Wide Pier</v>
      </c>
    </row>
    <row r="80">
      <c r="B80" t="str">
        <v>Ak</v>
      </c>
      <c r="C80" t="str">
        <v>=</v>
      </c>
      <c r="D80">
        <v>886</v>
      </c>
      <c r="E80" t="str">
        <v>mm2</v>
      </c>
      <c r="F80" t="str">
        <v xml:space="preserve">Considering 1 mm Wide Pier Effective </v>
      </c>
    </row>
    <row r="81">
      <c r="B81" t="str">
        <v>Hence Ash</v>
      </c>
      <c r="C81" t="str">
        <v>=</v>
      </c>
      <c r="D81">
        <v>50.22709347548209</v>
      </c>
      <c r="E81" t="str">
        <v>mm2</v>
      </c>
    </row>
    <row r="82">
      <c r="B82" t="str">
        <v>Ash ProvideD</v>
      </c>
      <c r="C82" t="str">
        <v>=</v>
      </c>
      <c r="D82">
        <v>113.04</v>
      </c>
      <c r="E82" t="str">
        <v>mm2</v>
      </c>
      <c r="F82" t="str">
        <v>Which is OK</v>
      </c>
    </row>
    <row r="83">
      <c r="B83" t="str">
        <v>d) As per IS IS 13920:1993 Cl. 7.4.6</v>
      </c>
      <c r="C83" t="str">
        <v>&lt; or =</v>
      </c>
      <c r="D83">
        <v>100</v>
      </c>
      <c r="E83" t="str">
        <v>mm</v>
      </c>
    </row>
    <row r="84">
      <c r="B84" t="str">
        <v>Provide</v>
      </c>
      <c r="C84">
        <v>12</v>
      </c>
      <c r="D84" t="str">
        <v>mm dia rings @</v>
      </c>
      <c r="F84">
        <v>100</v>
      </c>
      <c r="G84" t="str">
        <v>mm c/c.</v>
      </c>
    </row>
    <row r="85">
      <c r="B85" t="str">
        <v>This spacing is in accordance to IS 13920:1993 Cl. 7.4.6</v>
      </c>
    </row>
    <row r="86">
      <c r="B86" t="str">
        <v>CODE OF PRACTICE FORDUCTILE DETAILING OF REINFORCED CONCRETE STRUCTURES SUBJECTED TO SEISMIC FORCES</v>
      </c>
    </row>
    <row r="87">
      <c r="B87" t="str">
        <v>ABSTRACT</v>
      </c>
    </row>
    <row r="88">
      <c r="B88" t="str">
        <v>LONGITUDINAL REINFORCEMENT</v>
      </c>
      <c r="C88">
        <v>12</v>
      </c>
      <c r="D88" t="str">
        <v>MM BARS</v>
      </c>
      <c r="E88">
        <v>150</v>
      </c>
      <c r="F88" t="str">
        <v>MM</v>
      </c>
      <c r="H88" t="str">
        <v>However Adopt spacing as 150 mm</v>
      </c>
    </row>
    <row r="89">
      <c r="B89" t="str">
        <v>TRANSVERSE REINFORCEMENT</v>
      </c>
      <c r="C89" t="str">
        <v xml:space="preserve">   12mm dia rings @100mm c/c.</v>
      </c>
    </row>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sheetData>
    <row r="1">
      <c r="B1" t="str">
        <v xml:space="preserve">DESIGN OF Abutment CAP HIGH LEVEL BRIDGE </v>
      </c>
    </row>
    <row r="2">
      <c r="A2" t="str">
        <v>DESIGN OF SUBMERSIBLE SKEW BRIDGE ACROSS BEDACH RIVER</v>
      </c>
    </row>
    <row r="3">
      <c r="A3" t="str">
        <v>DESIGN OF Abutment CAP :-</v>
      </c>
    </row>
    <row r="4">
      <c r="A4" t="str">
        <v>D.L./ M Width  along bridge</v>
      </c>
    </row>
    <row r="5">
      <c r="A5" t="str">
        <v xml:space="preserve">DL.  Of Slab = </v>
      </c>
      <c r="C5">
        <v>0.975</v>
      </c>
      <c r="D5" t="str">
        <v xml:space="preserve">x </v>
      </c>
      <c r="E5">
        <v>15</v>
      </c>
      <c r="F5" t="str">
        <v>x.</v>
      </c>
      <c r="G5">
        <v>2.4</v>
      </c>
      <c r="H5" t="str">
        <v>=</v>
      </c>
      <c r="I5">
        <v>35.1</v>
      </c>
      <c r="J5" t="str">
        <v>T</v>
      </c>
    </row>
    <row r="6">
      <c r="A6" t="str">
        <v xml:space="preserve">D.L. of Wearing coat = </v>
      </c>
      <c r="C6">
        <v>0.075</v>
      </c>
      <c r="D6" t="str">
        <v xml:space="preserve">x </v>
      </c>
      <c r="E6">
        <v>12</v>
      </c>
      <c r="F6" t="str">
        <v>x.</v>
      </c>
      <c r="G6">
        <v>2.4</v>
      </c>
      <c r="H6" t="str">
        <v>=</v>
      </c>
      <c r="I6">
        <v>2.1599999999999997</v>
      </c>
      <c r="J6" t="str">
        <v>T</v>
      </c>
    </row>
    <row r="7">
      <c r="G7" t="str">
        <v>TOTAL</v>
      </c>
      <c r="I7">
        <v>37.26</v>
      </c>
      <c r="J7" t="str">
        <v>T</v>
      </c>
    </row>
    <row r="8">
      <c r="A8" t="str">
        <v xml:space="preserve">  D.L. of Slab &amp; Wearing coat on half of the Abutment </v>
      </c>
      <c r="E8" t="str">
        <v>=</v>
      </c>
    </row>
    <row r="9">
      <c r="E9">
        <v>37.26</v>
      </c>
      <c r="F9" t="str">
        <v>/</v>
      </c>
      <c r="G9">
        <v>2</v>
      </c>
      <c r="H9" t="str">
        <v>=</v>
      </c>
      <c r="I9">
        <v>18.63</v>
      </c>
      <c r="J9" t="str">
        <v>T</v>
      </c>
    </row>
    <row r="10">
      <c r="A10" t="str">
        <v xml:space="preserve">   L.L. on Abutment cap including impact along bridge </v>
      </c>
    </row>
    <row r="11">
      <c r="D11" t="str">
        <v xml:space="preserve">     =</v>
      </c>
      <c r="E11">
        <v>82.5</v>
      </c>
      <c r="F11" t="str">
        <v xml:space="preserve">x </v>
      </c>
      <c r="G11">
        <v>1.1375</v>
      </c>
      <c r="H11" t="str">
        <v>=</v>
      </c>
      <c r="I11">
        <v>93.84375</v>
      </c>
      <c r="J11" t="str">
        <v>T</v>
      </c>
    </row>
    <row r="12">
      <c r="A12" t="str">
        <v xml:space="preserve">   (Refer   Live Load Computation)</v>
      </c>
    </row>
    <row r="13">
      <c r="A13" t="str">
        <v xml:space="preserve">    Dispersion width across the span for</v>
      </c>
    </row>
    <row r="14">
      <c r="A14" t="str">
        <v xml:space="preserve">    70 T TRACKED VEHTCLE </v>
      </c>
      <c r="D14" t="str">
        <v xml:space="preserve">    =</v>
      </c>
      <c r="E14">
        <v>6.695</v>
      </c>
      <c r="F14" t="str">
        <v>M</v>
      </c>
    </row>
    <row r="15">
      <c r="A15" t="str">
        <v xml:space="preserve">   ( Refer Solid slab  design    page SS-16) </v>
      </c>
    </row>
    <row r="16">
      <c r="A16" t="str">
        <v xml:space="preserve">    Live Load u.d.l. on Abutment    </v>
      </c>
      <c r="D16" t="str">
        <v xml:space="preserve">     =</v>
      </c>
      <c r="E16">
        <v>93.84375</v>
      </c>
      <c r="F16" t="str">
        <v>/</v>
      </c>
      <c r="G16">
        <v>6.695</v>
      </c>
      <c r="H16" t="str">
        <v>=</v>
      </c>
      <c r="I16">
        <v>14.016990291262136</v>
      </c>
      <c r="J16" t="str">
        <v>T</v>
      </c>
    </row>
    <row r="17">
      <c r="B17" t="str">
        <v>Per M width</v>
      </c>
    </row>
    <row r="18">
      <c r="A18" t="str">
        <v xml:space="preserve">    Total Load on Half    =</v>
      </c>
      <c r="D18">
        <v>18.63</v>
      </c>
      <c r="E18" t="str">
        <v>+</v>
      </c>
      <c r="F18">
        <v>14.016990291262136</v>
      </c>
      <c r="H18" t="str">
        <v>=</v>
      </c>
      <c r="I18">
        <v>32.646990291262135</v>
      </c>
      <c r="J18" t="str">
        <v>T</v>
      </c>
    </row>
    <row r="19">
      <c r="A19" t="str">
        <v xml:space="preserve">    of Abutment along bridge </v>
      </c>
      <c r="I19" t="str">
        <v xml:space="preserve">   Per M width</v>
      </c>
    </row>
    <row r="20">
      <c r="A20" t="str">
        <v>Effective depth of slab =90-2.5-2.5/2 =</v>
      </c>
      <c r="D20">
        <v>86.25</v>
      </c>
      <c r="E20" t="str">
        <v>cm</v>
      </c>
    </row>
    <row r="21">
      <c r="A21" t="str">
        <v>Placement of the live load at effective depth from the support ( taking support width 750 mm)</v>
      </c>
    </row>
    <row r="22">
      <c r="A22" t="str">
        <v>Eccentricity = 71.25 -75/2</v>
      </c>
      <c r="D22" t="str">
        <v>=</v>
      </c>
      <c r="E22">
        <v>33.75</v>
      </c>
      <c r="F22" t="str">
        <v>cm</v>
      </c>
      <c r="G22" t="str">
        <v>=</v>
      </c>
      <c r="H22">
        <v>0.3375</v>
      </c>
      <c r="I22" t="str">
        <v>M</v>
      </c>
    </row>
    <row r="23">
      <c r="A23" t="str">
        <v xml:space="preserve">     Bending Moment along the bridge  =</v>
      </c>
      <c r="C23">
        <v>32.646990291262135</v>
      </c>
      <c r="D23" t="str">
        <v>x</v>
      </c>
      <c r="E23">
        <v>0.3375</v>
      </c>
      <c r="H23">
        <v>11.02</v>
      </c>
      <c r="I23" t="str">
        <v>T - M/M width</v>
      </c>
    </row>
    <row r="24">
      <c r="B24" t="str">
        <v>=</v>
      </c>
      <c r="C24">
        <v>11.02</v>
      </c>
      <c r="D24" t="str">
        <v>x</v>
      </c>
      <c r="E24">
        <v>10</v>
      </c>
      <c r="F24" t="str">
        <v>=</v>
      </c>
      <c r="G24">
        <v>110.2</v>
      </c>
      <c r="H24" t="str">
        <v>kN-M/M width</v>
      </c>
    </row>
    <row r="25">
      <c r="A25" t="str">
        <v xml:space="preserve">    This moment is too small hence it will not/be the governing  B.M.</v>
      </c>
    </row>
    <row r="26">
      <c r="B26" t="str">
        <v>Moment in Abutment cap</v>
      </c>
      <c r="E26">
        <v>110.2</v>
      </c>
      <c r="F26" t="str">
        <v>kN-m</v>
      </c>
    </row>
    <row r="27">
      <c r="B27" t="str">
        <v>CONCRETE GRADE</v>
      </c>
      <c r="E27" t="str">
        <v>M30</v>
      </c>
    </row>
    <row r="28">
      <c r="B28" t="str">
        <v>FOR THIS GRADE scbc</v>
      </c>
      <c r="E28">
        <v>10</v>
      </c>
      <c r="F28" t="str">
        <v>N/mm2</v>
      </c>
    </row>
    <row r="29">
      <c r="B29" t="str">
        <v>m</v>
      </c>
      <c r="E29">
        <v>9.333333333333334</v>
      </c>
    </row>
    <row r="30">
      <c r="B30" t="str">
        <v>sst</v>
      </c>
      <c r="E30">
        <v>200</v>
      </c>
    </row>
    <row r="31">
      <c r="B31" t="str">
        <v>factor k</v>
      </c>
      <c r="E31">
        <v>0.3181818181818182</v>
      </c>
    </row>
    <row r="32">
      <c r="B32" t="str">
        <v>j</v>
      </c>
      <c r="E32">
        <v>0.8939393939393939</v>
      </c>
    </row>
    <row r="33">
      <c r="B33" t="str">
        <v>R</v>
      </c>
      <c r="E33">
        <v>1.4221763085399448</v>
      </c>
    </row>
    <row r="34">
      <c r="B34" t="str">
        <v>Effective Depth Required</v>
      </c>
      <c r="E34">
        <v>278.364646665695</v>
      </c>
      <c r="F34" t="str">
        <v>mm</v>
      </c>
    </row>
    <row r="35">
      <c r="B35" t="str">
        <v xml:space="preserve">Adopt Total Depth </v>
      </c>
      <c r="E35">
        <v>1200</v>
      </c>
      <c r="F35" t="str">
        <v>mm</v>
      </c>
    </row>
    <row r="36">
      <c r="B36" t="str">
        <v>Cover</v>
      </c>
      <c r="E36">
        <v>50</v>
      </c>
      <c r="F36" t="str">
        <v>mm</v>
      </c>
    </row>
    <row r="37">
      <c r="B37" t="str">
        <v>Assume Bar Dia</v>
      </c>
      <c r="E37">
        <v>25</v>
      </c>
      <c r="F37" t="str">
        <v>mm</v>
      </c>
    </row>
    <row r="38">
      <c r="B38" t="str">
        <v>Keeping A Cover Of 50 mm Effective Depth</v>
      </c>
      <c r="E38">
        <v>1137.5</v>
      </c>
      <c r="F38" t="str">
        <v>mm</v>
      </c>
    </row>
    <row r="39">
      <c r="B39" t="str">
        <v>Adopt Effective Depth</v>
      </c>
      <c r="E39">
        <v>1137.5</v>
      </c>
      <c r="F39" t="str">
        <v>mm</v>
      </c>
    </row>
    <row r="40">
      <c r="B40" t="str">
        <v>Steel Required  Ast</v>
      </c>
      <c r="E40">
        <v>541.8662693238964</v>
      </c>
      <c r="F40" t="str">
        <v>mm2</v>
      </c>
    </row>
    <row r="41">
      <c r="B41" t="str">
        <v>Area Of One Bar</v>
      </c>
      <c r="E41">
        <v>490.625</v>
      </c>
      <c r="F41" t="str">
        <v>mm2</v>
      </c>
    </row>
    <row r="42">
      <c r="B42" t="str">
        <v>Spacing S</v>
      </c>
      <c r="E42">
        <v>905.4355802810318</v>
      </c>
      <c r="F42" t="str">
        <v>mm</v>
      </c>
    </row>
    <row r="43">
      <c r="B43" t="str">
        <v>Provide  Bars Of Dia And Spacing</v>
      </c>
      <c r="C43">
        <v>25</v>
      </c>
      <c r="D43" t="str">
        <v>mm</v>
      </c>
      <c r="E43">
        <v>100</v>
      </c>
      <c r="F43" t="str">
        <v>mm</v>
      </c>
      <c r="G43" t="str">
        <v>Adopt spacing as 100 mm</v>
      </c>
    </row>
    <row r="44">
      <c r="B44" t="str">
        <v>Provide  Bars Of Dia And Spacing for Top Main Steel</v>
      </c>
      <c r="C44">
        <v>25</v>
      </c>
      <c r="D44" t="str">
        <v>mm</v>
      </c>
      <c r="E44">
        <v>100</v>
      </c>
      <c r="F44" t="str">
        <v>mm</v>
      </c>
    </row>
    <row r="45">
      <c r="B45" t="str">
        <v>Provide  Bars Of Dia And Spacing for Bottom Steel</v>
      </c>
      <c r="C45">
        <v>16</v>
      </c>
      <c r="D45" t="str">
        <v>mm</v>
      </c>
      <c r="E45">
        <v>100</v>
      </c>
      <c r="F45" t="str">
        <v>mm</v>
      </c>
    </row>
    <row r="46">
      <c r="A46" t="str">
        <v>Abutment SECTION ACROSS BRIDGE</v>
      </c>
    </row>
    <row r="47">
      <c r="A47" t="str">
        <v>DEAD LOAD MOMENT PER METRE Width  across bridge :-</v>
      </c>
    </row>
    <row r="48">
      <c r="A48" t="str">
        <v>Slab   D.L.</v>
      </c>
      <c r="C48">
        <v>0.975</v>
      </c>
      <c r="D48" t="str">
        <v xml:space="preserve">x </v>
      </c>
      <c r="E48">
        <v>15</v>
      </c>
      <c r="F48" t="str">
        <v>x.</v>
      </c>
      <c r="G48">
        <v>2.4</v>
      </c>
      <c r="H48" t="str">
        <v>=</v>
      </c>
      <c r="I48">
        <v>35.1</v>
      </c>
      <c r="J48" t="str">
        <v>T</v>
      </c>
    </row>
    <row r="49">
      <c r="A49" t="str">
        <v xml:space="preserve">D.L. of Wearing coat = </v>
      </c>
      <c r="C49">
        <v>0.075</v>
      </c>
      <c r="D49" t="str">
        <v xml:space="preserve">x </v>
      </c>
      <c r="E49">
        <v>12</v>
      </c>
      <c r="F49" t="str">
        <v>x.</v>
      </c>
      <c r="G49">
        <v>2.4</v>
      </c>
      <c r="H49" t="str">
        <v>=</v>
      </c>
      <c r="I49">
        <v>2.1599999999999997</v>
      </c>
      <c r="J49" t="str">
        <v>T</v>
      </c>
    </row>
    <row r="50">
      <c r="G50" t="str">
        <v>TOTAL</v>
      </c>
      <c r="I50">
        <v>37.26</v>
      </c>
      <c r="J50" t="str">
        <v>T</v>
      </c>
    </row>
    <row r="51">
      <c r="A51" t="str">
        <v xml:space="preserve">D.L. of Slab &amp; Wearing coat on half of the Abutment </v>
      </c>
      <c r="E51" t="str">
        <v>=</v>
      </c>
    </row>
    <row r="52">
      <c r="E52">
        <v>37.26</v>
      </c>
      <c r="F52" t="str">
        <v>/</v>
      </c>
      <c r="G52">
        <v>2</v>
      </c>
      <c r="H52" t="str">
        <v>=</v>
      </c>
      <c r="I52">
        <v>18.63</v>
      </c>
      <c r="J52" t="str">
        <v>T/ M width</v>
      </c>
    </row>
    <row r="53">
      <c r="A53" t="str">
        <v xml:space="preserve">L.L on Abutment </v>
      </c>
      <c r="E53" t="str">
        <v xml:space="preserve">  = </v>
      </c>
      <c r="I53">
        <v>64.69</v>
      </c>
      <c r="J53" t="str">
        <v>T</v>
      </c>
    </row>
    <row r="55">
      <c r="A55" t="str">
        <v xml:space="preserve">Dispersion width along the span for </v>
      </c>
    </row>
    <row r="56">
      <c r="A56" t="str">
        <v>70 T Tracked vehical</v>
      </c>
      <c r="C56" t="str">
        <v xml:space="preserve">  = </v>
      </c>
      <c r="D56">
        <v>5.3</v>
      </c>
      <c r="E56" t="str">
        <v>M</v>
      </c>
    </row>
    <row r="58">
      <c r="A58" t="str">
        <v xml:space="preserve"> L.L. . per M  width on Abutment   =      </v>
      </c>
      <c r="E58">
        <v>64.69</v>
      </c>
      <c r="F58" t="str">
        <v>/</v>
      </c>
      <c r="G58">
        <v>5.3</v>
      </c>
      <c r="H58" t="str">
        <v>=</v>
      </c>
      <c r="I58">
        <v>12.205660377358491</v>
      </c>
      <c r="J58" t="str">
        <v>T/ M width</v>
      </c>
    </row>
    <row r="59">
      <c r="A59" t="str">
        <v>Total D.L. + L.L. on half of  Abutment across</v>
      </c>
      <c r="D59">
        <v>18.63</v>
      </c>
      <c r="E59" t="str">
        <v>+</v>
      </c>
      <c r="F59">
        <v>12.205660377358491</v>
      </c>
      <c r="H59" t="str">
        <v>=</v>
      </c>
      <c r="I59">
        <v>30.84</v>
      </c>
      <c r="J59" t="str">
        <v>T</v>
      </c>
    </row>
    <row r="60">
      <c r="A60" t="str">
        <v>bridge per M width</v>
      </c>
      <c r="I60" t="str">
        <v xml:space="preserve">   Per M width</v>
      </c>
    </row>
    <row r="61">
      <c r="A61" t="str">
        <v>The Live Load is with clearance from the Footpath and kerb. The cantilever portion of Abutment cap and width of footpath is 1500 mm</v>
      </c>
    </row>
    <row r="62">
      <c r="A62" t="str">
        <v>Hence There is no eccentricity.</v>
      </c>
    </row>
    <row r="63">
      <c r="A63" t="str">
        <v xml:space="preserve">     Bending Moment across the bridge  =</v>
      </c>
      <c r="C63">
        <v>30.84</v>
      </c>
      <c r="D63" t="str">
        <v>x</v>
      </c>
      <c r="E63">
        <v>0</v>
      </c>
      <c r="H63">
        <v>0</v>
      </c>
      <c r="I63" t="str">
        <v>T - M/M width</v>
      </c>
    </row>
    <row r="64">
      <c r="A64" t="str">
        <v>Provide Minimum  steel</v>
      </c>
    </row>
    <row r="65">
      <c r="A65" t="str">
        <v>Minimum Reinforcement calculation for Abutment cap :-</v>
      </c>
    </row>
    <row r="66">
      <c r="A66" t="str">
        <v xml:space="preserve"> As per clause 710.8.2, IRC- 78 - 2000, the thickness of Abutment</v>
      </c>
    </row>
    <row r="67">
      <c r="A67" t="str">
        <v xml:space="preserve"> cap shall be at least 200 mm  However the thickness </v>
      </c>
    </row>
    <row r="68">
      <c r="A68" t="str">
        <v xml:space="preserve"> of Abutment cap here is 1200 MM.</v>
      </c>
    </row>
    <row r="69">
      <c r="A69" t="str">
        <v xml:space="preserve"> Grade of Concrete  M 30</v>
      </c>
    </row>
    <row r="70">
      <c r="A70" t="str">
        <v>Minimum Shrinkage and Temperature reinforcement required as per Clause 305.10 IRC 21-2000</v>
      </c>
    </row>
    <row r="71">
      <c r="A71" t="str">
        <v>in any RC structure is 250 Sq mm per m in each direction. Allowable maximum spacing is 300 mm.</v>
      </c>
    </row>
    <row r="72">
      <c r="A72" t="str">
        <v>Shrinkage and Temperature reinforcement required =</v>
      </c>
      <c r="F72">
        <v>250</v>
      </c>
      <c r="G72" t="str">
        <v>x</v>
      </c>
      <c r="H72">
        <v>1.2</v>
      </c>
      <c r="I72" t="str">
        <v>=</v>
      </c>
      <c r="J72">
        <v>300</v>
      </c>
      <c r="K72" t="str">
        <v>mm2</v>
      </c>
    </row>
    <row r="73">
      <c r="A73" t="str">
        <v>Provide 25 mm tor reiforcement @ 100 mm c/c ( 14 Nos.) in top along the Abutment cap</v>
      </c>
    </row>
    <row r="74">
      <c r="A74" t="str">
        <v>Provide 16 mm tor reiforcement @ 100 mm c/c ( 14 Nos.) in bottom along the Abutment cap</v>
      </c>
    </row>
    <row r="75">
      <c r="A75" t="str">
        <v>Area of Steel Provided at top</v>
      </c>
    </row>
    <row r="76">
      <c r="A76" t="str">
        <v>= (14x 491)</v>
      </c>
      <c r="C76" t="str">
        <v>=</v>
      </c>
      <c r="D76">
        <v>6874</v>
      </c>
      <c r="E76" t="str">
        <v>mm2</v>
      </c>
      <c r="F76" t="str">
        <v xml:space="preserve"> &gt; 300 mm2 </v>
      </c>
      <c r="H76" t="str">
        <v>OK</v>
      </c>
    </row>
    <row r="78">
      <c r="A78" t="str">
        <v>Area of Steel Provided at bottom</v>
      </c>
    </row>
    <row r="79">
      <c r="A79" t="str">
        <v>= (14x 201)</v>
      </c>
      <c r="C79" t="str">
        <v>=</v>
      </c>
      <c r="D79">
        <v>2814</v>
      </c>
      <c r="E79" t="str">
        <v>mm2</v>
      </c>
      <c r="F79" t="str">
        <v xml:space="preserve"> &gt; 300 mm2 </v>
      </c>
      <c r="H79" t="str">
        <v>OK</v>
      </c>
    </row>
    <row r="80">
      <c r="A80" t="str">
        <v>CHECK FOR SHEAR ALONG BRIDGE DIRECTION</v>
      </c>
    </row>
    <row r="81">
      <c r="B81" t="str">
        <v xml:space="preserve">V =  </v>
      </c>
      <c r="C81">
        <v>30.84</v>
      </c>
      <c r="D81" t="str">
        <v>T</v>
      </c>
    </row>
    <row r="82">
      <c r="B82" t="str">
        <v>Shear Force</v>
      </c>
      <c r="E82">
        <v>308.4</v>
      </c>
      <c r="F82" t="str">
        <v>kN</v>
      </c>
    </row>
    <row r="83">
      <c r="B83" t="str">
        <v>V=V' + M/d tanB</v>
      </c>
      <c r="C83" t="str">
        <v>(B=0) Hence V =V'</v>
      </c>
    </row>
    <row r="84">
      <c r="B84" t="str">
        <v>Actual Shear Stress</v>
      </c>
      <c r="E84">
        <v>0.2711208791208791</v>
      </c>
      <c r="F84" t="str">
        <v>N/mm2</v>
      </c>
    </row>
    <row r="85">
      <c r="B85" t="str">
        <v>Percentage Steel</v>
      </c>
      <c r="C85" t="str">
        <v>100As/bd</v>
      </c>
      <c r="E85">
        <v>0.2473846153846154</v>
      </c>
    </row>
    <row r="86">
      <c r="B86" t="str">
        <v>Tc</v>
      </c>
      <c r="E86">
        <v>0.23</v>
      </c>
      <c r="F86" t="str">
        <v>N/mm2</v>
      </c>
    </row>
    <row r="87">
      <c r="B87" t="str">
        <v>k=1</v>
      </c>
    </row>
    <row r="88">
      <c r="B88" t="str">
        <v>Permissble Shear Stress = k Tc</v>
      </c>
      <c r="E88">
        <v>0.23</v>
      </c>
      <c r="F88" t="str">
        <v>N/mm2</v>
      </c>
    </row>
    <row r="89">
      <c r="D89" t="str">
        <v>&lt; Actual Shear Stress hence Shear Reinforcement should be provided</v>
      </c>
    </row>
    <row r="90">
      <c r="B90" t="str">
        <v>Dia Of two Legged Stirrups</v>
      </c>
      <c r="E90">
        <v>16</v>
      </c>
      <c r="F90" t="str">
        <v>mm</v>
      </c>
    </row>
    <row r="91">
      <c r="B91" t="str">
        <v>Area Of One Bar In Distribution Reinforcement</v>
      </c>
      <c r="E91">
        <v>200.96</v>
      </c>
      <c r="F91" t="str">
        <v>mm2</v>
      </c>
    </row>
    <row r="92">
      <c r="B92" t="str">
        <v>Using The Bars Spacing Required s= Asw ts d/V</v>
      </c>
      <c r="E92">
        <v>296.48767833981844</v>
      </c>
      <c r="F92" t="str">
        <v>mm</v>
      </c>
    </row>
    <row r="93">
      <c r="B93" t="str">
        <v>Provide  Bars Of Dia And Spacing</v>
      </c>
      <c r="C93">
        <v>16</v>
      </c>
      <c r="D93" t="str">
        <v>mm</v>
      </c>
      <c r="E93">
        <v>100</v>
      </c>
      <c r="F93" t="str">
        <v>mm</v>
      </c>
      <c r="G93" t="str">
        <v>Adopt spacing as 100 mm</v>
      </c>
    </row>
    <row r="94">
      <c r="A94" t="str">
        <v>HOWEVER</v>
      </c>
    </row>
    <row r="95">
      <c r="A95" t="str">
        <v xml:space="preserve">Provide 16 mm tor 2 legged vertical stirrups @ 100 mm centre to centre along the Abutment cap </v>
      </c>
    </row>
    <row r="96">
      <c r="A96" t="str">
        <v>Provide 16 mm tor 2 legged horizontal stirrups @ 100 mm centre to centre along the Abutment cap</v>
      </c>
    </row>
    <row r="98">
      <c r="A98" t="str">
        <v xml:space="preserve"> SHEAR CHECK ACROSS BRIDGE  DIRECTION </v>
      </c>
    </row>
    <row r="99">
      <c r="B99" t="str">
        <v xml:space="preserve">V =  </v>
      </c>
      <c r="C99">
        <v>20.3</v>
      </c>
      <c r="D99" t="str">
        <v>T</v>
      </c>
    </row>
    <row r="100">
      <c r="B100" t="str">
        <v>Shear Force</v>
      </c>
      <c r="E100">
        <v>203</v>
      </c>
      <c r="F100" t="str">
        <v>kN</v>
      </c>
    </row>
    <row r="101">
      <c r="B101" t="str">
        <v>V=V' + M/d tanB</v>
      </c>
      <c r="C101" t="str">
        <v>(B=0) Hence V =V'</v>
      </c>
    </row>
    <row r="102">
      <c r="B102" t="str">
        <v>Actual Shear Stress</v>
      </c>
      <c r="E102">
        <v>0.17846153846153845</v>
      </c>
      <c r="F102" t="str">
        <v>N/mm2</v>
      </c>
    </row>
    <row r="103">
      <c r="B103" t="str">
        <v>Percentage Steel</v>
      </c>
      <c r="C103" t="str">
        <v>100As/bd</v>
      </c>
      <c r="E103">
        <v>0.2473846153846154</v>
      </c>
    </row>
    <row r="104">
      <c r="B104" t="str">
        <v>Tc</v>
      </c>
      <c r="E104">
        <v>0.23</v>
      </c>
      <c r="F104" t="str">
        <v>N/mm2</v>
      </c>
    </row>
    <row r="105">
      <c r="B105" t="str">
        <v>k=1</v>
      </c>
    </row>
    <row r="106">
      <c r="B106" t="str">
        <v>Permissble Shear Stress = k Tc</v>
      </c>
      <c r="E106">
        <v>0.23</v>
      </c>
      <c r="F106" t="str">
        <v>N/mm2</v>
      </c>
    </row>
    <row r="107">
      <c r="D107" t="str">
        <v>&gt; Actual Shear Stress hence No Shear Reinforcement is required.</v>
      </c>
    </row>
    <row r="108">
      <c r="A108" t="str">
        <v>HOWEVER</v>
      </c>
    </row>
    <row r="109">
      <c r="A109" t="str">
        <v xml:space="preserve">Provide 16 mm tor 2 legged vertical stirrups @ 100 mm centre to centre along the Abutment cap </v>
      </c>
    </row>
    <row r="110">
      <c r="A110" t="str">
        <v>Provide 16 mm tor 2 legged horizontal stirrups @ 100 mm centre to centre along the Abutment cap</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sheetData>
    <row r="1">
      <c r="A1" t="str">
        <v>DESIGN OF DIRT WALL AS COLUMN WITH BENDING</v>
      </c>
    </row>
    <row r="2">
      <c r="A2" t="str">
        <v>AXIAL LOAD ON THE DIRT WALL</v>
      </c>
      <c r="F2">
        <v>31.6</v>
      </c>
      <c r="G2" t="str">
        <v>KN</v>
      </c>
    </row>
    <row r="3">
      <c r="A3" t="str">
        <v>ASSUME WIDTH OF DIRT WALL</v>
      </c>
      <c r="F3">
        <v>1000</v>
      </c>
      <c r="G3" t="str">
        <v>MM</v>
      </c>
      <c r="H3" t="str">
        <v>EMIN/B</v>
      </c>
      <c r="I3">
        <v>0.003933333333333334</v>
      </c>
    </row>
    <row r="4">
      <c r="A4" t="str">
        <v>ASSUME DEPTH OF DIRT WALL</v>
      </c>
      <c r="F4">
        <v>300</v>
      </c>
      <c r="G4" t="str">
        <v>MM</v>
      </c>
      <c r="H4" t="str">
        <v>EMIN/D</v>
      </c>
      <c r="I4">
        <v>0.005333333333333334</v>
      </c>
    </row>
    <row r="5">
      <c r="A5" t="str">
        <v>MOMENT TRANSFERRED TO DIRT WALL</v>
      </c>
      <c r="F5">
        <v>12.8</v>
      </c>
      <c r="G5" t="str">
        <v>KN-M</v>
      </c>
    </row>
    <row r="6">
      <c r="A6" t="str">
        <v>FACTORED AXIAL LOAD</v>
      </c>
      <c r="F6">
        <v>47.400000000000006</v>
      </c>
      <c r="G6" t="str">
        <v>KN</v>
      </c>
    </row>
    <row r="7">
      <c r="A7" t="str">
        <v>FACTORED MOMENT</v>
      </c>
      <c r="F7">
        <v>19.200000000000003</v>
      </c>
      <c r="G7" t="str">
        <v>KN-M</v>
      </c>
    </row>
    <row r="8">
      <c r="A8" t="str">
        <v>DIA OF LONGITUDINAL REINFORCEMENT</v>
      </c>
      <c r="F8">
        <v>10</v>
      </c>
      <c r="G8" t="str">
        <v>MM</v>
      </c>
    </row>
    <row r="9">
      <c r="A9" t="str">
        <v>CLEAR COVER</v>
      </c>
      <c r="F9">
        <v>40</v>
      </c>
      <c r="G9" t="str">
        <v>MM</v>
      </c>
    </row>
    <row r="10">
      <c r="A10" t="str">
        <v>d'</v>
      </c>
      <c r="F10">
        <v>45</v>
      </c>
      <c r="G10" t="str">
        <v>MM</v>
      </c>
    </row>
    <row r="11">
      <c r="A11" t="str">
        <v>d'/D</v>
      </c>
      <c r="F11">
        <v>0.15</v>
      </c>
    </row>
    <row r="12">
      <c r="A12" t="str">
        <v>ADOPT d'/D</v>
      </c>
      <c r="F12">
        <v>0.15</v>
      </c>
    </row>
    <row r="13">
      <c r="A13" t="str">
        <v>PU/FCKBD</v>
      </c>
      <c r="F13">
        <v>0.005266666666666668</v>
      </c>
    </row>
    <row r="14">
      <c r="A14" t="str">
        <v>MU/FCKBD2</v>
      </c>
      <c r="F14">
        <v>0.007111111111111112</v>
      </c>
    </row>
    <row r="15">
      <c r="A15" t="str">
        <v>REINFORCEMENT EQUALLY DISTRIDUTED ON  TWO SIDES</v>
      </c>
    </row>
    <row r="16">
      <c r="A16" t="str">
        <v>USING CHART NO- OF RCC DESIGN AIDS</v>
      </c>
      <c r="F16">
        <v>33</v>
      </c>
      <c r="H16" t="str">
        <v>CONC GRADE M-30</v>
      </c>
    </row>
    <row r="17">
      <c r="A17" t="str">
        <v>P/FCK</v>
      </c>
      <c r="F17">
        <v>0.01</v>
      </c>
    </row>
    <row r="18">
      <c r="A18" t="str">
        <v>P</v>
      </c>
      <c r="F18">
        <v>0.3</v>
      </c>
      <c r="H18" t="str">
        <v>&gt; Minimum Steel 0.2% Hence OK</v>
      </c>
    </row>
    <row r="19">
      <c r="A19" t="str">
        <v>AS</v>
      </c>
      <c r="F19">
        <v>900</v>
      </c>
      <c r="G19" t="str">
        <v>SQ MM</v>
      </c>
    </row>
    <row r="20">
      <c r="A20" t="str">
        <v>TOTAL NUMBER OF BARS REQUIRED</v>
      </c>
      <c r="F20">
        <v>12</v>
      </c>
    </row>
    <row r="21">
      <c r="A21" t="str">
        <v>NUMBER OF BARS ON EACH SIDE</v>
      </c>
      <c r="F21">
        <v>6</v>
      </c>
    </row>
    <row r="22">
      <c r="A22" t="str">
        <v xml:space="preserve">SPACING </v>
      </c>
      <c r="F22">
        <v>200</v>
      </c>
      <c r="G22" t="str">
        <v>MM</v>
      </c>
    </row>
    <row r="24">
      <c r="A24" t="str">
        <v xml:space="preserve">Alternate design Considering dirt wall as cantilever </v>
      </c>
    </row>
    <row r="26">
      <c r="D26" t="str">
        <v>B.M.</v>
      </c>
      <c r="E26" t="str">
        <v>=</v>
      </c>
      <c r="F26">
        <v>12.8</v>
      </c>
      <c r="G26" t="str">
        <v>KN-M</v>
      </c>
    </row>
    <row r="27">
      <c r="C27" t="str">
        <v>deff reqd.   =</v>
      </c>
      <c r="F27">
        <v>12.8</v>
      </c>
      <c r="G27" t="str">
        <v>x</v>
      </c>
      <c r="H27" t="str">
        <v>10 6</v>
      </c>
      <c r="I27" t="str">
        <v>=</v>
      </c>
      <c r="J27">
        <v>118.7</v>
      </c>
      <c r="K27" t="str">
        <v>mm</v>
      </c>
    </row>
    <row r="28">
      <c r="F28">
        <v>1000</v>
      </c>
      <c r="G28" t="str">
        <v>x</v>
      </c>
      <c r="H28">
        <v>0.972</v>
      </c>
    </row>
    <row r="29">
      <c r="C29" t="str">
        <v>dpro</v>
      </c>
      <c r="D29">
        <v>300</v>
      </c>
      <c r="E29" t="str">
        <v>-</v>
      </c>
      <c r="F29">
        <v>50</v>
      </c>
      <c r="G29" t="str">
        <v>-</v>
      </c>
      <c r="H29">
        <v>16</v>
      </c>
      <c r="I29" t="str">
        <v>=</v>
      </c>
      <c r="J29">
        <v>245</v>
      </c>
      <c r="K29" t="str">
        <v>mm</v>
      </c>
      <c r="L29" t="str">
        <v>&gt;</v>
      </c>
      <c r="M29">
        <v>118.7</v>
      </c>
      <c r="O29" t="str">
        <v>mm</v>
      </c>
      <c r="P29" t="str">
        <v>(OK)</v>
      </c>
    </row>
    <row r="30">
      <c r="H30">
        <v>2</v>
      </c>
    </row>
    <row r="31">
      <c r="C31" t="str">
        <v>Ast</v>
      </c>
      <c r="D31" t="str">
        <v>=</v>
      </c>
      <c r="F31">
        <v>12.8</v>
      </c>
      <c r="G31" t="str">
        <v>X</v>
      </c>
      <c r="I31" t="str">
        <v>10 6</v>
      </c>
      <c r="K31" t="str">
        <v>=</v>
      </c>
      <c r="L31">
        <v>284.86858211114327</v>
      </c>
      <c r="M31" t="str">
        <v>mm2</v>
      </c>
    </row>
    <row r="32">
      <c r="F32">
        <v>200</v>
      </c>
      <c r="G32" t="str">
        <v>X</v>
      </c>
      <c r="H32">
        <v>0.917</v>
      </c>
      <c r="I32" t="str">
        <v>x</v>
      </c>
      <c r="J32">
        <v>245</v>
      </c>
    </row>
    <row r="33">
      <c r="B33" t="str">
        <v>This steel is to be provided on back</v>
      </c>
      <c r="F33" t="str">
        <v xml:space="preserve">i.e. </v>
      </c>
      <c r="G33" t="str">
        <v>approach slab side</v>
      </c>
    </row>
    <row r="35">
      <c r="B35" t="str">
        <v>Provide Vertical steel as follows</v>
      </c>
    </row>
    <row r="36">
      <c r="B36" t="str">
        <v>On River side 10mm bars @ 150 mm c/c</v>
      </c>
      <c r="G36" t="str">
        <v>=</v>
      </c>
      <c r="H36">
        <v>524</v>
      </c>
      <c r="I36" t="str">
        <v>mm2</v>
      </c>
    </row>
    <row r="37">
      <c r="B37" t="str">
        <v>On Approach Slab side 10mm bars @ 150 Mm c/c</v>
      </c>
      <c r="G37" t="str">
        <v>=</v>
      </c>
      <c r="H37">
        <v>524</v>
      </c>
      <c r="I37" t="str">
        <v>mm2</v>
      </c>
    </row>
    <row r="38">
      <c r="B38" t="str">
        <v>Minimum steel required in Horizontal direction</v>
      </c>
    </row>
    <row r="39">
      <c r="B39" t="str">
        <v>=</v>
      </c>
      <c r="C39">
        <v>0.002</v>
      </c>
      <c r="D39" t="str">
        <v>x</v>
      </c>
      <c r="E39">
        <v>1000</v>
      </c>
      <c r="F39" t="str">
        <v>x</v>
      </c>
      <c r="G39">
        <v>250</v>
      </c>
    </row>
    <row r="40">
      <c r="B40" t="str">
        <v>=</v>
      </c>
      <c r="D40">
        <v>500</v>
      </c>
      <c r="E40" t="str">
        <v>mm2</v>
      </c>
    </row>
    <row r="41">
      <c r="B41" t="str">
        <v>i.e. 250 mm2</v>
      </c>
      <c r="D41" t="str">
        <v>on each face</v>
      </c>
    </row>
    <row r="42">
      <c r="B42" t="str">
        <v>provide  10</v>
      </c>
      <c r="D42" t="str">
        <v>@ 250 mm</v>
      </c>
      <c r="F42" t="str">
        <v>c/c</v>
      </c>
      <c r="G42" t="str">
        <v>=</v>
      </c>
      <c r="H42">
        <v>314</v>
      </c>
      <c r="I42" t="str">
        <v>mm2</v>
      </c>
    </row>
    <row r="43">
      <c r="C43" t="str">
        <v>ABSTRACT</v>
      </c>
    </row>
    <row r="44">
      <c r="C44" t="str">
        <v xml:space="preserve">VERTICAL REINFORCEMENT IN SHAPE OF STIRRUPS on both faces </v>
      </c>
    </row>
    <row r="45">
      <c r="C45" t="str">
        <v>DIA</v>
      </c>
      <c r="D45">
        <v>10</v>
      </c>
      <c r="E45" t="str">
        <v>mm</v>
      </c>
    </row>
    <row r="46">
      <c r="C46" t="str">
        <v>SPACING</v>
      </c>
      <c r="D46">
        <v>150</v>
      </c>
      <c r="E46" t="str">
        <v>mm</v>
      </c>
    </row>
    <row r="48">
      <c r="C48" t="str">
        <v xml:space="preserve">HORIZONTAL REINFORCEMENT BAR DIA on both faces </v>
      </c>
    </row>
    <row r="49">
      <c r="C49" t="str">
        <v>DIA</v>
      </c>
      <c r="D49">
        <v>10</v>
      </c>
      <c r="E49" t="str">
        <v>mm</v>
      </c>
    </row>
    <row r="50">
      <c r="C50" t="str">
        <v>SPACING</v>
      </c>
      <c r="D50">
        <v>250</v>
      </c>
      <c r="E50" t="str">
        <v>mm</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sheetData>
    <row r="1">
      <c r="A1" t="str">
        <v>Design of Dirt Wall</v>
      </c>
    </row>
    <row r="2">
      <c r="B2" t="str">
        <v>Dirt wall is subjected to</v>
      </c>
    </row>
    <row r="3">
      <c r="B3" t="str">
        <v xml:space="preserve">(1) </v>
      </c>
      <c r="C3" t="str">
        <v>Live load</v>
      </c>
    </row>
    <row r="4">
      <c r="B4" t="str">
        <v xml:space="preserve">(2) </v>
      </c>
      <c r="C4" t="str">
        <v>Live load surcharge</v>
      </c>
    </row>
    <row r="5">
      <c r="B5" t="str">
        <v>(3)</v>
      </c>
      <c r="C5" t="str">
        <v>Braking force</v>
      </c>
    </row>
    <row r="6">
      <c r="B6" t="str">
        <v>(3)</v>
      </c>
      <c r="C6" t="str">
        <v>Earth Pressure</v>
      </c>
    </row>
    <row r="7">
      <c r="B7" t="str">
        <v>1)</v>
      </c>
      <c r="C7" t="str">
        <v>Consider 70 T tracked vehicle case is</v>
      </c>
    </row>
    <row r="8">
      <c r="C8" t="str">
        <v>governing &amp; 14 T Axle over dirt wall,</v>
      </c>
    </row>
    <row r="9">
      <c r="C9" t="str">
        <v>Dispersion width at top of DIRT WALL</v>
      </c>
    </row>
    <row r="11">
      <c r="B11" t="str">
        <v>=</v>
      </c>
      <c r="C11">
        <v>2.9</v>
      </c>
      <c r="D11" t="str">
        <v>+</v>
      </c>
      <c r="E11" t="str">
        <v>(</v>
      </c>
      <c r="F11">
        <v>1.2</v>
      </c>
      <c r="G11" t="str">
        <v>+</v>
      </c>
      <c r="H11">
        <v>0.305</v>
      </c>
      <c r="I11" t="str">
        <v>)</v>
      </c>
      <c r="J11" t="str">
        <v>+</v>
      </c>
      <c r="K11">
        <v>0.83</v>
      </c>
    </row>
    <row r="13">
      <c r="B13" t="str">
        <v>=</v>
      </c>
      <c r="C13">
        <v>2.9</v>
      </c>
      <c r="D13" t="str">
        <v>+</v>
      </c>
      <c r="E13">
        <v>1.53</v>
      </c>
      <c r="G13" t="str">
        <v>+</v>
      </c>
      <c r="H13">
        <v>0.825</v>
      </c>
    </row>
    <row r="15">
      <c r="B15" t="str">
        <v>=</v>
      </c>
      <c r="C15">
        <v>5.255</v>
      </c>
      <c r="D15" t="str">
        <v>M</v>
      </c>
    </row>
    <row r="16">
      <c r="B16" t="str">
        <v>Live Load</v>
      </c>
      <c r="D16" t="str">
        <v>=</v>
      </c>
      <c r="E16">
        <v>14</v>
      </c>
      <c r="G16" t="str">
        <v>=</v>
      </c>
      <c r="H16">
        <v>2.66</v>
      </c>
      <c r="I16" t="str">
        <v>T/M</v>
      </c>
    </row>
    <row r="17">
      <c r="B17" t="str">
        <v>M Length</v>
      </c>
      <c r="E17">
        <v>5.255</v>
      </c>
    </row>
    <row r="18">
      <c r="B18" t="str">
        <v>2)</v>
      </c>
      <c r="C18" t="str">
        <v>Self wt. of dirt wall</v>
      </c>
    </row>
    <row r="19">
      <c r="B19" t="str">
        <v>=</v>
      </c>
      <c r="C19">
        <v>0.6</v>
      </c>
      <c r="D19" t="str">
        <v>x</v>
      </c>
      <c r="E19">
        <v>0.3</v>
      </c>
      <c r="F19" t="str">
        <v>x</v>
      </c>
      <c r="G19">
        <v>2.4</v>
      </c>
    </row>
    <row r="21">
      <c r="B21" t="str">
        <v>=</v>
      </c>
      <c r="C21">
        <v>0.495</v>
      </c>
      <c r="D21" t="str">
        <v>T/M</v>
      </c>
    </row>
    <row r="23">
      <c r="B23" t="str">
        <v>Say</v>
      </c>
      <c r="C23">
        <v>0.5</v>
      </c>
      <c r="D23" t="str">
        <v>T/M</v>
      </c>
    </row>
    <row r="25">
      <c r="B25" t="str">
        <v>Total direct loads  =</v>
      </c>
      <c r="E25">
        <v>2.66</v>
      </c>
      <c r="G25" t="str">
        <v>+</v>
      </c>
      <c r="H25">
        <v>0.5</v>
      </c>
      <c r="I25" t="str">
        <v>=</v>
      </c>
      <c r="J25">
        <v>3.16</v>
      </c>
      <c r="L25" t="str">
        <v>T/M</v>
      </c>
      <c r="M25" t="str">
        <v>=</v>
      </c>
      <c r="N25">
        <f>J25*10</f>
        <v>31.6</v>
      </c>
      <c r="O25" t="str">
        <v>kN</v>
      </c>
    </row>
    <row r="27">
      <c r="B27" t="str">
        <v xml:space="preserve">Here considering that only 70% of Braking </v>
      </c>
    </row>
    <row r="28">
      <c r="B28" t="str">
        <v>force will be on dirt wall &amp; the</v>
      </c>
    </row>
    <row r="29">
      <c r="B29" t="str">
        <v>rest of braking force will be on  soil.</v>
      </c>
    </row>
    <row r="31">
      <c r="B31" t="str">
        <v>=  Braking force/mt.</v>
      </c>
      <c r="E31" t="str">
        <v>=</v>
      </c>
      <c r="G31">
        <v>0.2</v>
      </c>
      <c r="H31" t="str">
        <v>x</v>
      </c>
      <c r="I31">
        <v>14</v>
      </c>
      <c r="K31" t="str">
        <v>x</v>
      </c>
      <c r="L31">
        <v>1</v>
      </c>
      <c r="M31" t="str">
        <v>=</v>
      </c>
      <c r="N31">
        <v>0.53</v>
      </c>
      <c r="O31" t="str">
        <v>T</v>
      </c>
    </row>
    <row r="32">
      <c r="H32">
        <v>5.255</v>
      </c>
    </row>
    <row r="33">
      <c r="B33" t="str">
        <v>=  B.M. due to Braking force</v>
      </c>
    </row>
    <row r="35">
      <c r="B35" t="str">
        <v>=</v>
      </c>
      <c r="C35">
        <v>0.53</v>
      </c>
      <c r="D35" t="str">
        <v>x       (</v>
      </c>
      <c r="E35">
        <v>1.2</v>
      </c>
      <c r="F35" t="str">
        <v>+   [</v>
      </c>
      <c r="G35">
        <v>0.83</v>
      </c>
      <c r="M35" t="str">
        <v>]  )</v>
      </c>
    </row>
    <row r="36">
      <c r="B36" t="str">
        <v>=</v>
      </c>
      <c r="C36">
        <v>1.07</v>
      </c>
      <c r="D36" t="str">
        <v>T-M</v>
      </c>
    </row>
    <row r="37">
      <c r="B37" t="str">
        <v>Intensity of Earth Pressure at Deck Level</v>
      </c>
    </row>
    <row r="39">
      <c r="B39" t="str">
        <v>=</v>
      </c>
      <c r="C39">
        <v>0.224</v>
      </c>
      <c r="D39" t="str">
        <v>x</v>
      </c>
      <c r="E39">
        <v>1.8</v>
      </c>
      <c r="F39" t="str">
        <v>x</v>
      </c>
      <c r="G39">
        <v>1.2</v>
      </c>
    </row>
    <row r="41">
      <c r="B41" t="str">
        <v>=</v>
      </c>
      <c r="C41">
        <v>0.483</v>
      </c>
      <c r="D41" t="str">
        <v>T/M2</v>
      </c>
    </row>
    <row r="43">
      <c r="B43" t="str">
        <v>Intensity of Earth Pressure at top of Abutment Cap</v>
      </c>
      <c r="G43" t="str">
        <v>=</v>
      </c>
    </row>
    <row r="45">
      <c r="B45" t="str">
        <v>=</v>
      </c>
      <c r="C45">
        <v>0.224</v>
      </c>
      <c r="D45" t="str">
        <v>x</v>
      </c>
      <c r="E45">
        <v>1.8</v>
      </c>
      <c r="F45" t="str">
        <v>x    (</v>
      </c>
      <c r="G45">
        <v>1.2</v>
      </c>
      <c r="H45" t="str">
        <v>+</v>
      </c>
      <c r="I45">
        <v>0.825</v>
      </c>
      <c r="K45" t="str">
        <v>)</v>
      </c>
    </row>
    <row r="47">
      <c r="B47" t="str">
        <v>=</v>
      </c>
      <c r="C47">
        <v>0.816</v>
      </c>
      <c r="D47" t="str">
        <v>T/M2</v>
      </c>
    </row>
    <row r="48">
      <c r="B48" t="str">
        <v>B.M. due to Earth Pressure &amp; Live Load</v>
      </c>
    </row>
    <row r="49">
      <c r="B49" t="str">
        <v>Surcharge/M width</v>
      </c>
    </row>
    <row r="50">
      <c r="C50">
        <v>1</v>
      </c>
      <c r="D50" t="str">
        <v>=       (</v>
      </c>
      <c r="E50">
        <v>0.816</v>
      </c>
      <c r="G50" t="str">
        <v>-</v>
      </c>
      <c r="H50">
        <v>0.483</v>
      </c>
      <c r="J50" t="str">
        <v>)   X</v>
      </c>
      <c r="K50">
        <v>0.825</v>
      </c>
      <c r="L50" t="str">
        <v>X</v>
      </c>
      <c r="M50">
        <v>0.42</v>
      </c>
      <c r="O50" t="str">
        <v>X</v>
      </c>
      <c r="P50">
        <v>0.875</v>
      </c>
    </row>
    <row r="51">
      <c r="B51" t="str">
        <v>=</v>
      </c>
      <c r="C51">
        <v>2</v>
      </c>
    </row>
    <row r="53">
      <c r="D53" t="str">
        <v>+</v>
      </c>
      <c r="E53">
        <v>0.483</v>
      </c>
      <c r="G53" t="str">
        <v>X</v>
      </c>
      <c r="H53">
        <v>0.825</v>
      </c>
      <c r="J53" t="str">
        <v xml:space="preserve">  X</v>
      </c>
      <c r="K53">
        <v>0.528</v>
      </c>
    </row>
    <row r="54">
      <c r="K54">
        <v>2</v>
      </c>
    </row>
    <row r="55">
      <c r="B55" t="str">
        <v>=</v>
      </c>
      <c r="C55">
        <v>0.048</v>
      </c>
      <c r="D55" t="str">
        <v>+</v>
      </c>
      <c r="E55">
        <v>0.164</v>
      </c>
    </row>
    <row r="57">
      <c r="B57" t="str">
        <v>=</v>
      </c>
      <c r="C57">
        <v>0.21</v>
      </c>
      <c r="D57" t="str">
        <v>T-M</v>
      </c>
    </row>
    <row r="58">
      <c r="C58" t="str">
        <v>Total BM at top of DIRT WALL</v>
      </c>
    </row>
    <row r="60">
      <c r="B60" t="str">
        <v>=</v>
      </c>
      <c r="D60">
        <v>1.07</v>
      </c>
      <c r="E60" t="str">
        <v>+</v>
      </c>
      <c r="F60">
        <v>0.21</v>
      </c>
    </row>
    <row r="62">
      <c r="B62" t="str">
        <v>=</v>
      </c>
      <c r="D62">
        <v>1.28</v>
      </c>
      <c r="E62" t="str">
        <v>T-M</v>
      </c>
      <c r="F62" t="str">
        <v>=</v>
      </c>
      <c r="G62">
        <f>D62*10</f>
        <v>12.8</v>
      </c>
      <c r="H62" t="str">
        <v>kN-m</v>
      </c>
    </row>
    <row r="63">
      <c r="B63" t="str">
        <v xml:space="preserve">Direct Stress </v>
      </c>
      <c r="D63" t="str">
        <v>=</v>
      </c>
      <c r="E63">
        <v>3.16</v>
      </c>
      <c r="G63" t="str">
        <v>X</v>
      </c>
      <c r="H63" t="str">
        <v>10 3</v>
      </c>
    </row>
    <row r="64">
      <c r="F64">
        <v>30</v>
      </c>
      <c r="G64" t="str">
        <v>X</v>
      </c>
      <c r="H64">
        <v>100</v>
      </c>
    </row>
    <row r="65">
      <c r="D65" t="str">
        <v>=</v>
      </c>
      <c r="E65">
        <f>1.26*25/30</f>
        <v>1.05</v>
      </c>
      <c r="G65" t="str">
        <v>Kg./Cm2</v>
      </c>
    </row>
    <row r="68">
      <c r="B68" t="str">
        <v xml:space="preserve">Bending Stress </v>
      </c>
      <c r="D68" t="str">
        <v>=</v>
      </c>
      <c r="E68">
        <v>1.28</v>
      </c>
      <c r="G68" t="str">
        <v>X</v>
      </c>
      <c r="H68" t="str">
        <v>10 3</v>
      </c>
    </row>
    <row r="69">
      <c r="E69">
        <v>1</v>
      </c>
      <c r="F69" t="str">
        <v>X</v>
      </c>
      <c r="G69">
        <v>100</v>
      </c>
      <c r="H69" t="str">
        <v>X</v>
      </c>
      <c r="I69" t="str">
        <v>30 2</v>
      </c>
    </row>
    <row r="70">
      <c r="E70">
        <v>6</v>
      </c>
    </row>
    <row r="72">
      <c r="D72" t="str">
        <v>=</v>
      </c>
      <c r="E72">
        <f>1280/(100*900/6)</f>
        <v>0.08533333333333333</v>
      </c>
      <c r="G72" t="str">
        <v>Kg./Cm2</v>
      </c>
    </row>
    <row r="74">
      <c r="B74" t="str">
        <v>For M 30 Grade,</v>
      </c>
    </row>
    <row r="76">
      <c r="B76" t="str">
        <v>Permissible Bending Stress  =</v>
      </c>
      <c r="G76">
        <v>67</v>
      </c>
      <c r="H76" t="str">
        <v>Kg./Cm2</v>
      </c>
    </row>
    <row r="79">
      <c r="B79" t="str">
        <v>Permissible Direct Compressive</v>
      </c>
    </row>
    <row r="80">
      <c r="C80" t="str">
        <v>Stress</v>
      </c>
      <c r="D80" t="str">
        <v>=</v>
      </c>
      <c r="E80">
        <v>50</v>
      </c>
      <c r="F80" t="str">
        <v>Kg./Cm2</v>
      </c>
    </row>
    <row r="83">
      <c r="B83" t="str">
        <v>=</v>
      </c>
      <c r="D83">
        <v>1.05</v>
      </c>
      <c r="E83" t="str">
        <v>+</v>
      </c>
      <c r="F83">
        <v>0.09</v>
      </c>
      <c r="H83" t="str">
        <v>&lt;</v>
      </c>
      <c r="I83">
        <v>1</v>
      </c>
    </row>
    <row r="84">
      <c r="D84">
        <v>50</v>
      </c>
      <c r="F84">
        <v>67</v>
      </c>
    </row>
    <row r="86">
      <c r="B86" t="str">
        <v>=</v>
      </c>
      <c r="D86">
        <f>1.05/50</f>
        <v>0.021</v>
      </c>
      <c r="E86" t="str">
        <v>+</v>
      </c>
      <c r="F86">
        <f>0.09/67</f>
        <v>0.0013432835820895521</v>
      </c>
      <c r="H86" t="str">
        <v>&lt;</v>
      </c>
      <c r="I86">
        <v>1</v>
      </c>
    </row>
    <row r="88">
      <c r="B88" t="str">
        <v>=</v>
      </c>
      <c r="D88">
        <v>0.022</v>
      </c>
      <c r="H88" t="str">
        <v>&lt;</v>
      </c>
      <c r="I88">
        <v>1</v>
      </c>
      <c r="K88" t="str">
        <v>HENCE OK.</v>
      </c>
    </row>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sheetData>
    <row r="1">
      <c r="A1" t="str">
        <v>DEAD LOAD CALCULATION :-</v>
      </c>
    </row>
    <row r="2">
      <c r="A2" t="str">
        <v>DEPTH OF DECK SLAB =</v>
      </c>
      <c r="B2">
        <v>925</v>
      </c>
      <c r="C2" t="str">
        <v>mm</v>
      </c>
    </row>
    <row r="3">
      <c r="A3" t="str">
        <v>DEPTH OF WEARING COAT =</v>
      </c>
      <c r="B3">
        <v>75</v>
      </c>
      <c r="C3" t="str">
        <v>mm</v>
      </c>
    </row>
    <row r="4">
      <c r="A4" t="str">
        <v>DIA OF MAIN BAR =</v>
      </c>
      <c r="B4">
        <v>25</v>
      </c>
      <c r="C4" t="str">
        <v>mm</v>
      </c>
    </row>
    <row r="5">
      <c r="A5" t="str">
        <v>Clear cover =</v>
      </c>
      <c r="B5">
        <v>25</v>
      </c>
      <c r="C5" t="str">
        <v>mm</v>
      </c>
    </row>
    <row r="6">
      <c r="A6" t="str">
        <v xml:space="preserve">Effective depth of slab deffective  = </v>
      </c>
      <c r="B6">
        <f>B2</f>
        <v>925</v>
      </c>
      <c r="C6" t="str">
        <v>-</v>
      </c>
      <c r="D6">
        <f>B5</f>
        <v>25</v>
      </c>
      <c r="E6" t="str">
        <v>-</v>
      </c>
      <c r="F6">
        <f>B5</f>
        <v>25</v>
      </c>
      <c r="G6" t="str">
        <v>/2 =</v>
      </c>
      <c r="H6">
        <f>B2-B5-B4/2</f>
        <v>887.5</v>
      </c>
      <c r="I6" t="str">
        <v>mm</v>
      </c>
    </row>
    <row r="7">
      <c r="A7" t="str">
        <v xml:space="preserve">Effective SpanLeffective    =   </v>
      </c>
      <c r="B7">
        <v>10</v>
      </c>
      <c r="C7" t="str">
        <v>m</v>
      </c>
    </row>
    <row r="8">
      <c r="A8" t="str">
        <v>DESIGN DEAD LOAD :-</v>
      </c>
    </row>
    <row r="9">
      <c r="A9" t="str">
        <v>(1) Weight / Sqm  of Slab</v>
      </c>
      <c r="B9">
        <f>B2/1000</f>
        <v>0.925</v>
      </c>
      <c r="C9" t="str">
        <v>x</v>
      </c>
      <c r="D9">
        <v>2.4</v>
      </c>
      <c r="E9" t="str">
        <v>=</v>
      </c>
      <c r="F9">
        <f>B9*D9</f>
        <v>2.22</v>
      </c>
      <c r="G9" t="str">
        <v>T/ Sqm</v>
      </c>
    </row>
    <row r="10">
      <c r="A10" t="str">
        <v>(2) Weight / Sqm  of wearing coat</v>
      </c>
      <c r="B10">
        <v>0.075</v>
      </c>
      <c r="C10" t="str">
        <v>x</v>
      </c>
      <c r="D10">
        <v>2.4</v>
      </c>
      <c r="E10" t="str">
        <v>=</v>
      </c>
      <c r="F10">
        <f>B10*D10</f>
        <v>0.18</v>
      </c>
      <c r="G10" t="str">
        <v>T/ Sqm</v>
      </c>
    </row>
    <row r="11">
      <c r="A11" t="str">
        <v>Total DL</v>
      </c>
      <c r="F11">
        <f>SUM(F9:F10)</f>
        <v>2.4000000000000004</v>
      </c>
      <c r="G11" t="str">
        <v>T/ Sqm</v>
      </c>
    </row>
    <row r="12">
      <c r="A12" t="str">
        <v>DEAD LOAD BENDING MOMENT</v>
      </c>
      <c r="B12" t="str">
        <f>CONCATENATE(F11,"x",B7,"x",B7,"/8 =")</f>
        <v>2.4x10x10/8 =</v>
      </c>
      <c r="F12">
        <f>F11*B7^2/8</f>
        <v>30.000000000000004</v>
      </c>
      <c r="G12" t="str">
        <v>T-M</v>
      </c>
    </row>
    <row r="14">
      <c r="A14" t="str">
        <v>LIVE LOAD CALCULATION :-</v>
      </c>
    </row>
    <row r="15">
      <c r="A15" t="str">
        <v>[1] CLASS  AA TRACKED VEHICLE :-</v>
      </c>
    </row>
    <row r="16">
      <c r="A16" t="str">
        <v>(a) Dispersion width along the span</v>
      </c>
    </row>
    <row r="17">
      <c r="A17" t="str">
        <v xml:space="preserve"> = Length of Contact   +   2 (Wearing coat + depth of Slab)</v>
      </c>
    </row>
    <row r="18">
      <c r="A18" t="str">
        <f>CONCATENATE("= ",3.6,"+2(",B3/1000,"+",B2/1000,")=")</f>
        <v>= 3.6+2(0.075+0.925)=</v>
      </c>
      <c r="B18" t="str">
        <v>=</v>
      </c>
      <c r="C18">
        <f>3.6+(B2+B3)/500</f>
        <v>5.6</v>
      </c>
      <c r="D18" t="str">
        <v>m</v>
      </c>
    </row>
    <row r="20">
      <c r="A20" t="str">
        <v>(b) Dispersion width across the span</v>
      </c>
    </row>
    <row r="21">
      <c r="A21" t="str">
        <v xml:space="preserve"> be  =  K  x       ( 1  - x/Le )   + Bw</v>
      </c>
    </row>
    <row r="22">
      <c r="A22" t="str">
        <v>K  =  A Constant having the value depending upon the ratio (be/Le)  where ---</v>
      </c>
    </row>
    <row r="23">
      <c r="B23" t="str">
        <v>be = the effective width of the slab on which the load acts.</v>
      </c>
    </row>
    <row r="24">
      <c r="B24" t="str">
        <v>Le  = Effective  Span</v>
      </c>
    </row>
    <row r="25">
      <c r="B25" t="str">
        <v>x   = the distance of c.g. of concentrate load from the near support</v>
      </c>
    </row>
    <row r="26">
      <c r="B26" t="str">
        <v>bw    =   The breadth of concentration area of the load i.e. Dimension of</v>
      </c>
    </row>
    <row r="27">
      <c r="B27" t="str">
        <v xml:space="preserve">              the tyre or track contact area over the road surface </v>
      </c>
    </row>
    <row r="28">
      <c r="A28" t="str">
        <v>Here ,</v>
      </c>
    </row>
    <row r="29">
      <c r="A29" t="str">
        <v>be</v>
      </c>
      <c r="B29" t="str">
        <v>=</v>
      </c>
      <c r="C29">
        <v>7.5</v>
      </c>
      <c r="D29" t="str">
        <v>m</v>
      </c>
    </row>
    <row r="30">
      <c r="A30" t="str">
        <v>Le</v>
      </c>
      <c r="B30" t="str">
        <v>=</v>
      </c>
      <c r="C30">
        <v>10</v>
      </c>
      <c r="D30" t="str">
        <v>m</v>
      </c>
    </row>
    <row r="31">
      <c r="A31" t="str">
        <v>be/Le</v>
      </c>
      <c r="B31" t="str">
        <v>=</v>
      </c>
      <c r="C31">
        <f>ROUND(C29/C30,2)</f>
        <v>0.75</v>
      </c>
    </row>
    <row r="32">
      <c r="A32" t="str">
        <v xml:space="preserve">Value  of    K </v>
      </c>
      <c r="B32" t="str">
        <v xml:space="preserve"> =</v>
      </c>
      <c r="C32">
        <v>2.4</v>
      </c>
    </row>
    <row r="33">
      <c r="A33" t="str">
        <v>Bw   =</v>
      </c>
      <c r="B33" t="str">
        <v>0.85 + (2 x 0.075) =</v>
      </c>
      <c r="D33">
        <v>1</v>
      </c>
      <c r="E33" t="str">
        <v>m</v>
      </c>
    </row>
    <row r="34">
      <c r="A34" t="str">
        <v>x</v>
      </c>
      <c r="B34" t="str">
        <v>=</v>
      </c>
      <c r="C34" t="str">
        <v>Le/2</v>
      </c>
      <c r="D34" t="str">
        <v>=</v>
      </c>
      <c r="E34">
        <f>C30</f>
        <v>10</v>
      </c>
      <c r="F34" t="str">
        <v>/2 =</v>
      </c>
      <c r="G34">
        <f>E34/2</f>
        <v>5</v>
      </c>
      <c r="H34" t="str">
        <v>m</v>
      </c>
    </row>
    <row r="35">
      <c r="A35" t="str">
        <v xml:space="preserve">be </v>
      </c>
      <c r="B35" t="str">
        <v>=</v>
      </c>
      <c r="C35">
        <f>C32*(1-G34/C30)+D33</f>
        <v>2.2</v>
      </c>
      <c r="D35" t="str">
        <v>m</v>
      </c>
    </row>
    <row r="36">
      <c r="A36" t="str">
        <v>Impact factor is  13.75%   as pere IRC Section-II, Clause - 211-3 (a) (i)</v>
      </c>
    </row>
    <row r="37">
      <c r="A37" t="str">
        <v>DISPERSION ACROSS SPAN (CLASS AA TRACKED VEHICAL)</v>
      </c>
    </row>
    <row r="38">
      <c r="A38" t="str">
        <v>The tracked vehicle is placed at a distance of minimum clearence of 1.2 m from Kerb</v>
      </c>
    </row>
    <row r="39">
      <c r="A39" t="str">
        <v>Dispersion across span = C/C distance between wheels + width from centre of wheel on clearence side</v>
      </c>
    </row>
    <row r="40">
      <c r="B40" t="str">
        <v xml:space="preserve">    + Least on other side or half the dispersion of one wheel.</v>
      </c>
    </row>
    <row r="41">
      <c r="A41" t="str">
        <v xml:space="preserve"> = 2.05 + 1.93  + Least of 3.825 Or  5.6/2</v>
      </c>
      <c r="H41">
        <f>1.925+3.825</f>
        <v>5.75</v>
      </c>
    </row>
    <row r="43">
      <c r="A43" t="str">
        <v xml:space="preserve"> = 2.05 + 1.93  + 2.8</v>
      </c>
      <c r="B43" t="str">
        <v>=</v>
      </c>
      <c r="C43">
        <f>2.05+1.93+2.8</f>
        <v>6.779999999999999</v>
      </c>
      <c r="D43" t="str">
        <v>M</v>
      </c>
    </row>
    <row r="44">
      <c r="A44" t="str">
        <v xml:space="preserve">Impact factor = 1.1375 </v>
      </c>
    </row>
    <row r="45">
      <c r="A45" t="str">
        <v>Total load with impact</v>
      </c>
      <c r="B45" t="str">
        <v>=  70   x    1.1375</v>
      </c>
    </row>
    <row r="46">
      <c r="B46" t="str">
        <v>=</v>
      </c>
      <c r="C46">
        <f>ROUNDUP(70*1.1375,2)</f>
        <v>79.63000000000001</v>
      </c>
      <c r="D46" t="str">
        <v>T</v>
      </c>
    </row>
    <row r="47">
      <c r="A47" t="str">
        <v>Intensity of Load</v>
      </c>
      <c r="B47" t="str">
        <v>=</v>
      </c>
      <c r="C47">
        <f>C46</f>
        <v>79.63000000000001</v>
      </c>
      <c r="D47" t="str">
        <v>/(</v>
      </c>
      <c r="E47">
        <f>C35</f>
        <v>2.2</v>
      </c>
      <c r="F47" t="str">
        <v>x</v>
      </c>
      <c r="G47">
        <f>C43</f>
        <v>6.779999999999999</v>
      </c>
      <c r="H47" t="str">
        <v>) =</v>
      </c>
    </row>
    <row r="48">
      <c r="B48" t="str">
        <v>=</v>
      </c>
      <c r="C48">
        <f>ROUND(C46/(E47*G47),2)</f>
        <v>5.34</v>
      </c>
      <c r="D48" t="str">
        <v>T</v>
      </c>
    </row>
    <row r="49">
      <c r="A49" t="str">
        <v>DISPERSION ALONG SPAN (CLASS AA TRACKED VEHICLE)</v>
      </c>
    </row>
    <row r="51">
      <c r="A51" t="str">
        <v xml:space="preserve">Maximum Bending Moment due to Live load , at centre </v>
      </c>
    </row>
    <row r="53">
      <c r="A53" t="str">
        <v xml:space="preserve"> = 5.34  x</v>
      </c>
      <c r="B53">
        <v>5.6</v>
      </c>
      <c r="C53" t="str">
        <v>(10.00  -</v>
      </c>
      <c r="D53">
        <v>5.6</v>
      </c>
      <c r="E53" t="str">
        <v>)</v>
      </c>
    </row>
    <row r="54">
      <c r="B54">
        <v>2</v>
      </c>
      <c r="D54">
        <v>5</v>
      </c>
    </row>
    <row r="56">
      <c r="A56" t="str">
        <v xml:space="preserve">      =</v>
      </c>
      <c r="B56">
        <f>ROUND(C48*C18/2*(C30-C18/5),2)</f>
        <v>132.77</v>
      </c>
      <c r="C56" t="str">
        <v>T - M</v>
      </c>
    </row>
    <row r="57">
      <c r="A57" t="str">
        <v>Class AA wheeled  vehicle :-</v>
      </c>
    </row>
    <row r="59">
      <c r="A59" t="str">
        <v>For Maximum B.M. at Centre of the span, the Centre of gravity of the loads and</v>
      </c>
    </row>
    <row r="60">
      <c r="A60" t="str">
        <v xml:space="preserve">the centre of the span should coincide </v>
      </c>
    </row>
    <row r="62">
      <c r="A62" t="str">
        <v>(a) Dispersion width along the span :-</v>
      </c>
    </row>
    <row r="63">
      <c r="A63" t="str">
        <v xml:space="preserve">  tp  =</v>
      </c>
      <c r="B63" t="str">
        <v>tc   =  2  (tw + ts )</v>
      </c>
    </row>
    <row r="65">
      <c r="A65" t="str">
        <v xml:space="preserve">  tp =  </v>
      </c>
      <c r="B65" t="str">
        <v xml:space="preserve">width of dispersion parallel to span </v>
      </c>
    </row>
    <row r="67">
      <c r="A67" t="str">
        <v xml:space="preserve">  tc = </v>
      </c>
      <c r="B67" t="str">
        <v>width of tyre contact area parallel to span</v>
      </c>
    </row>
    <row r="69">
      <c r="A69" t="str">
        <v xml:space="preserve">  ts  =</v>
      </c>
      <c r="B69" t="str">
        <v>Overall depth of slab</v>
      </c>
    </row>
    <row r="71">
      <c r="A71" t="str">
        <v xml:space="preserve"> tw  =</v>
      </c>
      <c r="B71" t="str">
        <v>Thickness</v>
      </c>
      <c r="C71" t="str">
        <v>of Wearing coat</v>
      </c>
    </row>
    <row r="72">
      <c r="A72" t="str">
        <v>Dispersion along the span</v>
      </c>
    </row>
    <row r="73">
      <c r="A73" t="str">
        <v xml:space="preserve"> = 0.15  +  2 ( 0.075 + 0.75)</v>
      </c>
      <c r="B73" t="str">
        <v>=</v>
      </c>
      <c r="C73">
        <v>1.8</v>
      </c>
      <c r="D73" t="str">
        <v>m</v>
      </c>
    </row>
    <row r="75">
      <c r="A75" t="str">
        <v xml:space="preserve"> Dispersion between two wheel is overlapping hence restricted to 1.2 M</v>
      </c>
    </row>
    <row r="76">
      <c r="A76" t="str">
        <v xml:space="preserve"> = Dispersion combined for two wheels </v>
      </c>
    </row>
    <row r="78">
      <c r="A78" t="str">
        <v xml:space="preserve"> = C/c distance between  +   </v>
      </c>
      <c r="D78" t="str">
        <v>Longitudinal</v>
      </c>
    </row>
    <row r="79">
      <c r="A79" t="str">
        <v xml:space="preserve">    two wheels</v>
      </c>
      <c r="D79" t="str">
        <v>dispersion</v>
      </c>
    </row>
    <row r="81">
      <c r="A81" t="str">
        <v xml:space="preserve">  = 1.2</v>
      </c>
      <c r="C81" t="str">
        <v>+</v>
      </c>
      <c r="D81">
        <v>1.8</v>
      </c>
    </row>
    <row r="83">
      <c r="A83" t="str">
        <v xml:space="preserve"> =  3.0 m</v>
      </c>
      <c r="B83" t="str">
        <v>( along the span )</v>
      </c>
    </row>
    <row r="84">
      <c r="A84" t="str">
        <v>DISPERSION ALONG SPAN ( CLASS AA WHEELED VEHICLE )</v>
      </c>
    </row>
    <row r="86">
      <c r="A86" t="str">
        <v>(B) Dispersion width across the span :-</v>
      </c>
    </row>
    <row r="88">
      <c r="A88" t="str">
        <v xml:space="preserve"> be  =  k x ( 1 - X/L )  + w</v>
      </c>
    </row>
    <row r="90">
      <c r="A90" t="str">
        <v xml:space="preserve"> Le  =  10.0 M  &amp; L1  = 7.5 M</v>
      </c>
    </row>
    <row r="92">
      <c r="A92" t="str">
        <v xml:space="preserve">  =</v>
      </c>
      <c r="B92" t="str">
        <v xml:space="preserve">Value of  </v>
      </c>
      <c r="C92" t="str">
        <v>K  = 2.4</v>
      </c>
    </row>
    <row r="93">
      <c r="J93">
        <f>(2.4*4)*(1-4/8)</f>
        <v>4.8</v>
      </c>
    </row>
    <row r="94">
      <c r="A94" t="str">
        <v xml:space="preserve"> X  =</v>
      </c>
      <c r="B94" t="str">
        <v>L/2   =   10/2</v>
      </c>
      <c r="D94" t="str">
        <v xml:space="preserve"> = 5.00 M</v>
      </c>
    </row>
    <row r="96">
      <c r="A96" t="str">
        <v xml:space="preserve">Bw  = </v>
      </c>
      <c r="B96" t="str">
        <v xml:space="preserve">0.30  +  2 ( 0.075)   =       </v>
      </c>
      <c r="E96">
        <v>0.45</v>
      </c>
      <c r="F96" t="str">
        <v>M</v>
      </c>
    </row>
    <row r="98">
      <c r="A98" t="str">
        <v>be  =   2.4 x 5 x ( 1 - 5.00/10.00) + 0.45</v>
      </c>
      <c r="B98" t="str">
        <v xml:space="preserve"> = </v>
      </c>
      <c r="C98">
        <f>2.4*G34*(1-G34/C30)+E96</f>
        <v>6.45</v>
      </c>
      <c r="D98" t="str">
        <v>M</v>
      </c>
      <c r="F98" t="str">
        <v>(For one Wheel )</v>
      </c>
    </row>
    <row r="100">
      <c r="A100" t="str">
        <v>DISPERSION ACROSS THE SPAN (CLASS AA WHEELED HEVHICLE)</v>
      </c>
    </row>
    <row r="102">
      <c r="A102" t="str">
        <v>When the wheel is placed at a distnace of minimum clearance of 1-2 M from Kerb,</v>
      </c>
    </row>
    <row r="104">
      <c r="A104" t="str">
        <v xml:space="preserve">  Combined effective width</v>
      </c>
    </row>
    <row r="106">
      <c r="A106" t="str">
        <v xml:space="preserve"> =  c/c distance between wheels</v>
      </c>
    </row>
    <row r="107">
      <c r="A107" t="str">
        <v xml:space="preserve">      + 1/2 of the dispersion of one wheel</v>
      </c>
    </row>
    <row r="108">
      <c r="A108" t="str">
        <v xml:space="preserve">      + least of available width from centre of wheel on clearance side or half the dispersion</v>
      </c>
    </row>
    <row r="109">
      <c r="A109" t="str">
        <v xml:space="preserve">         of  one wheel </v>
      </c>
    </row>
    <row r="111">
      <c r="A111" t="str">
        <v xml:space="preserve"> =   2.2</v>
      </c>
      <c r="B111" t="str">
        <v xml:space="preserve"> + 6.45</v>
      </c>
      <c r="C111" t="str">
        <v xml:space="preserve"> + Lesser of  1.655 &amp; </v>
      </c>
      <c r="E111">
        <v>6.45</v>
      </c>
    </row>
    <row r="112">
      <c r="B112">
        <v>2</v>
      </c>
      <c r="E112">
        <v>2</v>
      </c>
    </row>
    <row r="114">
      <c r="A114" t="str">
        <v xml:space="preserve"> =   2.2</v>
      </c>
      <c r="B114" t="str">
        <v xml:space="preserve"> + 3.225  +   1.655</v>
      </c>
    </row>
    <row r="116">
      <c r="A116" t="str">
        <v>=</v>
      </c>
      <c r="B116">
        <f>2.2+3.225+1.655</f>
        <v>7.080000000000001</v>
      </c>
      <c r="C116" t="str">
        <v>m</v>
      </c>
    </row>
    <row r="117">
      <c r="A117" t="str">
        <v>According to clause 211.3  (a) (ii) section-III, IRC 6- 1966</v>
      </c>
    </row>
    <row r="118">
      <c r="A118" t="str">
        <v xml:space="preserve">     Impact factor  =   25%</v>
      </c>
      <c r="B118" t="str">
        <v xml:space="preserve">          =</v>
      </c>
      <c r="C118">
        <v>1.25</v>
      </c>
    </row>
    <row r="119">
      <c r="A119" t="str">
        <v xml:space="preserve">  = Total load of tracks with impact </v>
      </c>
    </row>
    <row r="120">
      <c r="A120" t="str">
        <v xml:space="preserve">   =      20   x  1.25</v>
      </c>
    </row>
    <row r="121">
      <c r="A121" t="str">
        <v xml:space="preserve">   =       25 T</v>
      </c>
    </row>
    <row r="123">
      <c r="A123" t="str">
        <v>Intensity      =</v>
      </c>
      <c r="C123" t="str">
        <v>Load</v>
      </c>
    </row>
    <row r="124">
      <c r="C124" t="str">
        <v>dispersion along x across the span</v>
      </c>
    </row>
    <row r="125">
      <c r="A125" t="str">
        <v xml:space="preserve">      =</v>
      </c>
      <c r="B125" t="str">
        <v>25 x 2</v>
      </c>
    </row>
    <row r="126">
      <c r="B126" t="str">
        <v>3.00 x 7.08</v>
      </c>
    </row>
    <row r="128">
      <c r="A128" t="str">
        <v xml:space="preserve">      =</v>
      </c>
      <c r="B128">
        <f>ROUND(50/(3*B116),2)</f>
        <v>2.35</v>
      </c>
      <c r="C128" t="str">
        <v>T/M</v>
      </c>
    </row>
    <row r="129">
      <c r="A129" t="str">
        <v>DISPERSION ACROSS THE SPAN (CLASS AA WHEELED HEVHICLE)</v>
      </c>
    </row>
    <row r="130">
      <c r="A130" t="str">
        <v xml:space="preserve">Maximum B.M. due to Live load at centre </v>
      </c>
    </row>
    <row r="131">
      <c r="A131" t="str">
        <v xml:space="preserve"> = 2.35  x</v>
      </c>
      <c r="B131">
        <v>7.08</v>
      </c>
      <c r="C131" t="str">
        <v>(10.00  -</v>
      </c>
      <c r="D131">
        <v>7.08</v>
      </c>
      <c r="E131" t="str">
        <v>)</v>
      </c>
    </row>
    <row r="132">
      <c r="B132">
        <v>2</v>
      </c>
      <c r="D132">
        <v>5</v>
      </c>
    </row>
    <row r="134">
      <c r="A134" t="str">
        <v xml:space="preserve">      =</v>
      </c>
      <c r="B134">
        <f>B128*B116/2*(C30-B116/G34)</f>
        <v>71.410296</v>
      </c>
      <c r="C134" t="str">
        <v>T - M</v>
      </c>
    </row>
    <row r="136">
      <c r="A136" t="str">
        <v xml:space="preserve"> =  2.35x3 </v>
      </c>
      <c r="B136" t="str">
        <v>( 5 - 3  )</v>
      </c>
    </row>
    <row r="137">
      <c r="A137">
        <v>2</v>
      </c>
      <c r="B137">
        <v>2</v>
      </c>
    </row>
    <row r="139">
      <c r="A139" t="str">
        <v>=</v>
      </c>
    </row>
    <row r="140">
      <c r="A140" t="str">
        <v>Here from bending moment view point class AA tracked vehical is governing</v>
      </c>
    </row>
    <row r="141">
      <c r="A141" t="str">
        <v>Hence Maximum Bending Moment due to Live load =  15.527 T - M</v>
      </c>
      <c r="C141">
        <f>B56</f>
        <v>132.77</v>
      </c>
      <c r="D141" t="str">
        <v>T - M</v>
      </c>
    </row>
    <row r="142">
      <c r="A142" t="str">
        <v>Total B.M =</v>
      </c>
      <c r="C142" t="str">
        <v>B.M due to Dead load  +   BM. Due to Live load</v>
      </c>
    </row>
    <row r="143">
      <c r="B143" t="str">
        <v xml:space="preserve">  =</v>
      </c>
      <c r="C143">
        <f>F12</f>
        <v>30.000000000000004</v>
      </c>
      <c r="D143" t="str">
        <v>+</v>
      </c>
      <c r="E143">
        <f>C141</f>
        <v>132.77</v>
      </c>
    </row>
    <row r="144">
      <c r="B144" t="str">
        <v xml:space="preserve">  =</v>
      </c>
      <c r="C144">
        <f>C143+E143</f>
        <v>162.77</v>
      </c>
      <c r="D144" t="str">
        <v>T-M</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A3"/>
  <sheetViews>
    <sheetView workbookViewId="0" rightToLeft="0"/>
  </sheetViews>
  <sheetData>
    <row r="1">
      <c r="A1" t="str">
        <v>BRIDGE DESIGN</v>
      </c>
    </row>
    <row r="3">
      <c r="A3" t="str">
        <v>DETAILED PROJECT REPORT</v>
      </c>
    </row>
  </sheetData>
  <pageMargins left="0.7086614173228347" right="0.7086614173228347" top="0.7480314960629921" bottom="0.7480314960629921" header="0.31496062992125984" footer="0.31496062992125984"/>
  <ignoredErrors>
    <ignoredError numberStoredAsText="1" sqref="A1:A3"/>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sheetData>
    <row r="1">
      <c r="A1" t="str">
        <v>Technical - Report</v>
      </c>
    </row>
    <row r="3">
      <c r="A3">
        <v>1</v>
      </c>
      <c r="B3" t="str">
        <v xml:space="preserve">Name of Project </v>
      </c>
      <c r="C3" t="str">
        <v>:-</v>
      </c>
      <c r="D3" t="str">
        <v>DESIGN OF SUBMERSIBLE SKEW BRIDGE ACROSS BEDACH RIVER</v>
      </c>
      <c r="E3">
        <v>0</v>
      </c>
      <c r="F3">
        <v>0</v>
      </c>
      <c r="G3">
        <v>0</v>
      </c>
      <c r="H3">
        <v>0</v>
      </c>
      <c r="I3">
        <v>0</v>
      </c>
      <c r="J3">
        <v>0</v>
      </c>
      <c r="K3">
        <v>0</v>
      </c>
    </row>
    <row r="6">
      <c r="A6">
        <v>2</v>
      </c>
      <c r="B6" t="str">
        <v>Authority</v>
      </c>
      <c r="C6" t="str">
        <v>:-</v>
      </c>
    </row>
    <row r="8">
      <c r="A8">
        <v>3</v>
      </c>
      <c r="B8" t="str">
        <v xml:space="preserve">Necessity </v>
      </c>
      <c r="C8" t="str">
        <v>:-</v>
      </c>
    </row>
    <row r="11">
      <c r="A11">
        <v>4</v>
      </c>
      <c r="B11" t="str">
        <v xml:space="preserve">Specification Proposed : </v>
      </c>
      <c r="C11" t="str">
        <v>:-</v>
      </c>
      <c r="D11" t="str">
        <v xml:space="preserve">The following specifications are proposed in this estimete as under -  </v>
      </c>
    </row>
    <row r="12">
      <c r="D12" t="str">
        <v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v>
      </c>
    </row>
    <row r="14">
      <c r="D14" t="str">
        <v xml:space="preserve">(a) Foundation Concreate P.C.C. M-15 grade  20 mm nominal size aggregate. </v>
      </c>
    </row>
    <row r="16">
      <c r="D16" t="str">
        <v>(b) Foundation Footing of Piers - it has been proposed of RCC mix M-25. The annular space filled with M-15 with 20 mm nominal Size stone aggregate upto the top of the rock.</v>
      </c>
    </row>
    <row r="18">
      <c r="D18" t="str">
        <v>(C) Foundation Footing of Abutments - It has been proposed of RCC mix M-20 The annular space filled with P.C.C. M-15 grade concreate with 20mm nominal Size stone aggregate upto the top of the rock.</v>
      </c>
    </row>
    <row r="20">
      <c r="D20" t="str">
        <v>(D) Piers, Pier caps - These has been proposed of RCC Mix M-25</v>
      </c>
    </row>
    <row r="22">
      <c r="D22" t="str">
        <v>(E) Abutments, Abutment caps and Dirt wall - These has been proposed of RCC Mix M-25</v>
      </c>
    </row>
    <row r="24">
      <c r="D24" t="str">
        <v>(F) Deck Slab - The simply supported deck slab has been proposed of R.C.C. mix M-30. The deck slab shall be anchored at both ends with 25mm dia anchor bolts to prevent it from uplift and the drag of flowing water.</v>
      </c>
    </row>
    <row r="26">
      <c r="D26" t="str">
        <v>(G) Guard Stone - RCC guardd stones has been proposed of mix M-25 as per recommendations of IRC special publiciation on Submersible bridges. Ref IRC:SP:82-2008</v>
      </c>
    </row>
    <row r="28">
      <c r="D28" t="str">
        <v>(H) Wearing Coat - M-30 concreate with reinforcement as per IRC recommendation is proposed. The average thickness of the wearing coat 75mm.</v>
      </c>
    </row>
    <row r="30" xml:space="preserve">
      <c r="D30" t="str" xml:space="preserve">
        <v xml:space="preserve">(I) Approach slab - Approach slab has been proposed of RCC M-25 overlaid  _x000d_
          The wearing coat similar to that on deck slab has been proposed provided over the approach slab. </v>
      </c>
    </row>
    <row r="32">
      <c r="D32" t="str">
        <v>(J) Filling behind Abutment &amp; Wing walls- The back Fill has been proposed of locally available granular material it shall be compacted as per specifications.</v>
      </c>
    </row>
    <row r="34">
      <c r="D34" t="str">
        <v>(K) Earth work in cutting for grade improvement on approches has been proposed.</v>
      </c>
    </row>
    <row r="38">
      <c r="A38">
        <v>5</v>
      </c>
      <c r="B38" t="str">
        <v xml:space="preserve">Estimated Cost of Work </v>
      </c>
      <c r="C38" t="str">
        <v>:-</v>
      </c>
      <c r="D38" t="str">
        <v>The Estimated Cost comes to Rs.987.60 Lacs</v>
      </c>
    </row>
    <row r="41">
      <c r="A41">
        <v>6</v>
      </c>
      <c r="B41" t="str">
        <v xml:space="preserve">Rates </v>
      </c>
      <c r="C41" t="str">
        <v>:-</v>
      </c>
      <c r="D41" t="str">
        <v xml:space="preserve">The Estimate based on PWD BSR Road 2022  (Rajasthan). </v>
      </c>
    </row>
    <row r="43">
      <c r="A43">
        <v>7</v>
      </c>
      <c r="B43" t="str">
        <v>Job No.</v>
      </c>
      <c r="C43" t="str">
        <v>:-</v>
      </c>
    </row>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sheetData>
    <row r="1">
      <c r="A1" t="str">
        <v xml:space="preserve">PUBLIC WORKS  DEPARTMENT, DIVISION - </v>
      </c>
    </row>
    <row r="3">
      <c r="A3" t="str">
        <v>GENERAL ABSTRACT</v>
      </c>
    </row>
    <row r="5">
      <c r="A5" t="str">
        <v xml:space="preserve">Name of Work  :-   </v>
      </c>
    </row>
    <row r="6">
      <c r="B6" t="str">
        <v>DESIGN OF SUBMERSIBLE SKEW BRIDGE ACROSS BEDACH RIVER</v>
      </c>
    </row>
    <row r="7">
      <c r="A7" t="str">
        <v>Sr.No.</v>
      </c>
      <c r="B7" t="str">
        <v xml:space="preserve">                    Items</v>
      </c>
      <c r="G7" t="str">
        <v>Amount</v>
      </c>
    </row>
    <row r="9">
      <c r="A9">
        <v>1</v>
      </c>
      <c r="B9" t="str">
        <v xml:space="preserve">Bridge Work </v>
      </c>
      <c r="G9">
        <v>100003890</v>
      </c>
    </row>
    <row r="11">
      <c r="E11" t="str">
        <v xml:space="preserve">                  Total =&gt; Rs.</v>
      </c>
      <c r="G11">
        <v>100003890</v>
      </c>
    </row>
    <row r="13">
      <c r="B13" t="str">
        <v>Add 1.00% for Quality Control Charges</v>
      </c>
      <c r="G13">
        <v>1000039</v>
      </c>
    </row>
    <row r="15">
      <c r="B15" t="str">
        <v>Add 3% for Contengency Charges</v>
      </c>
      <c r="G15">
        <v>0</v>
      </c>
    </row>
    <row r="17">
      <c r="B17" t="str">
        <v xml:space="preserve">Add 1.50 % for Contingencies Charges </v>
      </c>
      <c r="G17">
        <v>1500058</v>
      </c>
    </row>
    <row r="19">
      <c r="F19" t="str">
        <v>G. Total Rs. :-</v>
      </c>
      <c r="G19">
        <v>102503987</v>
      </c>
    </row>
    <row r="21">
      <c r="B21" t="str">
        <v xml:space="preserve">Add 13.00 % for Prorata Charges </v>
      </c>
      <c r="G21">
        <v>13325518</v>
      </c>
    </row>
    <row r="23">
      <c r="F23" t="str">
        <v>G. Total Rs. :-</v>
      </c>
      <c r="G23">
        <v>115829505</v>
      </c>
    </row>
    <row r="25">
      <c r="F25" t="str">
        <v>Say Rs. :-</v>
      </c>
      <c r="G25">
        <v>1158.3</v>
      </c>
    </row>
    <row r="26">
      <c r="G26" t="str">
        <v>Lacs.</v>
      </c>
    </row>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sheetData>
    <row r="1">
      <c r="A1" t="str">
        <v>ABSTRACT OF COST</v>
      </c>
    </row>
    <row r="2">
      <c r="A2" t="str">
        <v xml:space="preserve">Name of Work  :-   </v>
      </c>
    </row>
    <row r="3">
      <c r="B3" t="str">
        <v>DESIGN OF SUBMERSIBLE SKEW BRIDGE ACROSS BEDACH RIVER</v>
      </c>
    </row>
    <row r="4">
      <c r="A4" t="str">
        <v>S.No.</v>
      </c>
      <c r="B4" t="str">
        <v>Particulars</v>
      </c>
      <c r="C4" t="str">
        <v>Qty.</v>
      </c>
      <c r="E4" t="str">
        <v>Rate</v>
      </c>
      <c r="F4" t="str">
        <v>Unit</v>
      </c>
      <c r="G4" t="str">
        <v>Amount</v>
      </c>
    </row>
    <row r="6">
      <c r="A6" t="str">
        <v xml:space="preserve">1 (a) </v>
      </c>
      <c r="B6" t="str">
        <v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v>
      </c>
      <c r="J6">
        <v>116</v>
      </c>
    </row>
    <row r="7">
      <c r="B7" t="str">
        <v xml:space="preserve">Foundation Work </v>
      </c>
      <c r="C7">
        <v>787.9176410366445</v>
      </c>
      <c r="D7" t="str">
        <v xml:space="preserve">Cum </v>
      </c>
    </row>
    <row r="8">
      <c r="B8" t="str">
        <v xml:space="preserve">Approches </v>
      </c>
      <c r="C8">
        <v>2100</v>
      </c>
      <c r="D8" t="str">
        <v xml:space="preserve">Cum </v>
      </c>
    </row>
    <row r="9">
      <c r="C9">
        <v>2887.9176410366445</v>
      </c>
      <c r="D9" t="str">
        <v>Cum</v>
      </c>
      <c r="E9">
        <v>68</v>
      </c>
      <c r="F9" t="str">
        <v>Cum</v>
      </c>
      <c r="G9">
        <v>196378.3995904918</v>
      </c>
    </row>
    <row r="11">
      <c r="A11" t="str">
        <v>(b)</v>
      </c>
      <c r="B11" t="str">
        <v xml:space="preserve">Above 3m to 6m depth </v>
      </c>
      <c r="J11">
        <v>116</v>
      </c>
    </row>
    <row r="12">
      <c r="B12" t="str">
        <v xml:space="preserve">Foundation Work </v>
      </c>
      <c r="C12">
        <v>984.8970512958056</v>
      </c>
      <c r="D12" t="str">
        <v xml:space="preserve">Cum </v>
      </c>
      <c r="E12">
        <v>80</v>
      </c>
      <c r="F12" t="str">
        <v>Cum</v>
      </c>
      <c r="G12">
        <v>78791.76410366445</v>
      </c>
    </row>
    <row r="14">
      <c r="A14" t="str">
        <v>©</v>
      </c>
      <c r="B14" t="str">
        <v>Ordinary/Soft rock (not requiring blasting) [MoRTH Specification : Clause 301]. BY MECHANICAL MEANS</v>
      </c>
      <c r="J14">
        <v>146</v>
      </c>
    </row>
    <row r="15">
      <c r="B15" t="str">
        <v xml:space="preserve">Foundation Work </v>
      </c>
      <c r="C15">
        <v>2072.8146923324502</v>
      </c>
      <c r="D15" t="str">
        <v>Cum</v>
      </c>
    </row>
    <row r="16">
      <c r="B16" t="str">
        <v xml:space="preserve">Approches </v>
      </c>
      <c r="C16">
        <v>1610</v>
      </c>
      <c r="D16" t="str">
        <v>Cum</v>
      </c>
    </row>
    <row r="17">
      <c r="C17">
        <v>3682.8146923324502</v>
      </c>
      <c r="D17" t="str">
        <v>Cum</v>
      </c>
      <c r="E17">
        <v>103</v>
      </c>
      <c r="F17" t="str">
        <v>Cum</v>
      </c>
      <c r="G17">
        <v>379329.91331024235</v>
      </c>
    </row>
    <row r="19">
      <c r="A19" t="str">
        <v>(d)</v>
      </c>
      <c r="B19" t="str">
        <v>Hard rock ( requiring blasting )</v>
      </c>
      <c r="J19">
        <v>273</v>
      </c>
    </row>
    <row r="20">
      <c r="B20" t="str">
        <v xml:space="preserve">Foundation Work </v>
      </c>
      <c r="C20">
        <v>2072.8146923324502</v>
      </c>
      <c r="D20" t="str">
        <v>Cum</v>
      </c>
      <c r="E20">
        <v>364</v>
      </c>
      <c r="F20" t="str">
        <v>Cum</v>
      </c>
      <c r="G20">
        <v>754504.5480090119</v>
      </c>
    </row>
    <row r="22">
      <c r="A22">
        <v>5</v>
      </c>
      <c r="B22" t="str">
        <v xml:space="preserve"> Plain/Reinforced cement concrete in open foundation complete as per drawing and technical specifications</v>
      </c>
      <c r="J22">
        <v>3005</v>
      </c>
    </row>
    <row r="23">
      <c r="B23" t="str">
        <v xml:space="preserve">PCC Grade M15 </v>
      </c>
    </row>
    <row r="24">
      <c r="B24" t="str">
        <v xml:space="preserve">Foundation Work </v>
      </c>
      <c r="C24">
        <v>1185.3472797620166</v>
      </c>
      <c r="D24" t="str">
        <v>Cum</v>
      </c>
      <c r="E24">
        <v>3863</v>
      </c>
      <c r="F24" t="str">
        <v>Cum</v>
      </c>
      <c r="G24">
        <v>4578996.54172067</v>
      </c>
    </row>
    <row r="26">
      <c r="A26">
        <v>6</v>
      </c>
      <c r="B26" t="str">
        <v xml:space="preserve">RCC Grade M20 </v>
      </c>
      <c r="J26">
        <v>3455</v>
      </c>
    </row>
    <row r="27">
      <c r="B27" t="str">
        <v xml:space="preserve">Using concrete mixer </v>
      </c>
    </row>
    <row r="28">
      <c r="B28" t="str">
        <v xml:space="preserve">Foundation Work </v>
      </c>
      <c r="C28">
        <v>282.50358335460896</v>
      </c>
      <c r="D28" t="str">
        <v>Cum</v>
      </c>
    </row>
    <row r="29">
      <c r="B29" t="str">
        <v xml:space="preserve">Approches </v>
      </c>
      <c r="C29">
        <v>394.5</v>
      </c>
      <c r="D29" t="str">
        <v>Cum</v>
      </c>
    </row>
    <row r="30">
      <c r="C30">
        <v>677.003583354609</v>
      </c>
      <c r="D30" t="str">
        <v>Cum</v>
      </c>
      <c r="E30">
        <v>4356</v>
      </c>
      <c r="F30" t="str">
        <v>Cum</v>
      </c>
      <c r="G30">
        <v>2949027.6090926765</v>
      </c>
    </row>
    <row r="32">
      <c r="A32">
        <v>7</v>
      </c>
      <c r="B32" t="str">
        <v>RCC Grade M25</v>
      </c>
      <c r="J32">
        <v>3995</v>
      </c>
    </row>
    <row r="33">
      <c r="B33" t="str">
        <v xml:space="preserve">Using concrete mixer </v>
      </c>
    </row>
    <row r="34">
      <c r="B34" t="str">
        <v xml:space="preserve">Foundation Work </v>
      </c>
      <c r="C34">
        <v>1191.9603888751612</v>
      </c>
      <c r="D34" t="str">
        <v>Cum</v>
      </c>
    </row>
    <row r="35">
      <c r="B35" t="str">
        <v xml:space="preserve">Approches </v>
      </c>
      <c r="C35">
        <v>372</v>
      </c>
      <c r="D35" t="str">
        <v>Cum</v>
      </c>
    </row>
    <row r="36">
      <c r="C36">
        <v>1563.9603888751612</v>
      </c>
      <c r="D36" t="str">
        <v>Cum</v>
      </c>
      <c r="E36">
        <v>4708</v>
      </c>
      <c r="F36" t="str">
        <v>Cum</v>
      </c>
      <c r="G36">
        <v>7363125.510824259</v>
      </c>
    </row>
    <row r="38" xml:space="preserve">
      <c r="A38">
        <v>8</v>
      </c>
      <c r="B38" t="str" xml:space="preserve">
        <v xml:space="preserve">Providing and laying steel reinforcement  at any level in foundation   complete   as   per   drawing   and   technical specification.  [MoRTH  Specification  :  Section  1600]._x000d_
HYSD bar reinforcement</v>
      </c>
      <c r="J38">
        <v>64397</v>
      </c>
    </row>
    <row r="39">
      <c r="B39" t="str">
        <v xml:space="preserve">Foundation Work </v>
      </c>
      <c r="C39">
        <v>140.35333579005024</v>
      </c>
      <c r="D39" t="str">
        <v>MT</v>
      </c>
    </row>
    <row r="40">
      <c r="B40" t="str">
        <v xml:space="preserve">Approches </v>
      </c>
      <c r="C40">
        <v>43.803</v>
      </c>
      <c r="D40" t="str">
        <v>MT</v>
      </c>
    </row>
    <row r="41">
      <c r="C41">
        <v>184.15633579005024</v>
      </c>
      <c r="D41" t="str">
        <v>MT</v>
      </c>
      <c r="E41">
        <v>85000</v>
      </c>
      <c r="F41" t="str">
        <v>MT</v>
      </c>
      <c r="G41">
        <v>15653288.54215427</v>
      </c>
    </row>
    <row r="43" xml:space="preserve">
      <c r="A43">
        <v>9</v>
      </c>
      <c r="B43" t="str" xml:space="preserve">
        <v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v>
      </c>
      <c r="J43">
        <v>4380</v>
      </c>
    </row>
    <row r="44">
      <c r="B44" t="str">
        <v xml:space="preserve">Sub Structure Work </v>
      </c>
      <c r="C44">
        <v>1448.8565456000026</v>
      </c>
      <c r="D44" t="str">
        <v>Cum</v>
      </c>
    </row>
    <row r="45">
      <c r="B45" t="str">
        <v xml:space="preserve">Approches </v>
      </c>
      <c r="C45">
        <v>810</v>
      </c>
      <c r="D45" t="str">
        <v>Cum</v>
      </c>
    </row>
    <row r="46">
      <c r="C46">
        <v>2258.8565456000024</v>
      </c>
      <c r="D46" t="str">
        <v>Cum</v>
      </c>
      <c r="E46">
        <v>4596</v>
      </c>
      <c r="F46" t="str">
        <v>Cum</v>
      </c>
      <c r="G46">
        <v>10381704.68357761</v>
      </c>
    </row>
    <row r="48">
      <c r="A48">
        <v>10</v>
      </c>
      <c r="B48" t="str">
        <v xml:space="preserve">Supplying,  fitting and placing HYSD bar reinforcement in sub-structure complete as per drawing and technical specifications </v>
      </c>
      <c r="J48">
        <v>64478</v>
      </c>
    </row>
    <row r="49">
      <c r="B49" t="str">
        <v xml:space="preserve">Sub Structure Work </v>
      </c>
      <c r="C49">
        <v>164.91609630292032</v>
      </c>
      <c r="D49" t="str">
        <v>MT</v>
      </c>
    </row>
    <row r="50">
      <c r="B50" t="str">
        <v xml:space="preserve">Approches </v>
      </c>
      <c r="C50">
        <v>95.3775</v>
      </c>
      <c r="D50" t="str">
        <v>MT</v>
      </c>
    </row>
    <row r="51">
      <c r="C51">
        <v>260.2935963029203</v>
      </c>
      <c r="D51" t="str">
        <v>MT</v>
      </c>
      <c r="E51">
        <v>85000</v>
      </c>
      <c r="F51" t="str">
        <v>MT</v>
      </c>
      <c r="G51">
        <v>22124955.685748227</v>
      </c>
    </row>
    <row r="53">
      <c r="A53">
        <v>11</v>
      </c>
      <c r="B53" t="str">
        <v>Providing weep holes in Brick masonry/Plain/Reinforced concrete abutment,  wing wall/return wall with 100 mm dia AC pipe, extending through the full width of the structure with slope of 1V :20H towards drawing foce. Complete as per drawing and Technical specifications</v>
      </c>
      <c r="J53">
        <v>90</v>
      </c>
    </row>
    <row r="54">
      <c r="B54" t="str">
        <v xml:space="preserve">Sub Structure Work </v>
      </c>
      <c r="C54">
        <v>200.39999999999998</v>
      </c>
      <c r="D54" t="str">
        <v>Rmt</v>
      </c>
    </row>
    <row r="55">
      <c r="B55" t="str">
        <v xml:space="preserve">Approches </v>
      </c>
      <c r="C55">
        <v>390</v>
      </c>
      <c r="D55" t="str">
        <v>Rmt</v>
      </c>
    </row>
    <row r="56">
      <c r="C56">
        <v>590.4</v>
      </c>
      <c r="D56" t="str">
        <v>Rmt</v>
      </c>
      <c r="E56">
        <v>129</v>
      </c>
      <c r="F56" t="str">
        <v>Rmt</v>
      </c>
      <c r="G56">
        <v>76161.59999999999</v>
      </c>
    </row>
    <row r="58">
      <c r="A58">
        <v>12</v>
      </c>
      <c r="B58" t="str">
        <v>Back filling behind abutment, wing wall and return wall, in 150mm layers, with mechanical compaction, complete with all lead and lift, as per drawing and technical specification. [MoRTH Specification : Clause 304]. Gravelly Material</v>
      </c>
      <c r="J58">
        <v>320</v>
      </c>
    </row>
    <row r="59">
      <c r="B59" t="str">
        <v xml:space="preserve">Sub Structure Work </v>
      </c>
      <c r="C59">
        <v>487.2</v>
      </c>
      <c r="D59" t="str">
        <v>Cum</v>
      </c>
    </row>
    <row r="60">
      <c r="B60" t="str">
        <v xml:space="preserve">Approches </v>
      </c>
      <c r="C60">
        <v>975</v>
      </c>
      <c r="D60" t="str">
        <v>Cum</v>
      </c>
    </row>
    <row r="61">
      <c r="C61">
        <v>1462.2</v>
      </c>
      <c r="D61" t="str">
        <v>Cum</v>
      </c>
      <c r="E61">
        <v>548</v>
      </c>
      <c r="F61" t="str">
        <v>Cum</v>
      </c>
      <c r="G61">
        <v>801285.6</v>
      </c>
    </row>
    <row r="63">
      <c r="A63">
        <v>13</v>
      </c>
      <c r="B63" t="str">
        <v>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v>
      </c>
      <c r="J63">
        <v>516</v>
      </c>
    </row>
    <row r="64">
      <c r="B64" t="str">
        <v xml:space="preserve">Sub Structure Work </v>
      </c>
      <c r="C64">
        <v>83.52</v>
      </c>
      <c r="D64" t="str">
        <v>Cum</v>
      </c>
    </row>
    <row r="65">
      <c r="B65" t="str">
        <v xml:space="preserve">Approches </v>
      </c>
      <c r="C65">
        <v>487.5</v>
      </c>
      <c r="D65" t="str">
        <v>Cum</v>
      </c>
    </row>
    <row r="66">
      <c r="C66">
        <v>571.02</v>
      </c>
      <c r="D66" t="str">
        <v>Cum</v>
      </c>
      <c r="E66">
        <v>793</v>
      </c>
      <c r="F66" t="str">
        <v>Cum</v>
      </c>
      <c r="G66">
        <v>452818.86</v>
      </c>
    </row>
    <row r="68" xml:space="preserve">
      <c r="A68">
        <v>14</v>
      </c>
      <c r="B68" t="str" xml:space="preserve">
        <v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v>
      </c>
      <c r="J68">
        <v>5190</v>
      </c>
    </row>
    <row r="69">
      <c r="B69" t="str">
        <v xml:space="preserve">Superstructure Work </v>
      </c>
      <c r="C69">
        <v>1700.1633739839742</v>
      </c>
      <c r="D69" t="str">
        <v>Cum</v>
      </c>
      <c r="E69">
        <v>5625</v>
      </c>
      <c r="F69" t="str">
        <v>Cum</v>
      </c>
      <c r="G69">
        <v>9563418.978659855</v>
      </c>
    </row>
    <row r="71">
      <c r="A71">
        <v>15</v>
      </c>
      <c r="B71" t="str">
        <v xml:space="preserve">a)     Supplying, fitting and placing HYSD bar reinforcement in super-structure complete as per drawing and technical specifications </v>
      </c>
      <c r="J71">
        <v>65429</v>
      </c>
    </row>
    <row r="72">
      <c r="B72" t="str">
        <v xml:space="preserve">Superstructure Work </v>
      </c>
      <c r="C72">
        <v>203.72423728661298</v>
      </c>
      <c r="D72" t="str">
        <v>MT</v>
      </c>
      <c r="E72">
        <v>85000</v>
      </c>
      <c r="F72" t="str">
        <v>MT</v>
      </c>
      <c r="G72">
        <v>17316560.1693621</v>
      </c>
    </row>
    <row r="74">
      <c r="A74">
        <v>16</v>
      </c>
      <c r="B74" t="str">
        <v>Providing and laying Cement concrete wearing coat M-30 grade including reinforcement complete as per drawing and Technical Specifications</v>
      </c>
      <c r="J74">
        <v>8395</v>
      </c>
    </row>
    <row r="75">
      <c r="B75" t="str">
        <v xml:space="preserve">Superstructure Work </v>
      </c>
      <c r="C75">
        <v>139.65118005740948</v>
      </c>
      <c r="D75" t="str">
        <v>Cum</v>
      </c>
      <c r="E75">
        <v>8743</v>
      </c>
      <c r="F75" t="str">
        <v>Cum</v>
      </c>
      <c r="G75">
        <v>1220970.267241931</v>
      </c>
    </row>
    <row r="77">
      <c r="A77">
        <v>17</v>
      </c>
      <c r="B77" t="str">
        <v>PCC M15 Grade leveling course below approach slab complete as per drawing and Technical specification</v>
      </c>
      <c r="J77">
        <v>3010</v>
      </c>
    </row>
    <row r="78">
      <c r="B78" t="str">
        <v xml:space="preserve">Superstructure Work </v>
      </c>
      <c r="C78">
        <v>7.56</v>
      </c>
      <c r="D78" t="str">
        <v>Cum</v>
      </c>
    </row>
    <row r="79">
      <c r="B79" t="str">
        <v xml:space="preserve">Approches </v>
      </c>
      <c r="C79">
        <v>123.75</v>
      </c>
      <c r="D79" t="str">
        <v>Cum</v>
      </c>
    </row>
    <row r="80">
      <c r="C80">
        <v>131.31</v>
      </c>
      <c r="D80" t="str">
        <v>Cum</v>
      </c>
      <c r="E80">
        <v>2949</v>
      </c>
      <c r="F80" t="str">
        <v>Cum</v>
      </c>
      <c r="G80">
        <v>387233.19</v>
      </c>
    </row>
    <row r="82">
      <c r="A82">
        <v>18</v>
      </c>
      <c r="B82" t="str">
        <v>Reinforced cement concrete approach slab including reinforcement and formwork complete as per drawing and Technical specification</v>
      </c>
      <c r="J82">
        <v>7075</v>
      </c>
    </row>
    <row r="83">
      <c r="B83" t="str">
        <v xml:space="preserve">Superstructure Work </v>
      </c>
      <c r="C83">
        <v>27.152999999999995</v>
      </c>
      <c r="D83" t="str">
        <v>Cum</v>
      </c>
      <c r="E83">
        <v>7863</v>
      </c>
      <c r="F83" t="str">
        <v>Cum</v>
      </c>
      <c r="G83">
        <v>213504.03899999996</v>
      </c>
    </row>
    <row r="85">
      <c r="A85">
        <v>19</v>
      </c>
      <c r="B85" t="str">
        <v>Providing &amp; fixing 20 mm thick compressible fibre board in expansion joint complete as per drawing &amp; Technical Specification.</v>
      </c>
      <c r="J85">
        <v>795.6</v>
      </c>
    </row>
    <row r="86">
      <c r="B86" t="str">
        <v xml:space="preserve">Superstructure Work </v>
      </c>
      <c r="C86">
        <v>157.49278116533117</v>
      </c>
      <c r="D86" t="str">
        <v>Sqm</v>
      </c>
      <c r="E86">
        <v>1263</v>
      </c>
      <c r="F86" t="str">
        <v>Sqm</v>
      </c>
      <c r="G86">
        <v>198913.38261181326</v>
      </c>
    </row>
    <row r="88">
      <c r="A88">
        <v>20</v>
      </c>
      <c r="B88" t="str">
        <v>Providing and laying 12mm thick Bitumen Mastic wearing coat with bitumen of grade S35 as per Table 500-27, 10.2% by weight on prepared base including coarse aggregate as per table 500-29, and lime stone powder as filler, complete including tack coat. (MoRTH specification : Clause 515).</v>
      </c>
      <c r="J88">
        <v>590</v>
      </c>
    </row>
    <row r="89">
      <c r="B89" t="str">
        <v xml:space="preserve">Superstructure Work </v>
      </c>
      <c r="C89">
        <v>182.39999999999998</v>
      </c>
      <c r="D89" t="str">
        <v>Sqm</v>
      </c>
      <c r="E89">
        <v>248</v>
      </c>
      <c r="F89" t="str">
        <v>Sqm</v>
      </c>
      <c r="G89">
        <v>45235.2</v>
      </c>
    </row>
    <row r="91">
      <c r="A91">
        <v>21</v>
      </c>
      <c r="B91" t="str">
        <v>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v>
      </c>
      <c r="J91">
        <v>3005</v>
      </c>
    </row>
    <row r="92">
      <c r="B92" t="str">
        <v xml:space="preserve">Approches </v>
      </c>
      <c r="C92">
        <v>2033.3999999999999</v>
      </c>
      <c r="D92" t="str">
        <v>Cum</v>
      </c>
      <c r="E92">
        <v>33</v>
      </c>
      <c r="F92" t="str">
        <v>Cum</v>
      </c>
      <c r="G92">
        <v>67102.2</v>
      </c>
    </row>
    <row r="94">
      <c r="A94">
        <v>22</v>
      </c>
      <c r="B94" t="str">
        <v>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v>
      </c>
      <c r="J94">
        <v>3005</v>
      </c>
    </row>
    <row r="95">
      <c r="B95" t="str">
        <v xml:space="preserve">Approches </v>
      </c>
      <c r="C95">
        <v>1355.6000000000001</v>
      </c>
      <c r="D95" t="str">
        <v>Cum</v>
      </c>
      <c r="E95">
        <v>44</v>
      </c>
      <c r="F95" t="str">
        <v>Cum</v>
      </c>
      <c r="G95">
        <v>59646.40000000001</v>
      </c>
    </row>
    <row r="97">
      <c r="A97">
        <v>23</v>
      </c>
      <c r="B97" t="str">
        <v>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v>
      </c>
      <c r="I97">
        <v>6.4</v>
      </c>
    </row>
    <row r="98">
      <c r="C98">
        <v>360</v>
      </c>
      <c r="D98" t="str">
        <v>Cum</v>
      </c>
      <c r="E98">
        <v>5454</v>
      </c>
      <c r="F98" t="str">
        <v>Cum</v>
      </c>
      <c r="G98">
        <v>1963440</v>
      </c>
    </row>
    <row r="100">
      <c r="A100">
        <v>24</v>
      </c>
      <c r="B100" t="str">
        <v>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v>
      </c>
      <c r="I100">
        <v>6.4</v>
      </c>
    </row>
    <row r="101">
      <c r="C101">
        <v>0</v>
      </c>
      <c r="D101" t="str">
        <v>M</v>
      </c>
      <c r="E101">
        <v>1747</v>
      </c>
      <c r="F101" t="str">
        <v>M</v>
      </c>
      <c r="G101" t="str">
        <v xml:space="preserve"> </v>
      </c>
    </row>
    <row r="102">
      <c r="A102">
        <v>25</v>
      </c>
      <c r="B102" t="str">
        <v>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v>
      </c>
      <c r="C102">
        <v>2</v>
      </c>
      <c r="D102" t="str">
        <v>Nos.</v>
      </c>
      <c r="E102">
        <v>8300</v>
      </c>
      <c r="F102" t="str">
        <v>Each</v>
      </c>
      <c r="G102">
        <v>16600</v>
      </c>
    </row>
    <row r="103">
      <c r="A103">
        <v>26</v>
      </c>
      <c r="B103" t="str">
        <v>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v>
      </c>
      <c r="C103">
        <v>3</v>
      </c>
      <c r="D103" t="str">
        <v>Nos.</v>
      </c>
      <c r="E103">
        <v>3300</v>
      </c>
      <c r="F103" t="str">
        <v>Each</v>
      </c>
      <c r="G103">
        <v>9900</v>
      </c>
    </row>
    <row r="104">
      <c r="A104">
        <v>27</v>
      </c>
      <c r="B104"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v>
      </c>
      <c r="C104">
        <v>6</v>
      </c>
      <c r="D104" t="str">
        <v>Nos.</v>
      </c>
      <c r="E104">
        <v>2269</v>
      </c>
      <c r="F104" t="str">
        <v>Each</v>
      </c>
      <c r="G104">
        <v>13614</v>
      </c>
    </row>
    <row r="105">
      <c r="A105">
        <v>28</v>
      </c>
      <c r="B105"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v>
      </c>
      <c r="C105">
        <v>6</v>
      </c>
      <c r="D105" t="str">
        <v>Nos.</v>
      </c>
      <c r="E105">
        <v>1894</v>
      </c>
      <c r="F105" t="str">
        <v>Each</v>
      </c>
      <c r="G105">
        <v>11364</v>
      </c>
    </row>
    <row r="106" xml:space="preserve">
      <c r="A106">
        <v>29</v>
      </c>
      <c r="B106" t="str" xml:space="preserve">
        <v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v>
      </c>
      <c r="C106">
        <v>400</v>
      </c>
      <c r="D106" t="str">
        <v>Nos.</v>
      </c>
      <c r="E106">
        <v>185.61</v>
      </c>
      <c r="F106" t="str">
        <v>Each</v>
      </c>
      <c r="G106">
        <v>74244</v>
      </c>
    </row>
    <row r="107">
      <c r="A107">
        <v>30</v>
      </c>
      <c r="B107" t="str">
        <v>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v>
      </c>
      <c r="C107">
        <v>500.17499999999995</v>
      </c>
      <c r="D107" t="str">
        <v xml:space="preserve"> Sqm</v>
      </c>
      <c r="E107">
        <v>559</v>
      </c>
      <c r="F107" t="str">
        <v>Per Sqm</v>
      </c>
      <c r="G107">
        <v>279597.82499999995</v>
      </c>
    </row>
    <row r="108" xml:space="preserve">
      <c r="A108">
        <v>31</v>
      </c>
      <c r="B108" t="str" xml:space="preserve">
        <v xml:space="preserve">Providing   and   laying   graded   stone   aggregate   filter Material underneath pitching on slopes complete as per drawing     and     technical      specification.      (MoRTH_x000d_
specification : clause 2504).</v>
      </c>
      <c r="C108">
        <v>160.99689437998487</v>
      </c>
      <c r="D108" t="str">
        <v xml:space="preserve"> Cum</v>
      </c>
      <c r="E108">
        <v>908</v>
      </c>
      <c r="F108" t="str">
        <v>Per Cum</v>
      </c>
      <c r="G108">
        <v>146185.18009702626</v>
      </c>
    </row>
    <row r="109">
      <c r="A109">
        <v>32</v>
      </c>
      <c r="B109" t="str">
        <v>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v>
      </c>
      <c r="C109">
        <v>2641.4953415699774</v>
      </c>
      <c r="D109" t="str">
        <v xml:space="preserve"> Cum</v>
      </c>
      <c r="E109">
        <v>844</v>
      </c>
      <c r="F109" t="str">
        <v>Per Cum</v>
      </c>
      <c r="G109">
        <v>2229422.068285061</v>
      </c>
    </row>
    <row r="110" xml:space="preserve">
      <c r="A110">
        <v>33</v>
      </c>
      <c r="B110" t="str" xml:space="preserve">
        <v xml:space="preserve">Providing and laying Reinforced cement concrete pipes NP-3  for  culverts  including   jointing  ends   and  fixing collar with cement mortar 1:2. (MoRTH  specification  :_x000d_
clause 1000/2900). 1000 mm dia</v>
      </c>
      <c r="C110">
        <v>30</v>
      </c>
      <c r="D110" t="str">
        <v xml:space="preserve"> RM</v>
      </c>
      <c r="E110">
        <v>5087</v>
      </c>
      <c r="F110" t="str">
        <v>Per RM</v>
      </c>
      <c r="G110">
        <v>152610</v>
      </c>
    </row>
    <row r="111" xml:space="preserve">
      <c r="A111">
        <v>34</v>
      </c>
      <c r="B111" t="str" xml:space="preserve">
        <v xml:space="preserve">Providing and laying Reinforced cement concrete pipes NP-3  for  culverts  including   jointing  ends   and  fixing collar with cement mortar 1:2. (MoRTH  specification  :_x000d_
clause 1000/2900). 600 mm dia</v>
      </c>
      <c r="C111">
        <v>30</v>
      </c>
      <c r="D111" t="str">
        <v xml:space="preserve"> RM</v>
      </c>
      <c r="E111">
        <v>3272</v>
      </c>
      <c r="F111" t="str">
        <v>Per RM</v>
      </c>
      <c r="G111">
        <v>98160</v>
      </c>
    </row>
    <row r="112" xml:space="preserve">
      <c r="A112">
        <v>35</v>
      </c>
      <c r="B112" t="str" xml:space="preserve">
        <v xml:space="preserve">Providing and laying Reinforced cement concrete pipes NP-3  for  culverts  including   jointing  ends   and  fixing collar with cement mortar 1:2. (MoRTH  specification  :_x000d_
clause 1000/2900). 300 mm dia</v>
      </c>
      <c r="C112">
        <v>120</v>
      </c>
      <c r="D112" t="str">
        <v xml:space="preserve"> RM</v>
      </c>
      <c r="E112">
        <v>1215</v>
      </c>
      <c r="F112" t="str">
        <v>Per RM</v>
      </c>
      <c r="G112">
        <v>145800</v>
      </c>
    </row>
    <row r="113">
      <c r="F113" t="str">
        <v>Total  =&gt;</v>
      </c>
      <c r="G113">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sheetData>
    <row r="1">
      <c r="A1" t="str">
        <v xml:space="preserve">DETAILED - ESTIMATE </v>
      </c>
    </row>
    <row r="2">
      <c r="A2" t="str">
        <v xml:space="preserve">Name of Work  :-   </v>
      </c>
    </row>
    <row r="3">
      <c r="B3" t="str">
        <v>DESIGN OF SUBMERSIBLE SKEW BRIDGE ACROSS BEDACH RIVER</v>
      </c>
    </row>
    <row r="5">
      <c r="A5" t="str">
        <v>S.No.</v>
      </c>
      <c r="B5" t="str">
        <v>Particulars</v>
      </c>
      <c r="C5" t="str">
        <v>Particulars</v>
      </c>
      <c r="D5" t="str">
        <v xml:space="preserve">Details </v>
      </c>
    </row>
    <row r="7">
      <c r="C7" t="str">
        <v>BRIDGE WORK</v>
      </c>
    </row>
    <row r="9">
      <c r="C9" t="str">
        <v>FOUNDATION WORK</v>
      </c>
    </row>
    <row r="10" xml:space="preserve">
      <c r="A10">
        <v>1</v>
      </c>
      <c r="B10" t="str" xml:space="preserve">
        <v xml:space="preserve">B-1_x000d_
1.1.4</v>
      </c>
      <c r="C10" t="str">
        <v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v>
      </c>
    </row>
    <row r="11" xml:space="preserve">
      <c r="A11">
        <v>1</v>
      </c>
      <c r="B11" t="str" xml:space="preserve">
        <v xml:space="preserve">B-1_x000d_
1.1.4</v>
      </c>
      <c r="C11" t="str" xml:space="preserve">
        <v xml:space="preserve">In ordinary soil BY MECHANICAL MEANS_x000d_
Depth upto 3m</v>
      </c>
    </row>
    <row r="12">
      <c r="C12" t="str">
        <v xml:space="preserve">Pier </v>
      </c>
      <c r="D12">
        <v>11</v>
      </c>
      <c r="E12">
        <v>16.62496433541477</v>
      </c>
      <c r="F12">
        <v>4.33</v>
      </c>
      <c r="G12">
        <v>0.8</v>
      </c>
      <c r="H12">
        <v>633.4776410366444</v>
      </c>
      <c r="I12" t="str">
        <v>Cum</v>
      </c>
    </row>
    <row r="13">
      <c r="C13" t="str">
        <v xml:space="preserve">Abutment </v>
      </c>
      <c r="D13">
        <v>2</v>
      </c>
      <c r="E13">
        <v>14.3</v>
      </c>
      <c r="F13">
        <v>6.75</v>
      </c>
      <c r="G13">
        <v>0.8</v>
      </c>
      <c r="H13">
        <v>154.44000000000003</v>
      </c>
      <c r="I13" t="str">
        <v>Cum</v>
      </c>
    </row>
    <row r="14">
      <c r="G14" t="str">
        <v>Total:-</v>
      </c>
      <c r="H14">
        <v>787.9176410366445</v>
      </c>
      <c r="I14" t="str">
        <v>Cum</v>
      </c>
    </row>
    <row r="16" xml:space="preserve">
      <c r="A16">
        <v>2</v>
      </c>
      <c r="B16" t="str" xml:space="preserve">
        <v xml:space="preserve">B-1_x000d_
1.1.5</v>
      </c>
      <c r="C16" t="str" xml:space="preserve">
        <v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v>
      </c>
    </row>
    <row r="17">
      <c r="C17" t="str">
        <v>Pier</v>
      </c>
      <c r="D17">
        <v>11</v>
      </c>
      <c r="E17">
        <v>16.62496433541477</v>
      </c>
      <c r="F17">
        <v>4.33</v>
      </c>
      <c r="G17">
        <v>1</v>
      </c>
      <c r="H17">
        <v>791.8470512958055</v>
      </c>
      <c r="I17" t="str">
        <v>Cum</v>
      </c>
    </row>
    <row r="18">
      <c r="C18" t="str">
        <v xml:space="preserve">Abutment </v>
      </c>
      <c r="D18">
        <v>2</v>
      </c>
      <c r="E18">
        <v>14.3</v>
      </c>
      <c r="F18">
        <v>6.75</v>
      </c>
      <c r="G18">
        <v>1</v>
      </c>
      <c r="H18">
        <v>193.05</v>
      </c>
      <c r="I18" t="str">
        <v>Cum</v>
      </c>
    </row>
    <row r="19">
      <c r="G19" t="str">
        <v>Total:-</v>
      </c>
      <c r="H19">
        <v>984.8970512958056</v>
      </c>
      <c r="I19" t="str">
        <v>Cum</v>
      </c>
    </row>
    <row r="21" xml:space="preserve">
      <c r="A21">
        <v>3</v>
      </c>
      <c r="B21" t="str">
        <v>1.3.2</v>
      </c>
      <c r="C21" t="str" xml:space="preserve">
        <v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v>
      </c>
    </row>
    <row r="22">
      <c r="C22" t="str">
        <v>Pier</v>
      </c>
      <c r="D22">
        <v>11</v>
      </c>
      <c r="E22">
        <v>16.62496433541477</v>
      </c>
      <c r="F22">
        <v>4.33</v>
      </c>
      <c r="G22">
        <v>1.8</v>
      </c>
      <c r="H22">
        <v>1425.32469233245</v>
      </c>
      <c r="I22" t="str">
        <v>Cum</v>
      </c>
    </row>
    <row r="23">
      <c r="C23" t="str">
        <v xml:space="preserve">Abutment </v>
      </c>
      <c r="D23">
        <v>2</v>
      </c>
      <c r="E23">
        <v>14.3</v>
      </c>
      <c r="F23">
        <v>6.75</v>
      </c>
      <c r="G23">
        <v>1.8</v>
      </c>
      <c r="H23">
        <v>347.49</v>
      </c>
      <c r="I23" t="str">
        <v>Cum</v>
      </c>
    </row>
    <row r="24">
      <c r="C24" t="str">
        <v>Bed Protection Wall at U/S</v>
      </c>
      <c r="D24">
        <v>12</v>
      </c>
      <c r="E24">
        <v>12.5</v>
      </c>
      <c r="F24">
        <v>1</v>
      </c>
      <c r="G24">
        <v>1</v>
      </c>
      <c r="H24">
        <v>150</v>
      </c>
      <c r="I24" t="str">
        <v>Cum</v>
      </c>
    </row>
    <row r="25">
      <c r="C25" t="str">
        <v>Bed Protection Wall at D/S</v>
      </c>
      <c r="D25">
        <v>12</v>
      </c>
      <c r="E25">
        <v>12.5</v>
      </c>
      <c r="F25">
        <v>1</v>
      </c>
      <c r="G25">
        <v>1</v>
      </c>
      <c r="H25">
        <v>150</v>
      </c>
      <c r="I25" t="str">
        <v>Cum</v>
      </c>
    </row>
    <row r="26">
      <c r="G26" t="str">
        <v>Total:-</v>
      </c>
      <c r="H26">
        <v>2072.8146923324502</v>
      </c>
      <c r="I26" t="str">
        <v>Cum</v>
      </c>
    </row>
    <row r="28" xml:space="preserve">
      <c r="A28">
        <v>4</v>
      </c>
      <c r="B28" t="str">
        <v>1.4.1</v>
      </c>
      <c r="C28" t="str" xml:space="preserve">
        <v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v>
      </c>
    </row>
    <row r="29">
      <c r="C29" t="str">
        <v>Pier</v>
      </c>
      <c r="D29">
        <v>11</v>
      </c>
      <c r="E29">
        <v>16.62496433541477</v>
      </c>
      <c r="F29">
        <v>4.33</v>
      </c>
      <c r="G29">
        <v>1.8</v>
      </c>
      <c r="H29">
        <v>1425.32469233245</v>
      </c>
      <c r="I29" t="str">
        <v>Cum</v>
      </c>
    </row>
    <row r="30">
      <c r="C30" t="str">
        <v xml:space="preserve">Abutment </v>
      </c>
      <c r="D30">
        <v>2</v>
      </c>
      <c r="E30">
        <v>14.3</v>
      </c>
      <c r="F30">
        <v>6.75</v>
      </c>
      <c r="G30">
        <v>1.8</v>
      </c>
      <c r="H30">
        <v>347.49</v>
      </c>
      <c r="I30" t="str">
        <v>Cum</v>
      </c>
    </row>
    <row r="31">
      <c r="C31" t="str">
        <v>Bed Protection Wall at U/S</v>
      </c>
      <c r="D31">
        <v>12</v>
      </c>
      <c r="E31">
        <v>12.5</v>
      </c>
      <c r="F31">
        <v>1</v>
      </c>
      <c r="G31">
        <v>1</v>
      </c>
      <c r="H31">
        <v>150</v>
      </c>
      <c r="I31" t="str">
        <v>Cum</v>
      </c>
    </row>
    <row r="32">
      <c r="C32" t="str">
        <v>Bed Protection Wall at D/S</v>
      </c>
      <c r="D32">
        <v>12</v>
      </c>
      <c r="E32">
        <v>12.5</v>
      </c>
      <c r="F32">
        <v>1</v>
      </c>
      <c r="G32">
        <v>1</v>
      </c>
      <c r="H32">
        <v>150</v>
      </c>
      <c r="I32" t="str">
        <v>Cum</v>
      </c>
    </row>
    <row r="33">
      <c r="G33" t="str">
        <v>Total:-</v>
      </c>
      <c r="H33">
        <v>2072.8146923324502</v>
      </c>
      <c r="I33" t="str">
        <v>Cum</v>
      </c>
    </row>
    <row r="35" xml:space="preserve">
      <c r="A35">
        <v>5</v>
      </c>
      <c r="B35" t="str" xml:space="preserve">
        <v xml:space="preserve">B-2_x000d_
_x000d_
6.3</v>
      </c>
      <c r="C35" t="str" xml:space="preserve">
        <v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v>
      </c>
    </row>
    <row r="36">
      <c r="C36" t="str">
        <v xml:space="preserve">Pier </v>
      </c>
      <c r="D36">
        <v>11</v>
      </c>
      <c r="E36">
        <v>16.62496433541477</v>
      </c>
      <c r="F36">
        <v>4.33</v>
      </c>
      <c r="G36">
        <v>1.8</v>
      </c>
      <c r="H36">
        <v>1425.32469233245</v>
      </c>
      <c r="I36" t="str">
        <v>Cum</v>
      </c>
    </row>
    <row r="37">
      <c r="C37" t="str">
        <v xml:space="preserve">Abutment </v>
      </c>
      <c r="D37">
        <v>2</v>
      </c>
      <c r="E37">
        <v>14</v>
      </c>
      <c r="F37">
        <v>6.75</v>
      </c>
      <c r="G37">
        <v>1.8</v>
      </c>
      <c r="H37">
        <v>340.2</v>
      </c>
      <c r="I37" t="str">
        <v>Cum</v>
      </c>
    </row>
    <row r="38">
      <c r="C38" t="str">
        <v>Annualar  Filling</v>
      </c>
      <c r="D38">
        <v>11</v>
      </c>
      <c r="E38">
        <v>41.909928670829544</v>
      </c>
      <c r="F38">
        <v>0.3</v>
      </c>
      <c r="G38">
        <v>1.8</v>
      </c>
      <c r="H38">
        <v>248.94497630472748</v>
      </c>
      <c r="I38" t="str">
        <v>Cum</v>
      </c>
    </row>
    <row r="39">
      <c r="D39">
        <v>2</v>
      </c>
      <c r="E39">
        <v>42.1</v>
      </c>
      <c r="F39">
        <v>0.3</v>
      </c>
      <c r="G39">
        <v>1.3</v>
      </c>
      <c r="H39">
        <v>32.838</v>
      </c>
      <c r="I39" t="str">
        <v>Cum</v>
      </c>
    </row>
    <row r="40">
      <c r="H40">
        <v>2047.3076686371776</v>
      </c>
      <c r="I40" t="str">
        <v>Cum</v>
      </c>
    </row>
    <row r="41">
      <c r="C41" t="str">
        <v>Deductions</v>
      </c>
    </row>
    <row r="43">
      <c r="C43" t="str">
        <v xml:space="preserve">Pier Foundation </v>
      </c>
      <c r="D43">
        <v>11</v>
      </c>
      <c r="E43">
        <v>16.32496433541477</v>
      </c>
      <c r="F43">
        <v>4.0048000000000075</v>
      </c>
      <c r="G43">
        <v>1</v>
      </c>
      <c r="H43">
        <v>719.1603888751612</v>
      </c>
      <c r="I43" t="str">
        <v>Cum</v>
      </c>
    </row>
    <row r="44">
      <c r="C44" t="str">
        <v>Abutment Foundation</v>
      </c>
      <c r="D44">
        <v>2</v>
      </c>
      <c r="E44">
        <v>14</v>
      </c>
      <c r="F44">
        <v>5.1</v>
      </c>
      <c r="G44">
        <v>1</v>
      </c>
      <c r="H44">
        <v>142.79999999999998</v>
      </c>
      <c r="I44" t="str">
        <v>Cum</v>
      </c>
    </row>
    <row r="45">
      <c r="H45">
        <v>861.9603888751611</v>
      </c>
      <c r="I45" t="str">
        <v>Cum</v>
      </c>
    </row>
    <row r="47">
      <c r="G47" t="str">
        <v>Net Qty. :-</v>
      </c>
      <c r="H47">
        <v>1185.3472797620166</v>
      </c>
      <c r="I47" t="str">
        <v>Cum</v>
      </c>
    </row>
    <row r="49" xml:space="preserve">
      <c r="A49">
        <v>6</v>
      </c>
      <c r="B49" t="str" xml:space="preserve">
        <v xml:space="preserve">B-2_x000d_
6.3</v>
      </c>
      <c r="C49" t="str" xml:space="preserve">
        <v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v>
      </c>
    </row>
    <row r="50">
      <c r="C50" t="str">
        <v xml:space="preserve">Pier </v>
      </c>
      <c r="D50">
        <v>11</v>
      </c>
      <c r="E50">
        <v>16.62496433541477</v>
      </c>
      <c r="F50">
        <v>4.304800000000007</v>
      </c>
      <c r="G50">
        <v>0.3</v>
      </c>
      <c r="H50">
        <v>236.17158335460897</v>
      </c>
      <c r="I50" t="str">
        <v>Cum</v>
      </c>
    </row>
    <row r="51">
      <c r="C51" t="str">
        <v>Abutment A1-A2</v>
      </c>
      <c r="D51">
        <v>2</v>
      </c>
      <c r="E51">
        <v>14.3</v>
      </c>
      <c r="F51">
        <v>5.3999999999999995</v>
      </c>
      <c r="G51">
        <v>0.3</v>
      </c>
      <c r="H51">
        <v>46.332</v>
      </c>
      <c r="I51" t="str">
        <v>Cum</v>
      </c>
    </row>
    <row r="53">
      <c r="G53" t="str">
        <v>Total:-</v>
      </c>
      <c r="H53">
        <v>282.50358335460896</v>
      </c>
      <c r="I53" t="str">
        <v>Cum</v>
      </c>
    </row>
    <row r="55" xml:space="preserve">
      <c r="A55">
        <v>7</v>
      </c>
      <c r="B55" t="str" xml:space="preserve">
        <v xml:space="preserve">B-2_x000d_
6.6</v>
      </c>
      <c r="C55" t="str" xml:space="preserve">
        <v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v>
      </c>
    </row>
    <row r="56">
      <c r="C56" t="str">
        <v xml:space="preserve">Pier </v>
      </c>
      <c r="D56">
        <v>11</v>
      </c>
      <c r="E56">
        <v>16.32496433541477</v>
      </c>
      <c r="F56">
        <v>4.0048000000000075</v>
      </c>
      <c r="G56">
        <v>1</v>
      </c>
      <c r="H56">
        <v>719.1603888751612</v>
      </c>
      <c r="I56" t="str">
        <v>Cum</v>
      </c>
    </row>
    <row r="57">
      <c r="C57" t="str">
        <v>Abutment (Average thickness= (0.30+1.60)/2</v>
      </c>
      <c r="D57">
        <v>2</v>
      </c>
      <c r="E57">
        <v>14</v>
      </c>
      <c r="F57">
        <v>5.1</v>
      </c>
      <c r="G57">
        <v>1</v>
      </c>
      <c r="H57">
        <v>142.79999999999998</v>
      </c>
      <c r="I57" t="str">
        <v>Cum</v>
      </c>
    </row>
    <row r="58">
      <c r="C58" t="str">
        <v>Bed Protection at U/S</v>
      </c>
      <c r="D58">
        <v>11</v>
      </c>
      <c r="E58">
        <v>12.5</v>
      </c>
      <c r="F58">
        <v>3</v>
      </c>
      <c r="G58">
        <v>0.3</v>
      </c>
      <c r="H58">
        <v>123.75</v>
      </c>
      <c r="I58" t="str">
        <v>Cum</v>
      </c>
    </row>
    <row r="59">
      <c r="C59" t="str">
        <v>Bed Protection at D/S</v>
      </c>
      <c r="D59">
        <v>11</v>
      </c>
      <c r="E59">
        <v>12.5</v>
      </c>
      <c r="F59">
        <v>5</v>
      </c>
      <c r="G59">
        <v>0.3</v>
      </c>
      <c r="H59">
        <v>206.25</v>
      </c>
      <c r="I59" t="str">
        <v>Cum</v>
      </c>
    </row>
    <row r="60">
      <c r="G60" t="str">
        <v>Total:-</v>
      </c>
      <c r="H60">
        <v>1191.9603888751612</v>
      </c>
      <c r="I60" t="str">
        <v>Cum</v>
      </c>
    </row>
    <row r="62" xml:space="preserve">
      <c r="A62">
        <v>8</v>
      </c>
      <c r="B62" t="str" xml:space="preserve">
        <v xml:space="preserve">B-2_x000d_
13.3</v>
      </c>
      <c r="C62" t="str" xml:space="preserve">
        <v xml:space="preserve">Providing and laying steel reinforcement at any level in foundation complete as per drawing and technical specification. [MoRTH Specification : Section 1600]._x000d_
TMT Bar </v>
      </c>
    </row>
    <row r="63">
      <c r="C63" t="str">
        <v>1.50% RCC quantity</v>
      </c>
      <c r="D63">
        <v>0.015</v>
      </c>
      <c r="E63">
        <v>1191.9603888751612</v>
      </c>
      <c r="F63">
        <v>7850</v>
      </c>
      <c r="H63">
        <v>140.35333579005024</v>
      </c>
      <c r="I63" t="str">
        <v>MT</v>
      </c>
    </row>
    <row r="66">
      <c r="C66" t="str">
        <v>(ii) SUB STRUCTURE WORK</v>
      </c>
    </row>
    <row r="68" xml:space="preserve">
      <c r="A68">
        <v>9</v>
      </c>
      <c r="B68" t="str" xml:space="preserve">
        <v xml:space="preserve">B-3_x000d_
5.2.1.1</v>
      </c>
      <c r="C68" t="str" xml:space="preserve">
        <v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v>
      </c>
    </row>
    <row r="69">
      <c r="C69" t="str">
        <v xml:space="preserve">Piers (Average Height) </v>
      </c>
      <c r="D69">
        <v>11</v>
      </c>
      <c r="E69">
        <v>12</v>
      </c>
      <c r="F69">
        <v>1.2</v>
      </c>
      <c r="G69">
        <v>5.574000000000012</v>
      </c>
      <c r="H69">
        <v>882.921600000002</v>
      </c>
      <c r="I69" t="str">
        <v>Cum</v>
      </c>
    </row>
    <row r="70">
      <c r="C70" t="str">
        <v xml:space="preserve">Circular Section pier </v>
      </c>
      <c r="D70">
        <v>11</v>
      </c>
      <c r="E70">
        <v>0.785</v>
      </c>
      <c r="F70">
        <v>1.44</v>
      </c>
      <c r="G70">
        <v>5.574000000000012</v>
      </c>
      <c r="H70">
        <v>69.30934560000016</v>
      </c>
      <c r="I70" t="str">
        <v>Cum</v>
      </c>
    </row>
    <row r="71">
      <c r="C71" t="str">
        <v xml:space="preserve">Pier Cap </v>
      </c>
      <c r="D71">
        <v>11</v>
      </c>
      <c r="E71">
        <v>12</v>
      </c>
      <c r="F71">
        <v>1.5</v>
      </c>
      <c r="G71">
        <v>0.3</v>
      </c>
      <c r="H71">
        <v>59.4</v>
      </c>
      <c r="I71" t="str">
        <v>Cum</v>
      </c>
    </row>
    <row r="72">
      <c r="C72" t="str">
        <v xml:space="preserve">Abutment wall (Average Height) </v>
      </c>
      <c r="D72">
        <v>2</v>
      </c>
      <c r="E72">
        <v>12</v>
      </c>
      <c r="F72">
        <v>1.1</v>
      </c>
      <c r="G72">
        <v>4.4040000000000195</v>
      </c>
      <c r="H72">
        <v>116.26560000000052</v>
      </c>
      <c r="I72" t="str">
        <v>Cum</v>
      </c>
    </row>
    <row r="73">
      <c r="C73" t="str">
        <v xml:space="preserve">Abutment Cap </v>
      </c>
      <c r="D73">
        <v>2</v>
      </c>
      <c r="E73">
        <v>12</v>
      </c>
      <c r="F73">
        <v>1</v>
      </c>
      <c r="G73">
        <v>0.3</v>
      </c>
      <c r="H73">
        <v>7.199999999999999</v>
      </c>
      <c r="I73" t="str">
        <v>Cum</v>
      </c>
    </row>
    <row r="74">
      <c r="C74" t="str">
        <v xml:space="preserve">Dirt wall </v>
      </c>
      <c r="D74">
        <v>2</v>
      </c>
      <c r="E74">
        <v>12</v>
      </c>
      <c r="F74">
        <v>0.3</v>
      </c>
      <c r="G74">
        <v>0.8</v>
      </c>
      <c r="H74">
        <v>5.76</v>
      </c>
      <c r="I74" t="str">
        <v>Cum</v>
      </c>
    </row>
    <row r="75">
      <c r="C75" t="str">
        <v>Returns</v>
      </c>
      <c r="D75">
        <v>4</v>
      </c>
      <c r="E75">
        <v>7</v>
      </c>
      <c r="F75">
        <v>0.5</v>
      </c>
      <c r="G75">
        <v>1</v>
      </c>
      <c r="H75">
        <v>14</v>
      </c>
      <c r="I75" t="str">
        <v>Cum</v>
      </c>
    </row>
    <row r="76">
      <c r="C76" t="str">
        <v>Returns</v>
      </c>
      <c r="D76">
        <v>4</v>
      </c>
      <c r="E76">
        <v>7</v>
      </c>
      <c r="F76">
        <v>1</v>
      </c>
      <c r="G76">
        <v>1.5</v>
      </c>
      <c r="H76">
        <v>42</v>
      </c>
      <c r="I76" t="str">
        <v>Cum</v>
      </c>
    </row>
    <row r="77">
      <c r="C77" t="str">
        <v>Returns</v>
      </c>
      <c r="D77">
        <v>4</v>
      </c>
      <c r="E77">
        <v>7</v>
      </c>
      <c r="F77">
        <v>1.5</v>
      </c>
      <c r="G77">
        <v>1.5</v>
      </c>
      <c r="H77">
        <v>63</v>
      </c>
      <c r="I77" t="str">
        <v>Cum</v>
      </c>
    </row>
    <row r="78">
      <c r="C78" t="str">
        <v>Returns</v>
      </c>
      <c r="D78">
        <v>4</v>
      </c>
      <c r="E78">
        <v>7</v>
      </c>
      <c r="F78">
        <v>2</v>
      </c>
      <c r="G78">
        <v>1.5</v>
      </c>
      <c r="H78">
        <v>84</v>
      </c>
      <c r="I78" t="str">
        <v>Cum</v>
      </c>
    </row>
    <row r="79">
      <c r="C79" t="str">
        <v>Returns</v>
      </c>
      <c r="D79">
        <v>4</v>
      </c>
      <c r="E79">
        <v>7</v>
      </c>
      <c r="F79">
        <v>2.5</v>
      </c>
      <c r="G79">
        <v>1.5</v>
      </c>
      <c r="H79">
        <v>105</v>
      </c>
      <c r="I79" t="str">
        <v>Cum</v>
      </c>
    </row>
    <row r="80">
      <c r="G80" t="str">
        <v>Total:-</v>
      </c>
      <c r="H80">
        <v>1448.8565456000026</v>
      </c>
      <c r="I80" t="str">
        <v>Cum</v>
      </c>
    </row>
    <row r="82" xml:space="preserve">
      <c r="A82">
        <v>10</v>
      </c>
      <c r="B82" t="str" xml:space="preserve">
        <v xml:space="preserve">B-3_x000d_
9.3</v>
      </c>
      <c r="C82" t="str">
        <v xml:space="preserve">Steel reinforcement in substructure complete. [MoRTH Specification : Section 1600]. TMT Bars </v>
      </c>
    </row>
    <row r="83">
      <c r="C83" t="str">
        <v>1.45% RCC quantity</v>
      </c>
      <c r="D83">
        <v>0.0145</v>
      </c>
      <c r="E83">
        <v>1448.8565456000026</v>
      </c>
      <c r="F83">
        <v>7850</v>
      </c>
      <c r="H83">
        <v>164.91609630292032</v>
      </c>
      <c r="I83" t="str">
        <v>MT</v>
      </c>
    </row>
    <row r="85" xml:space="preserve">
      <c r="A85">
        <v>11</v>
      </c>
      <c r="B85" t="str" xml:space="preserve">
        <v xml:space="preserve">B-3_x000d_
15</v>
      </c>
      <c r="C85" t="str">
        <v>Providing A.C. pipe Weep holes 150mm dia in Masonry/plain Concrete/Reinforced Concrete abutment, wing wall/return wall complete as per drawing and technical specification. [MoRTH Specification : Clause 2205].</v>
      </c>
    </row>
    <row r="86">
      <c r="C86" t="str">
        <v>Abutments</v>
      </c>
      <c r="D86">
        <v>2</v>
      </c>
      <c r="E86">
        <v>48</v>
      </c>
      <c r="F86">
        <v>0.95</v>
      </c>
      <c r="H86">
        <v>91.19999999999999</v>
      </c>
      <c r="I86" t="str">
        <v>Rm</v>
      </c>
    </row>
    <row r="87">
      <c r="C87" t="str">
        <v>Returns</v>
      </c>
      <c r="D87">
        <v>4</v>
      </c>
      <c r="E87">
        <v>42</v>
      </c>
      <c r="F87">
        <v>0.65</v>
      </c>
      <c r="H87">
        <v>109.2</v>
      </c>
      <c r="I87" t="str">
        <v>Rm</v>
      </c>
    </row>
    <row r="88">
      <c r="G88" t="str">
        <v>Total:-</v>
      </c>
      <c r="H88">
        <v>200.39999999999998</v>
      </c>
      <c r="I88" t="str">
        <v>Rm</v>
      </c>
    </row>
    <row r="90" xml:space="preserve">
      <c r="A90">
        <v>12</v>
      </c>
      <c r="B90" t="str" xml:space="preserve">
        <v xml:space="preserve">B-1_x000d_
3.1</v>
      </c>
      <c r="C90" t="str">
        <v>Back filling behind abutment, wing wall and return wall, in 150mm layers, with mechanical compaction, complete with all lead and lift, as per drawing and technical specification. [MoRTH Specification : Clause 304]. Gravelly Material</v>
      </c>
    </row>
    <row r="91">
      <c r="C91" t="str">
        <v>Abutments</v>
      </c>
      <c r="D91">
        <v>2</v>
      </c>
      <c r="E91">
        <v>7</v>
      </c>
      <c r="F91">
        <v>12</v>
      </c>
      <c r="G91">
        <v>2.9</v>
      </c>
      <c r="H91">
        <v>487.2</v>
      </c>
      <c r="I91" t="str">
        <v>Cum</v>
      </c>
    </row>
    <row r="93" xml:space="preserve">
      <c r="A93">
        <v>13</v>
      </c>
      <c r="B93" t="str" xml:space="preserve">
        <v xml:space="preserve">B-1_x000d_
4</v>
      </c>
      <c r="C93" t="str">
        <v>Filter medium behind abutment, wing wall and return wall, complete as per drawing and technical specification. (Same as R7.20.3) [MoRTH Specification : Clause 2504].</v>
      </c>
    </row>
    <row r="94">
      <c r="C94" t="str">
        <v>Abutment</v>
      </c>
      <c r="D94">
        <v>2</v>
      </c>
      <c r="E94">
        <v>12</v>
      </c>
      <c r="F94">
        <v>0.6</v>
      </c>
      <c r="G94">
        <v>2.9</v>
      </c>
      <c r="H94">
        <v>41.76</v>
      </c>
      <c r="I94" t="str">
        <v>Cum</v>
      </c>
    </row>
    <row r="95">
      <c r="C95" t="str">
        <v>Return</v>
      </c>
      <c r="D95">
        <v>4</v>
      </c>
      <c r="E95">
        <v>6</v>
      </c>
      <c r="F95">
        <v>0.6</v>
      </c>
      <c r="G95">
        <v>2.9</v>
      </c>
      <c r="H95">
        <v>41.76</v>
      </c>
      <c r="I95" t="str">
        <v>Cum</v>
      </c>
    </row>
    <row r="96">
      <c r="G96" t="str">
        <v>Total:-</v>
      </c>
      <c r="H96">
        <v>83.52</v>
      </c>
      <c r="I96" t="str">
        <v>Cum</v>
      </c>
    </row>
    <row r="98">
      <c r="C98" t="str">
        <v>(iii) SUPERSTRUCTURE</v>
      </c>
    </row>
    <row r="99" xml:space="preserve">
      <c r="A99">
        <v>14</v>
      </c>
      <c r="B99" t="str" xml:space="preserve">
        <v xml:space="preserve">B-4_x000d_
1.1.3</v>
      </c>
      <c r="C99" t="str" xml:space="preserve">
        <v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v>
      </c>
    </row>
    <row r="100">
      <c r="C100" t="str">
        <v>Deck slab</v>
      </c>
      <c r="D100">
        <v>12</v>
      </c>
      <c r="E100">
        <v>12.930664820130508</v>
      </c>
      <c r="F100">
        <v>12</v>
      </c>
      <c r="G100">
        <v>0.8500000000000001</v>
      </c>
      <c r="H100">
        <v>1582.7133739839742</v>
      </c>
      <c r="I100" t="str">
        <v>Cum</v>
      </c>
    </row>
    <row r="101">
      <c r="C101" t="str">
        <v>Circular section</v>
      </c>
      <c r="D101">
        <v>12</v>
      </c>
      <c r="E101">
        <v>12</v>
      </c>
      <c r="F101" t="str">
        <v>0.785 x0.75x0.75</v>
      </c>
      <c r="H101">
        <v>81</v>
      </c>
      <c r="I101" t="str">
        <v>Cum</v>
      </c>
    </row>
    <row r="102">
      <c r="C102" t="str">
        <v>Guard Stones as per IRC SP 82-2008 PAGE 141</v>
      </c>
      <c r="D102">
        <v>216</v>
      </c>
      <c r="E102">
        <v>0.3</v>
      </c>
      <c r="F102">
        <v>0.2</v>
      </c>
      <c r="G102">
        <v>0.3</v>
      </c>
      <c r="H102">
        <v>36.449999999999996</v>
      </c>
      <c r="I102" t="str">
        <v>Cum</v>
      </c>
    </row>
    <row r="103">
      <c r="H103">
        <v>1700.1633739839742</v>
      </c>
      <c r="I103" t="str">
        <v>Cum</v>
      </c>
    </row>
    <row r="105" xml:space="preserve">
      <c r="A105">
        <v>15</v>
      </c>
      <c r="B105" t="str" xml:space="preserve">
        <v xml:space="preserve">B-4_x000d_
3</v>
      </c>
      <c r="C105" t="str">
        <v>Providing and laying TMT bar reinforcement at any level in superstructure complete as per drawing and technical Specification. [MoRTH Specification : Section 1600]</v>
      </c>
    </row>
    <row r="106">
      <c r="C106" t="str">
        <v>1.50% RCC quantity</v>
      </c>
      <c r="D106">
        <v>0.015</v>
      </c>
      <c r="E106">
        <v>1700.1633739839742</v>
      </c>
      <c r="F106">
        <v>7850</v>
      </c>
      <c r="H106">
        <v>200.19423728661297</v>
      </c>
      <c r="I106" t="str">
        <v>MT</v>
      </c>
    </row>
    <row r="107">
      <c r="C107" t="str">
        <v>In deck slab anchor 25 mm bars</v>
      </c>
      <c r="D107">
        <v>408</v>
      </c>
      <c r="E107">
        <v>2.25</v>
      </c>
      <c r="F107">
        <v>3.85</v>
      </c>
      <c r="H107">
        <v>3.53</v>
      </c>
      <c r="I107" t="str">
        <v>MT</v>
      </c>
    </row>
    <row r="108">
      <c r="H108">
        <v>203.72423728661298</v>
      </c>
      <c r="I108" t="str">
        <v>MT</v>
      </c>
    </row>
    <row r="110" xml:space="preserve">
      <c r="A110">
        <v>16</v>
      </c>
      <c r="B110" t="str" xml:space="preserve">
        <v xml:space="preserve">B-4_x000d_
5</v>
      </c>
      <c r="C110" t="str">
        <v>Reinforced cement concrete wearing coat M-30 grade at any level including formwork and reinforcement complete as per drawing and technical Specification. [MoRTH Specification : Clause 2204, 1500 &amp; 1700].</v>
      </c>
    </row>
    <row r="111">
      <c r="C111" t="str">
        <v>Bridge length</v>
      </c>
      <c r="D111">
        <v>12</v>
      </c>
      <c r="E111">
        <v>12.930664820130508</v>
      </c>
      <c r="F111">
        <v>12</v>
      </c>
      <c r="G111">
        <v>0.075</v>
      </c>
      <c r="H111">
        <v>139.65118005740948</v>
      </c>
      <c r="I111" t="str">
        <v>Cum</v>
      </c>
    </row>
    <row r="113" xml:space="preserve">
      <c r="A113">
        <v>17</v>
      </c>
      <c r="B113" t="str" xml:space="preserve">
        <v xml:space="preserve">B-4_x000d_
16</v>
      </c>
      <c r="C113" t="str">
        <v>Providing and Laying PCC M-15 grade leveling course below approach slab complete as per drawing and technical specifications. [MoRTH specification : 2700]</v>
      </c>
    </row>
    <row r="114">
      <c r="D114">
        <v>2</v>
      </c>
      <c r="E114">
        <v>7.2</v>
      </c>
      <c r="F114">
        <v>3.5</v>
      </c>
      <c r="G114">
        <v>0.15</v>
      </c>
      <c r="H114">
        <v>7.56</v>
      </c>
      <c r="I114" t="str">
        <v>Cum</v>
      </c>
    </row>
    <row r="116" xml:space="preserve">
      <c r="A116">
        <v>18</v>
      </c>
      <c r="B116" t="str" xml:space="preserve">
        <v xml:space="preserve">B-4_x000d_
17</v>
      </c>
      <c r="C116" t="str">
        <v>Reinforced cement concrete M-30 grade approach slab including reinforcement and formwork complete as per drawing and technical specifications. [MoRTH specification : 1500, 1600, 1700, 2704]</v>
      </c>
    </row>
    <row r="117">
      <c r="C117" t="str">
        <v>Approch Slab</v>
      </c>
      <c r="D117">
        <v>2</v>
      </c>
      <c r="E117">
        <v>12.93</v>
      </c>
      <c r="F117">
        <v>3.5</v>
      </c>
      <c r="G117">
        <v>0.3</v>
      </c>
      <c r="H117">
        <v>27.152999999999995</v>
      </c>
      <c r="I117" t="str">
        <v>Cum</v>
      </c>
    </row>
    <row r="119" xml:space="preserve">
      <c r="A119">
        <v>19</v>
      </c>
      <c r="B119" t="str" xml:space="preserve">
        <v xml:space="preserve">B-4_x000d_
11.2</v>
      </c>
      <c r="C119" t="str">
        <v>Providing and fixing 20mm thick Compressible Fibre Board in expansion joint complete as per drawing and technical specification in MoRTH specification : clause 2605.</v>
      </c>
    </row>
    <row r="120">
      <c r="C120" t="str">
        <v xml:space="preserve">Slab </v>
      </c>
      <c r="D120">
        <v>12</v>
      </c>
      <c r="E120">
        <v>12.930664820130508</v>
      </c>
      <c r="F120">
        <v>0.8500000000000001</v>
      </c>
      <c r="H120">
        <v>131.89278116533117</v>
      </c>
      <c r="I120" t="str">
        <v>Sqm</v>
      </c>
    </row>
    <row r="121">
      <c r="C121" t="str">
        <v xml:space="preserve">abutment </v>
      </c>
      <c r="D121">
        <v>4</v>
      </c>
      <c r="E121" t="str">
        <v xml:space="preserve">(0.40+1.20)/2 x 8.00  </v>
      </c>
      <c r="H121">
        <v>25.6</v>
      </c>
      <c r="I121" t="str">
        <v>Sqm</v>
      </c>
    </row>
    <row r="122">
      <c r="H122">
        <v>157.49278116533117</v>
      </c>
      <c r="I122" t="str">
        <v>Sqm</v>
      </c>
    </row>
    <row r="124" xml:space="preserve">
      <c r="A124">
        <v>20</v>
      </c>
      <c r="B124" t="str" xml:space="preserve">
        <v xml:space="preserve">B-4_x000d_
7</v>
      </c>
      <c r="C124" t="str">
        <v>Providing and laying 12mm thick Bitumen Mastic wearing coat with bitumen of grade S35 as per Table 500-27, 10.2% by weight on prepared base including coarse aggregate as per table 500-29, and lime stone powder as filler, complete including tack coat. (MoRTH specification : Clause 515).</v>
      </c>
    </row>
    <row r="125">
      <c r="C125" t="str">
        <v>Piers</v>
      </c>
      <c r="D125">
        <v>11</v>
      </c>
      <c r="E125">
        <v>1.2</v>
      </c>
      <c r="F125">
        <v>12</v>
      </c>
      <c r="H125">
        <v>158.39999999999998</v>
      </c>
      <c r="I125" t="str">
        <v>Sqm</v>
      </c>
    </row>
    <row r="126">
      <c r="C126" t="str">
        <v>Abutment</v>
      </c>
      <c r="D126">
        <v>2</v>
      </c>
      <c r="E126">
        <v>1</v>
      </c>
      <c r="F126">
        <v>12</v>
      </c>
      <c r="H126">
        <v>24</v>
      </c>
      <c r="I126" t="str">
        <v>Sqm</v>
      </c>
    </row>
    <row r="127">
      <c r="G127" t="str">
        <v>Total:-</v>
      </c>
      <c r="H127">
        <v>182.39999999999998</v>
      </c>
      <c r="I127" t="str">
        <v>Sqm</v>
      </c>
    </row>
    <row r="129">
      <c r="C129" t="str">
        <v xml:space="preserve">Approaches </v>
      </c>
    </row>
    <row r="131" xml:space="preserve">
      <c r="A131">
        <v>21</v>
      </c>
      <c r="C131" t="str" xml:space="preserve">
        <v xml:space="preserve">Earthwork in excavation in ordinary rock,  including stacking / disposal of surplus Material exclusive of compensation of earth._x000d_
By Hydraulic Excavator CK-90 of 0.9 cum bucket capacity and tipper with disposal upto 1000 mtrs.</v>
      </c>
    </row>
    <row r="132">
      <c r="C132" t="str">
        <v>Qty. as per Sheet</v>
      </c>
      <c r="E132">
        <v>3389</v>
      </c>
      <c r="F132" t="str">
        <v>Cum</v>
      </c>
    </row>
    <row r="133">
      <c r="G133" t="str">
        <v>Qty. 60%Sheet</v>
      </c>
      <c r="H133">
        <v>2033.3999999999999</v>
      </c>
      <c r="I133" t="str">
        <v>Cum</v>
      </c>
    </row>
    <row r="135">
      <c r="A135">
        <v>22</v>
      </c>
      <c r="C135" t="str">
        <v>Earthwork in excavation for roadway in hard rock,  including stacking / disposal of surplus Material exclusive of compensation of earth Requiring blasting</v>
      </c>
    </row>
    <row r="136">
      <c r="G136" t="str">
        <v>Qty. 40%Sheet</v>
      </c>
      <c r="H136">
        <v>1355.6000000000001</v>
      </c>
      <c r="I136" t="str">
        <v>Cum</v>
      </c>
    </row>
    <row r="138" xml:space="preserve">
      <c r="A138">
        <v>23</v>
      </c>
      <c r="B138" t="str" xml:space="preserve">
        <v xml:space="preserve">B-1_x000d_
1.1.4</v>
      </c>
      <c r="C138" t="str" xml:space="preserve">
        <v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v>
      </c>
    </row>
    <row r="139">
      <c r="C139" t="str">
        <v>Solid RCC Retatining Wall</v>
      </c>
      <c r="D139">
        <v>4</v>
      </c>
      <c r="E139">
        <v>75</v>
      </c>
      <c r="F139">
        <v>3.5</v>
      </c>
      <c r="G139">
        <v>2</v>
      </c>
      <c r="H139">
        <v>2100</v>
      </c>
      <c r="I139" t="str">
        <v>Cum</v>
      </c>
      <c r="L139">
        <v>115829505</v>
      </c>
    </row>
    <row r="141" xml:space="preserve">
      <c r="A141">
        <v>24</v>
      </c>
      <c r="B141" t="str">
        <v>1.3.2</v>
      </c>
      <c r="C141" t="str" xml:space="preserve">
        <v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v>
      </c>
    </row>
    <row r="142">
      <c r="C142" t="str">
        <v>Solid RCC Retatining Wall</v>
      </c>
      <c r="D142">
        <v>4</v>
      </c>
      <c r="E142">
        <v>75</v>
      </c>
      <c r="F142">
        <v>3.5</v>
      </c>
      <c r="G142">
        <v>1</v>
      </c>
      <c r="H142">
        <v>1610</v>
      </c>
      <c r="I142" t="str">
        <v>Cum</v>
      </c>
    </row>
    <row r="144" xml:space="preserve">
      <c r="A144">
        <v>25</v>
      </c>
      <c r="B144" t="str" xml:space="preserve">
        <v xml:space="preserve">B-2_x000d_
6.3</v>
      </c>
      <c r="C144" t="str" xml:space="preserve">
        <v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v>
      </c>
    </row>
    <row r="145">
      <c r="C145" t="str">
        <v>Solid RCC Retatining Wall</v>
      </c>
      <c r="D145">
        <v>4</v>
      </c>
      <c r="E145">
        <v>75</v>
      </c>
      <c r="F145">
        <v>3.5</v>
      </c>
      <c r="G145">
        <v>0.15</v>
      </c>
      <c r="H145">
        <v>157.5</v>
      </c>
      <c r="I145" t="str">
        <v>Cum</v>
      </c>
    </row>
    <row r="146">
      <c r="C146" t="str">
        <v>Bed Protection Wall at U/S</v>
      </c>
      <c r="D146">
        <v>12</v>
      </c>
      <c r="E146">
        <v>12.5</v>
      </c>
      <c r="F146">
        <v>1</v>
      </c>
      <c r="G146">
        <v>0.3</v>
      </c>
      <c r="H146">
        <v>45</v>
      </c>
      <c r="I146" t="str">
        <v>Cum</v>
      </c>
    </row>
    <row r="147">
      <c r="C147" t="str">
        <v>Bed Protection Wall at U/S</v>
      </c>
      <c r="D147">
        <v>12</v>
      </c>
      <c r="E147">
        <v>12.5</v>
      </c>
      <c r="F147">
        <v>0.7</v>
      </c>
      <c r="G147">
        <v>0.7</v>
      </c>
      <c r="H147">
        <v>73.5</v>
      </c>
      <c r="I147" t="str">
        <v>Cum</v>
      </c>
    </row>
    <row r="148">
      <c r="C148" t="str">
        <v>Bed Protection Wall at D/S</v>
      </c>
      <c r="D148">
        <v>12</v>
      </c>
      <c r="E148">
        <v>12.5</v>
      </c>
      <c r="F148">
        <v>1</v>
      </c>
      <c r="G148">
        <v>0.3</v>
      </c>
      <c r="H148">
        <v>45</v>
      </c>
      <c r="I148" t="str">
        <v>Cum</v>
      </c>
    </row>
    <row r="149">
      <c r="C149" t="str">
        <v>Bed Protection Wall at D/S</v>
      </c>
      <c r="D149">
        <v>12</v>
      </c>
      <c r="E149">
        <v>12.5</v>
      </c>
      <c r="F149">
        <v>0.7</v>
      </c>
      <c r="G149">
        <v>0.7</v>
      </c>
      <c r="H149">
        <v>73.5</v>
      </c>
      <c r="I149" t="str">
        <v>Cum</v>
      </c>
    </row>
    <row r="150">
      <c r="G150" t="str">
        <v>Total:-</v>
      </c>
      <c r="H150">
        <v>394.5</v>
      </c>
      <c r="I150" t="str">
        <v>Cum</v>
      </c>
    </row>
    <row r="152" xml:space="preserve">
      <c r="A152">
        <v>26</v>
      </c>
      <c r="B152" t="str" xml:space="preserve">
        <v xml:space="preserve">B-2_x000d_
6.6</v>
      </c>
      <c r="C152" t="str" xml:space="preserve">
        <v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v>
      </c>
    </row>
    <row r="153">
      <c r="C153" t="str">
        <v>Solid RCC Retatining Wall</v>
      </c>
      <c r="D153">
        <v>4</v>
      </c>
      <c r="E153">
        <v>75</v>
      </c>
      <c r="F153">
        <v>3.1</v>
      </c>
      <c r="G153">
        <v>0.4</v>
      </c>
      <c r="H153">
        <v>372</v>
      </c>
      <c r="I153" t="str">
        <v>Cum</v>
      </c>
    </row>
    <row r="155" xml:space="preserve">
      <c r="A155">
        <v>27</v>
      </c>
      <c r="B155" t="str" xml:space="preserve">
        <v xml:space="preserve">B-2_x000d_
13.3</v>
      </c>
      <c r="C155" t="str" xml:space="preserve">
        <v xml:space="preserve">Providing and laying steel reinforcement at any level in foundation complete as per drawing and technical specification. [MoRTH Specification : Section 1600]._x000d_
TMT Bar </v>
      </c>
    </row>
    <row r="156">
      <c r="C156" t="str">
        <v>1.50% RCC quantity</v>
      </c>
      <c r="D156">
        <v>0.015</v>
      </c>
      <c r="E156">
        <v>372</v>
      </c>
      <c r="F156">
        <v>7850</v>
      </c>
      <c r="H156">
        <v>43.803</v>
      </c>
      <c r="I156" t="str">
        <v>MT</v>
      </c>
    </row>
    <row r="158" xml:space="preserve">
      <c r="A158">
        <v>28</v>
      </c>
      <c r="B158" t="str" xml:space="preserve">
        <v xml:space="preserve">B-3_x000d_
5.2.1.1</v>
      </c>
      <c r="C158" t="str" xml:space="preserve">
        <v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v>
      </c>
      <c r="F158" t="str">
        <v>(0.35+0.85)/2</v>
      </c>
    </row>
    <row r="159">
      <c r="C159" t="str">
        <v>Solid RCC Retatining Wall</v>
      </c>
      <c r="D159">
        <v>4</v>
      </c>
      <c r="E159">
        <v>75</v>
      </c>
      <c r="F159">
        <v>0.6</v>
      </c>
      <c r="G159">
        <v>4.5</v>
      </c>
      <c r="H159">
        <v>810</v>
      </c>
      <c r="I159" t="str">
        <v>Cum</v>
      </c>
    </row>
    <row r="160">
      <c r="H160">
        <v>810</v>
      </c>
      <c r="I160" t="str">
        <v>Cum</v>
      </c>
    </row>
    <row r="162" xml:space="preserve">
      <c r="A162">
        <v>29</v>
      </c>
      <c r="B162" t="str" xml:space="preserve">
        <v xml:space="preserve">B-3_x000d_
9.3</v>
      </c>
      <c r="C162" t="str">
        <v xml:space="preserve">Steel reinforcement in substructure complete. [MoRTH Specification : Section 1600]. TMT Bars </v>
      </c>
    </row>
    <row r="163">
      <c r="C163" t="str">
        <v>1.5% RCC quantity</v>
      </c>
      <c r="D163">
        <v>0.015</v>
      </c>
      <c r="E163">
        <v>810</v>
      </c>
      <c r="F163">
        <v>7850</v>
      </c>
      <c r="H163">
        <v>95.3775</v>
      </c>
      <c r="I163" t="str">
        <v>MT</v>
      </c>
    </row>
    <row r="166" xml:space="preserve">
      <c r="A166">
        <v>30</v>
      </c>
      <c r="B166" t="str" xml:space="preserve">
        <v xml:space="preserve">B-1_x000d_
3.1</v>
      </c>
      <c r="C166" t="str">
        <v>Back filling behind abutment, wing wall and return wall, in 150mm layers, with mechanical compaction, complete with all lead and lift, as per drawing and technical specification. [MoRTH Specification : Clause 304]. Gravelly Material</v>
      </c>
    </row>
    <row r="167">
      <c r="C167" t="str">
        <v>Solid RCC Retatining Wall</v>
      </c>
      <c r="D167">
        <v>2</v>
      </c>
      <c r="E167">
        <v>75</v>
      </c>
      <c r="F167">
        <v>6.5</v>
      </c>
      <c r="G167">
        <v>1</v>
      </c>
      <c r="H167">
        <v>975</v>
      </c>
      <c r="I167" t="str">
        <v>Cum</v>
      </c>
    </row>
    <row r="170" xml:space="preserve">
      <c r="A170">
        <v>31</v>
      </c>
      <c r="B170" t="str" xml:space="preserve">
        <v xml:space="preserve">B-3_x000d_
15</v>
      </c>
      <c r="C170" t="str">
        <v>Providing A.C. pipe Weep holes 150mm dia in Masonry/plain Concrete/Reinforced Concrete abutment, wing wall/return wall complete as per drawing and technical specification. [MoRTH Specification : Clause 2205].</v>
      </c>
    </row>
    <row r="171">
      <c r="C171" t="str">
        <v>Solid RCC Retatining Wall</v>
      </c>
      <c r="D171">
        <v>4</v>
      </c>
      <c r="E171">
        <v>75</v>
      </c>
      <c r="F171">
        <v>2</v>
      </c>
      <c r="G171">
        <v>0.65</v>
      </c>
      <c r="H171">
        <v>390</v>
      </c>
      <c r="I171" t="str">
        <v>Rmt</v>
      </c>
    </row>
    <row r="173" xml:space="preserve">
      <c r="A173">
        <v>32</v>
      </c>
      <c r="B173" t="str" xml:space="preserve">
        <v xml:space="preserve">B-1_x000d_
4</v>
      </c>
      <c r="C173" t="str">
        <v>Filter medium behind abutment, wing wall and return wall, complete as per drawing and technical specification. (Same as R7.20.3) [MoRTH Specification : Clause 2504].</v>
      </c>
    </row>
    <row r="174">
      <c r="C174" t="str">
        <v>Solid RCC Retatining Wall</v>
      </c>
      <c r="D174">
        <v>2</v>
      </c>
      <c r="E174">
        <v>75</v>
      </c>
      <c r="F174">
        <v>6.5</v>
      </c>
      <c r="G174">
        <v>0.5</v>
      </c>
      <c r="H174">
        <v>487.5</v>
      </c>
      <c r="I174" t="str">
        <v>Cum</v>
      </c>
    </row>
    <row r="176" xml:space="preserve">
      <c r="A176">
        <v>33</v>
      </c>
      <c r="B176" t="str" xml:space="preserve">
        <v xml:space="preserve">B-4_x000d_
16</v>
      </c>
      <c r="C176" t="str">
        <v>Providing and Laying PCC M-15 grade leveling course below approach slab complete as per drawing and technical specifications. [MoRTH specification : 2700]</v>
      </c>
    </row>
    <row r="177">
      <c r="D177">
        <v>2</v>
      </c>
      <c r="E177">
        <v>75</v>
      </c>
      <c r="F177">
        <v>5.5</v>
      </c>
      <c r="G177">
        <v>0.15</v>
      </c>
      <c r="H177">
        <v>123.75</v>
      </c>
      <c r="I177" t="str">
        <v>Cum</v>
      </c>
    </row>
    <row r="179" xml:space="preserve">
      <c r="A179">
        <v>34</v>
      </c>
      <c r="B179" t="str" xml:space="preserve">
        <v xml:space="preserve">R-7_x000d_
(2.3)</v>
      </c>
      <c r="C179" t="str">
        <v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v>
      </c>
    </row>
    <row r="180">
      <c r="C180" t="str">
        <v>up to RCC Retatining Wall</v>
      </c>
      <c r="D180">
        <v>2</v>
      </c>
      <c r="E180">
        <v>75</v>
      </c>
      <c r="F180">
        <v>12</v>
      </c>
      <c r="G180">
        <v>0.2</v>
      </c>
      <c r="H180">
        <v>360</v>
      </c>
      <c r="I180" t="str">
        <v>Cum</v>
      </c>
    </row>
    <row r="182" xml:space="preserve">
      <c r="A182">
        <v>35</v>
      </c>
      <c r="B182" t="str" xml:space="preserve">
        <v xml:space="preserve">B-4_x000d_
16</v>
      </c>
      <c r="C182" t="str">
        <v>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v>
      </c>
    </row>
    <row r="183">
      <c r="D183">
        <v>2</v>
      </c>
      <c r="E183">
        <v>12</v>
      </c>
      <c r="F183">
        <v>12.930664820130508</v>
      </c>
      <c r="H183">
        <v>310.33595568313217</v>
      </c>
      <c r="I183" t="str">
        <v>M</v>
      </c>
    </row>
    <row r="185">
      <c r="A185">
        <v>36</v>
      </c>
      <c r="B185" t="str">
        <v>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v>
      </c>
      <c r="C185" t="str">
        <v>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v>
      </c>
      <c r="D185">
        <v>2</v>
      </c>
      <c r="H185">
        <v>2</v>
      </c>
      <c r="I185" t="str">
        <v>Nos.</v>
      </c>
    </row>
    <row r="186">
      <c r="A186">
        <v>37</v>
      </c>
      <c r="B186" t="str">
        <v>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v>
      </c>
      <c r="C186" t="str">
        <v>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v>
      </c>
      <c r="D186">
        <v>3</v>
      </c>
      <c r="H186">
        <v>3</v>
      </c>
      <c r="I186" t="str">
        <v>Nos.</v>
      </c>
    </row>
    <row r="187">
      <c r="A187">
        <v>38</v>
      </c>
      <c r="B187"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v>
      </c>
      <c r="C187"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v>
      </c>
      <c r="D187">
        <v>6</v>
      </c>
      <c r="H187">
        <v>6</v>
      </c>
      <c r="I187" t="str">
        <v>Nos.</v>
      </c>
    </row>
    <row r="188">
      <c r="A188">
        <v>39</v>
      </c>
      <c r="B188"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v>
      </c>
      <c r="C188" t="str">
        <v>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v>
      </c>
      <c r="D188">
        <v>6</v>
      </c>
      <c r="H188">
        <v>6</v>
      </c>
      <c r="I188" t="str">
        <v>Nos.</v>
      </c>
    </row>
    <row r="189" xml:space="preserve">
      <c r="A189">
        <v>40</v>
      </c>
      <c r="B189" t="str" xml:space="preserve">
        <v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v>
      </c>
      <c r="C189" t="str" xml:space="preserve">
        <v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v>
      </c>
      <c r="D189">
        <v>2</v>
      </c>
      <c r="E189">
        <v>200</v>
      </c>
      <c r="H189">
        <v>400</v>
      </c>
      <c r="I189" t="str">
        <v>Nos.</v>
      </c>
    </row>
    <row r="190">
      <c r="A190">
        <v>41</v>
      </c>
      <c r="B190" t="str">
        <v>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v>
      </c>
      <c r="C190" t="str">
        <v>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v>
      </c>
      <c r="D190">
        <v>2223</v>
      </c>
      <c r="E190">
        <v>1.5</v>
      </c>
      <c r="F190">
        <v>0.15</v>
      </c>
      <c r="H190">
        <v>500.17499999999995</v>
      </c>
      <c r="I190" t="str">
        <v xml:space="preserve"> Sqm</v>
      </c>
    </row>
    <row r="191" xml:space="preserve">
      <c r="A191">
        <v>42</v>
      </c>
      <c r="B191" t="str" xml:space="preserve">
        <v xml:space="preserve">Providing   and   laying   graded   stone   aggregate   filter Material underneath pitching on slopes complete as per drawing     and     technical      specification.      (MoRTH_x000d_
specification : clause 2504).</v>
      </c>
      <c r="C191" t="str" xml:space="preserve">
        <v xml:space="preserve">Providing   and   laying   graded   stone   aggregate   filter Material underneath pitching on slopes complete as per drawing     and     technical      specification.      (MoRTH_x000d_
specification : clause 2504).</v>
      </c>
    </row>
    <row r="192">
      <c r="D192">
        <v>4</v>
      </c>
      <c r="E192">
        <v>30</v>
      </c>
      <c r="F192">
        <v>4.47213595499958</v>
      </c>
      <c r="G192">
        <v>0.3</v>
      </c>
      <c r="H192">
        <v>160.99689437998487</v>
      </c>
      <c r="I192" t="str">
        <v xml:space="preserve"> Cum</v>
      </c>
    </row>
    <row r="194">
      <c r="A194">
        <v>43</v>
      </c>
      <c r="B194" t="str">
        <v>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v>
      </c>
      <c r="C194" t="str">
        <v>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v>
      </c>
      <c r="D194">
        <v>4</v>
      </c>
      <c r="E194">
        <v>30</v>
      </c>
      <c r="F194">
        <v>4.47213595499958</v>
      </c>
      <c r="G194">
        <v>0.45</v>
      </c>
      <c r="H194">
        <v>241.49534156997734</v>
      </c>
      <c r="I194" t="str">
        <v xml:space="preserve"> Cum</v>
      </c>
    </row>
    <row r="195">
      <c r="C195" t="str">
        <v>Bed Protection at U/S</v>
      </c>
      <c r="D195">
        <v>12</v>
      </c>
      <c r="E195">
        <v>12.5</v>
      </c>
      <c r="F195">
        <v>3</v>
      </c>
      <c r="G195">
        <v>0.75</v>
      </c>
      <c r="H195">
        <v>337.5</v>
      </c>
      <c r="I195" t="str">
        <v xml:space="preserve"> Cum</v>
      </c>
    </row>
    <row r="196">
      <c r="C196" t="str">
        <v>Bed Protection at U/S</v>
      </c>
      <c r="D196">
        <v>12</v>
      </c>
      <c r="E196">
        <v>12.5</v>
      </c>
      <c r="F196">
        <v>4</v>
      </c>
      <c r="G196">
        <v>1</v>
      </c>
      <c r="H196">
        <v>600</v>
      </c>
      <c r="I196" t="str">
        <v xml:space="preserve"> Cum</v>
      </c>
    </row>
    <row r="197">
      <c r="C197" t="str">
        <v>Bed Protection at D/S</v>
      </c>
      <c r="D197">
        <v>12</v>
      </c>
      <c r="E197">
        <v>12.5</v>
      </c>
      <c r="F197">
        <v>5</v>
      </c>
      <c r="G197">
        <v>0.75</v>
      </c>
      <c r="H197">
        <v>562.5</v>
      </c>
      <c r="I197" t="str">
        <v xml:space="preserve"> Cum</v>
      </c>
    </row>
    <row r="198">
      <c r="C198" t="str">
        <v>Bed Protection at D/S</v>
      </c>
      <c r="D198">
        <v>12</v>
      </c>
      <c r="E198">
        <v>12.5</v>
      </c>
      <c r="F198">
        <v>6</v>
      </c>
      <c r="G198">
        <v>1</v>
      </c>
      <c r="H198">
        <v>900</v>
      </c>
      <c r="I198" t="str">
        <v xml:space="preserve"> Cum</v>
      </c>
    </row>
    <row r="199">
      <c r="H199">
        <v>2641.4953415699774</v>
      </c>
      <c r="I199" t="str">
        <v>Cum</v>
      </c>
    </row>
    <row r="201" xml:space="preserve">
      <c r="A201">
        <v>44</v>
      </c>
      <c r="B201" t="str" xml:space="preserve">
        <v xml:space="preserve">Providing and laying Reinforced cement concrete pipes NP-3  for  culverts  including   jointing  ends   and  fixing collar with cement mortar 1:2. (MoRTH  specification  :_x000d_
clause 1000/2900). 1000 mm dia</v>
      </c>
      <c r="C201" t="str" xml:space="preserve">
        <v xml:space="preserve">Providing and laying Reinforced cement concrete pipes NP-3  for  culverts  including   jointing  ends   and  fixing collar with cement mortar 1:2. (MoRTH  specification  :_x000d_
clause 1000/2900). 1000 mm dia</v>
      </c>
      <c r="D201">
        <v>2</v>
      </c>
      <c r="E201">
        <v>15</v>
      </c>
      <c r="H201">
        <v>30</v>
      </c>
      <c r="I201" t="str">
        <v xml:space="preserve"> RM</v>
      </c>
    </row>
    <row r="202" xml:space="preserve">
      <c r="A202">
        <v>45</v>
      </c>
      <c r="B202" t="str" xml:space="preserve">
        <v xml:space="preserve">Providing and laying Reinforced cement concrete pipes NP-3  for  culverts  including   jointing  ends   and  fixing collar with cement mortar 1:2. (MoRTH  specification  :_x000d_
clause 1000/2900). 600 mm dia</v>
      </c>
      <c r="C202" t="str" xml:space="preserve">
        <v xml:space="preserve">Providing and laying Reinforced cement concrete pipes NP-3  for  culverts  including   jointing  ends   and  fixing collar with cement mortar 1:2. (MoRTH  specification  :_x000d_
clause 1000/2900). 600 mm dia</v>
      </c>
      <c r="D202">
        <v>2</v>
      </c>
      <c r="E202">
        <v>15</v>
      </c>
      <c r="H202">
        <v>30</v>
      </c>
      <c r="I202" t="str">
        <v xml:space="preserve"> RM</v>
      </c>
    </row>
    <row r="203" xml:space="preserve">
      <c r="A203">
        <v>46</v>
      </c>
      <c r="B203" t="str" xml:space="preserve">
        <v xml:space="preserve">Providing and laying Reinforced cement concrete pipes NP-3  for  culverts  including   jointing  ends   and  fixing collar with cement mortar 1:2. (MoRTH  specification  :_x000d_
clause 1000/2900). 300 mm dia</v>
      </c>
      <c r="C203" t="str" xml:space="preserve">
        <v xml:space="preserve">Providing and laying Reinforced cement concrete pipes NP-3  for  culverts  including   jointing  ends   and  fixing collar with cement mortar 1:2. (MoRTH  specification  :_x000d_
clause 1000/2900). 300 mm dia</v>
      </c>
      <c r="D203">
        <v>8</v>
      </c>
      <c r="E203">
        <v>15</v>
      </c>
      <c r="H203">
        <v>120</v>
      </c>
      <c r="I203" t="str">
        <v xml:space="preserve"> RM</v>
      </c>
    </row>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